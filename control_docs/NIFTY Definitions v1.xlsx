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hidePivotFieldList="1"/>
  <mc:AlternateContent xmlns:mc="http://schemas.openxmlformats.org/markup-compatibility/2006">
    <mc:Choice Requires="x15">
      <x15ac:absPath xmlns:x15ac="http://schemas.microsoft.com/office/spreadsheetml/2010/11/ac" url="https://kelloggcompany.sharepoint.com/sites/KellanovaONLYProjectNIFTY/Shared Documents/1 - Project Nifty/Phase 1/2 - Design/Module 5 NIF Step by Step/"/>
    </mc:Choice>
  </mc:AlternateContent>
  <xr:revisionPtr revIDLastSave="0" documentId="8_{04923D88-00B3-4ACE-8A55-A7A6225B0502}" xr6:coauthVersionLast="47" xr6:coauthVersionMax="47" xr10:uidLastSave="{00000000-0000-0000-0000-000000000000}"/>
  <bookViews>
    <workbookView xWindow="31485" yWindow="1605" windowWidth="21600" windowHeight="11100" tabRatio="842" firstSheet="4" activeTab="4" xr2:uid="{EB9C68A9-4209-4D13-9F3A-A7827E77225F}"/>
  </bookViews>
  <sheets>
    <sheet name="Req Init 1.1" sheetId="1" state="hidden" r:id="rId1"/>
    <sheet name="All sections of NIF PDF" sheetId="3" r:id="rId2"/>
    <sheet name="Sprint fields" sheetId="6" r:id="rId3"/>
    <sheet name="Complexity" sheetId="7" state="hidden" r:id="rId4"/>
    <sheet name="marketing questions" sheetId="12" r:id="rId5"/>
    <sheet name="LOV" sheetId="9" r:id="rId6"/>
    <sheet name="Gen Matl Desc" sheetId="10" state="hidden" r:id="rId7"/>
    <sheet name="Definitions" sheetId="11" r:id="rId8"/>
    <sheet name="Module2-AI" sheetId="13" r:id="rId9"/>
    <sheet name="glossary" sheetId="17" r:id="rId10"/>
    <sheet name="POC files" sheetId="14" r:id="rId11"/>
    <sheet name="testing questions" sheetId="15" r:id="rId12"/>
    <sheet name="2410012414" sheetId="16" r:id="rId13"/>
    <sheet name="Flowchart testing" sheetId="18" r:id="rId14"/>
    <sheet name="w-Masterfiles extra fields" sheetId="8" state="hidden" r:id="rId15"/>
    <sheet name="Bev notes" sheetId="2" state="hidden" r:id="rId16"/>
  </sheets>
  <definedNames>
    <definedName name="_xlnm._FilterDatabase" localSheetId="1" hidden="1">'All sections of NIF PDF'!$A$3:$AA$315</definedName>
    <definedName name="_xlnm._FilterDatabase" localSheetId="7" hidden="1">Definitions!$A$1:$E$332</definedName>
    <definedName name="_xlnm._FilterDatabase" localSheetId="9" hidden="1">glossary!$A$1:$C$99</definedName>
    <definedName name="_xlnm._FilterDatabase" localSheetId="5" hidden="1">LOV!$B$5:$D$28</definedName>
    <definedName name="_xlnm._FilterDatabase" localSheetId="8" hidden="1">'Module2-AI'!$A$3:$G$319</definedName>
    <definedName name="_xlnm._FilterDatabase" localSheetId="10" hidden="1">'POC files'!$A$3:$I$3</definedName>
    <definedName name="_xlnm._FilterDatabase" localSheetId="14" hidden="1">'w-Masterfiles extra fields'!$A$3:$S$510</definedName>
  </definedNames>
  <calcPr calcId="191028"/>
  <pivotCaches>
    <pivotCache cacheId="5677" r:id="rId17"/>
    <pivotCache cacheId="5678" r:id="rId18"/>
    <pivotCache cacheId="5679"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7" i="13" l="1"/>
  <c r="A278" i="13"/>
  <c r="A279" i="13"/>
  <c r="F279" i="13" s="1"/>
  <c r="A280" i="13"/>
  <c r="A281" i="13"/>
  <c r="A282" i="13"/>
  <c r="A283" i="13"/>
  <c r="A284" i="13"/>
  <c r="A285" i="13"/>
  <c r="A286" i="13"/>
  <c r="A287" i="13"/>
  <c r="A288" i="13"/>
  <c r="A289" i="13"/>
  <c r="A290" i="13"/>
  <c r="A291" i="13"/>
  <c r="A292" i="13"/>
  <c r="A293" i="13"/>
  <c r="A294" i="13"/>
  <c r="A295" i="13"/>
  <c r="A296" i="13"/>
  <c r="A297" i="13"/>
  <c r="A298" i="13"/>
  <c r="A299" i="13"/>
  <c r="A300" i="13"/>
  <c r="A301" i="13"/>
  <c r="A302" i="13"/>
  <c r="A303" i="13"/>
  <c r="A304" i="13"/>
  <c r="A305" i="13"/>
  <c r="A306" i="13"/>
  <c r="A307" i="13"/>
  <c r="A308" i="13"/>
  <c r="A309" i="13"/>
  <c r="A310" i="13"/>
  <c r="A311" i="13"/>
  <c r="E311" i="13" s="1"/>
  <c r="A312" i="13"/>
  <c r="C312" i="13" s="1"/>
  <c r="A313" i="13"/>
  <c r="B313" i="13" s="1"/>
  <c r="A314" i="13"/>
  <c r="B314" i="13" s="1"/>
  <c r="A315" i="13"/>
  <c r="C315" i="13" s="1"/>
  <c r="A316" i="13"/>
  <c r="F316" i="13" s="1"/>
  <c r="A317" i="13"/>
  <c r="G317" i="13" s="1"/>
  <c r="A318" i="13"/>
  <c r="A319" i="13"/>
  <c r="W278" i="3"/>
  <c r="T278" i="3"/>
  <c r="S278" i="3"/>
  <c r="R278" i="3"/>
  <c r="Q278" i="3"/>
  <c r="W277" i="3"/>
  <c r="T277" i="3"/>
  <c r="S277" i="3"/>
  <c r="R277" i="3"/>
  <c r="Q277" i="3"/>
  <c r="G318" i="13"/>
  <c r="B319" i="13"/>
  <c r="E318" i="13"/>
  <c r="D319" i="13"/>
  <c r="A5" i="13"/>
  <c r="G5" i="13" s="1"/>
  <c r="A6" i="13"/>
  <c r="G6" i="13" s="1"/>
  <c r="A7" i="13"/>
  <c r="F7" i="13" s="1"/>
  <c r="A8" i="13"/>
  <c r="F8" i="13" s="1"/>
  <c r="A9" i="13"/>
  <c r="F9" i="13" s="1"/>
  <c r="A10" i="13"/>
  <c r="F10" i="13" s="1"/>
  <c r="A11" i="13"/>
  <c r="F11" i="13" s="1"/>
  <c r="A12" i="13"/>
  <c r="F12" i="13" s="1"/>
  <c r="A13" i="13"/>
  <c r="F13" i="13" s="1"/>
  <c r="A14" i="13"/>
  <c r="F14" i="13" s="1"/>
  <c r="A15" i="13"/>
  <c r="F15" i="13" s="1"/>
  <c r="A16" i="13"/>
  <c r="F16" i="13" s="1"/>
  <c r="A17" i="13"/>
  <c r="F17" i="13" s="1"/>
  <c r="A18" i="13"/>
  <c r="F18" i="13" s="1"/>
  <c r="A19" i="13"/>
  <c r="F19" i="13" s="1"/>
  <c r="A20" i="13"/>
  <c r="G20" i="13" s="1"/>
  <c r="A21" i="13"/>
  <c r="F21" i="13" s="1"/>
  <c r="A22" i="13"/>
  <c r="F22" i="13" s="1"/>
  <c r="A23" i="13"/>
  <c r="F23" i="13" s="1"/>
  <c r="A24" i="13"/>
  <c r="F24" i="13" s="1"/>
  <c r="A25" i="13"/>
  <c r="F25" i="13" s="1"/>
  <c r="A26" i="13"/>
  <c r="F26" i="13" s="1"/>
  <c r="A27" i="13"/>
  <c r="F27" i="13" s="1"/>
  <c r="A28" i="13"/>
  <c r="F28" i="13" s="1"/>
  <c r="A29" i="13"/>
  <c r="F29" i="13" s="1"/>
  <c r="A30" i="13"/>
  <c r="F30" i="13" s="1"/>
  <c r="A31" i="13"/>
  <c r="F31" i="13" s="1"/>
  <c r="A32" i="13"/>
  <c r="F32" i="13" s="1"/>
  <c r="A33" i="13"/>
  <c r="F33" i="13" s="1"/>
  <c r="A34" i="13"/>
  <c r="F34" i="13" s="1"/>
  <c r="A35" i="13"/>
  <c r="F35" i="13" s="1"/>
  <c r="A36" i="13"/>
  <c r="G36" i="13" s="1"/>
  <c r="A37" i="13"/>
  <c r="F37" i="13" s="1"/>
  <c r="A38" i="13"/>
  <c r="F38" i="13" s="1"/>
  <c r="A39" i="13"/>
  <c r="G39" i="13" s="1"/>
  <c r="A40" i="13"/>
  <c r="F40" i="13" s="1"/>
  <c r="A41" i="13"/>
  <c r="F41" i="13" s="1"/>
  <c r="A42" i="13"/>
  <c r="F42" i="13" s="1"/>
  <c r="A43" i="13"/>
  <c r="F43" i="13" s="1"/>
  <c r="A44" i="13"/>
  <c r="F44" i="13" s="1"/>
  <c r="A45" i="13"/>
  <c r="F45" i="13" s="1"/>
  <c r="A46" i="13"/>
  <c r="F46" i="13" s="1"/>
  <c r="A47" i="13"/>
  <c r="F47" i="13" s="1"/>
  <c r="A48" i="13"/>
  <c r="F48" i="13" s="1"/>
  <c r="A49" i="13"/>
  <c r="F49" i="13" s="1"/>
  <c r="A50" i="13"/>
  <c r="F50" i="13" s="1"/>
  <c r="A51" i="13"/>
  <c r="F51" i="13" s="1"/>
  <c r="A52" i="13"/>
  <c r="G52" i="13" s="1"/>
  <c r="A53" i="13"/>
  <c r="F53" i="13" s="1"/>
  <c r="A54" i="13"/>
  <c r="G54" i="13" s="1"/>
  <c r="A55" i="13"/>
  <c r="G55" i="13" s="1"/>
  <c r="A56" i="13"/>
  <c r="F56" i="13" s="1"/>
  <c r="A57" i="13"/>
  <c r="F57" i="13" s="1"/>
  <c r="A58" i="13"/>
  <c r="F58" i="13" s="1"/>
  <c r="A59" i="13"/>
  <c r="F59" i="13" s="1"/>
  <c r="A60" i="13"/>
  <c r="F60" i="13" s="1"/>
  <c r="A61" i="13"/>
  <c r="F61" i="13" s="1"/>
  <c r="A62" i="13"/>
  <c r="F62" i="13" s="1"/>
  <c r="A63" i="13"/>
  <c r="F63" i="13" s="1"/>
  <c r="A64" i="13"/>
  <c r="F64" i="13" s="1"/>
  <c r="A65" i="13"/>
  <c r="F65" i="13" s="1"/>
  <c r="A66" i="13"/>
  <c r="G66" i="13" s="1"/>
  <c r="A67" i="13"/>
  <c r="F67" i="13" s="1"/>
  <c r="A68" i="13"/>
  <c r="F68" i="13" s="1"/>
  <c r="A69" i="13"/>
  <c r="G69" i="13" s="1"/>
  <c r="A70" i="13"/>
  <c r="F70" i="13" s="1"/>
  <c r="A71" i="13"/>
  <c r="G71" i="13" s="1"/>
  <c r="A72" i="13"/>
  <c r="F72" i="13" s="1"/>
  <c r="A73" i="13"/>
  <c r="F73" i="13" s="1"/>
  <c r="A74" i="13"/>
  <c r="F74" i="13" s="1"/>
  <c r="A75" i="13"/>
  <c r="F75" i="13" s="1"/>
  <c r="A76" i="13"/>
  <c r="F76" i="13" s="1"/>
  <c r="A77" i="13"/>
  <c r="F77" i="13" s="1"/>
  <c r="A78" i="13"/>
  <c r="F78" i="13" s="1"/>
  <c r="A79" i="13"/>
  <c r="F79" i="13" s="1"/>
  <c r="A80" i="13"/>
  <c r="F80" i="13" s="1"/>
  <c r="A81" i="13"/>
  <c r="F81" i="13" s="1"/>
  <c r="A82" i="13"/>
  <c r="G82" i="13" s="1"/>
  <c r="A83" i="13"/>
  <c r="F83" i="13" s="1"/>
  <c r="A84" i="13"/>
  <c r="G84" i="13" s="1"/>
  <c r="A85" i="13"/>
  <c r="G85" i="13" s="1"/>
  <c r="A86" i="13"/>
  <c r="G86" i="13" s="1"/>
  <c r="A87" i="13"/>
  <c r="G87" i="13" s="1"/>
  <c r="A88" i="13"/>
  <c r="F88" i="13" s="1"/>
  <c r="A89" i="13"/>
  <c r="F89" i="13" s="1"/>
  <c r="A90" i="13"/>
  <c r="F90" i="13" s="1"/>
  <c r="A91" i="13"/>
  <c r="F91" i="13" s="1"/>
  <c r="A92" i="13"/>
  <c r="F92" i="13" s="1"/>
  <c r="A93" i="13"/>
  <c r="F93" i="13" s="1"/>
  <c r="A94" i="13"/>
  <c r="F94" i="13" s="1"/>
  <c r="A95" i="13"/>
  <c r="F95" i="13" s="1"/>
  <c r="A96" i="13"/>
  <c r="F96" i="13" s="1"/>
  <c r="A97" i="13"/>
  <c r="F97" i="13" s="1"/>
  <c r="A98" i="13"/>
  <c r="G98" i="13" s="1"/>
  <c r="A99" i="13"/>
  <c r="G99" i="13" s="1"/>
  <c r="A100" i="13"/>
  <c r="F100" i="13" s="1"/>
  <c r="A101" i="13"/>
  <c r="F101" i="13" s="1"/>
  <c r="A102" i="13"/>
  <c r="F102" i="13" s="1"/>
  <c r="A103" i="13"/>
  <c r="F103" i="13" s="1"/>
  <c r="A104" i="13"/>
  <c r="F104" i="13" s="1"/>
  <c r="A105" i="13"/>
  <c r="F105" i="13" s="1"/>
  <c r="A106" i="13"/>
  <c r="F106" i="13" s="1"/>
  <c r="A107" i="13"/>
  <c r="F107" i="13" s="1"/>
  <c r="A108" i="13"/>
  <c r="F108" i="13" s="1"/>
  <c r="A109" i="13"/>
  <c r="F109" i="13" s="1"/>
  <c r="A110" i="13"/>
  <c r="F110" i="13" s="1"/>
  <c r="A111" i="13"/>
  <c r="F111" i="13" s="1"/>
  <c r="A112" i="13"/>
  <c r="F112" i="13" s="1"/>
  <c r="A113" i="13"/>
  <c r="F113" i="13" s="1"/>
  <c r="A114" i="13"/>
  <c r="G114" i="13" s="1"/>
  <c r="A115" i="13"/>
  <c r="G115" i="13" s="1"/>
  <c r="A116" i="13"/>
  <c r="F116" i="13" s="1"/>
  <c r="A117" i="13"/>
  <c r="F117" i="13" s="1"/>
  <c r="A118" i="13"/>
  <c r="F118" i="13" s="1"/>
  <c r="A119" i="13"/>
  <c r="F119" i="13" s="1"/>
  <c r="A120" i="13"/>
  <c r="F120" i="13" s="1"/>
  <c r="A121" i="13"/>
  <c r="F121" i="13" s="1"/>
  <c r="A122" i="13"/>
  <c r="F122" i="13" s="1"/>
  <c r="A123" i="13"/>
  <c r="F123" i="13" s="1"/>
  <c r="A124" i="13"/>
  <c r="F124" i="13" s="1"/>
  <c r="A125" i="13"/>
  <c r="F125" i="13" s="1"/>
  <c r="A126" i="13"/>
  <c r="F126" i="13" s="1"/>
  <c r="A127" i="13"/>
  <c r="F127" i="13" s="1"/>
  <c r="A128" i="13"/>
  <c r="F128" i="13" s="1"/>
  <c r="A129" i="13"/>
  <c r="F129" i="13" s="1"/>
  <c r="A130" i="13"/>
  <c r="F130" i="13" s="1"/>
  <c r="A131" i="13"/>
  <c r="F131" i="13" s="1"/>
  <c r="A132" i="13"/>
  <c r="G132" i="13" s="1"/>
  <c r="A133" i="13"/>
  <c r="G133" i="13" s="1"/>
  <c r="A134" i="13"/>
  <c r="G134" i="13" s="1"/>
  <c r="A135" i="13"/>
  <c r="G135" i="13" s="1"/>
  <c r="A136" i="13"/>
  <c r="F136" i="13" s="1"/>
  <c r="A137" i="13"/>
  <c r="F137" i="13" s="1"/>
  <c r="A138" i="13"/>
  <c r="F138" i="13" s="1"/>
  <c r="A139" i="13"/>
  <c r="F139" i="13" s="1"/>
  <c r="A140" i="13"/>
  <c r="F140" i="13" s="1"/>
  <c r="A141" i="13"/>
  <c r="F141" i="13" s="1"/>
  <c r="A142" i="13"/>
  <c r="F142" i="13" s="1"/>
  <c r="A143" i="13"/>
  <c r="F143" i="13" s="1"/>
  <c r="A144" i="13"/>
  <c r="F144" i="13" s="1"/>
  <c r="A145" i="13"/>
  <c r="F145" i="13" s="1"/>
  <c r="A146" i="13"/>
  <c r="F146" i="13" s="1"/>
  <c r="A147" i="13"/>
  <c r="F147" i="13" s="1"/>
  <c r="A148" i="13"/>
  <c r="G148" i="13" s="1"/>
  <c r="A149" i="13"/>
  <c r="F149" i="13" s="1"/>
  <c r="A150" i="13"/>
  <c r="F150" i="13" s="1"/>
  <c r="A151" i="13"/>
  <c r="F151" i="13" s="1"/>
  <c r="A152" i="13"/>
  <c r="F152" i="13" s="1"/>
  <c r="A153" i="13"/>
  <c r="F153" i="13" s="1"/>
  <c r="A154" i="13"/>
  <c r="F154" i="13" s="1"/>
  <c r="A155" i="13"/>
  <c r="F155" i="13" s="1"/>
  <c r="A156" i="13"/>
  <c r="F156" i="13" s="1"/>
  <c r="A157" i="13"/>
  <c r="F157" i="13" s="1"/>
  <c r="A158" i="13"/>
  <c r="F158" i="13" s="1"/>
  <c r="A159" i="13"/>
  <c r="F159" i="13" s="1"/>
  <c r="A160" i="13"/>
  <c r="F160" i="13" s="1"/>
  <c r="A161" i="13"/>
  <c r="F161" i="13" s="1"/>
  <c r="A162" i="13"/>
  <c r="F162" i="13" s="1"/>
  <c r="A163" i="13"/>
  <c r="F163" i="13" s="1"/>
  <c r="A164" i="13"/>
  <c r="G164" i="13" s="1"/>
  <c r="A165" i="13"/>
  <c r="G165" i="13" s="1"/>
  <c r="A166" i="13"/>
  <c r="G166" i="13" s="1"/>
  <c r="A167" i="13"/>
  <c r="F167" i="13" s="1"/>
  <c r="A168" i="13"/>
  <c r="F168" i="13" s="1"/>
  <c r="A169" i="13"/>
  <c r="F169" i="13" s="1"/>
  <c r="A170" i="13"/>
  <c r="F170" i="13" s="1"/>
  <c r="A171" i="13"/>
  <c r="F171" i="13" s="1"/>
  <c r="A172" i="13"/>
  <c r="F172" i="13" s="1"/>
  <c r="A173" i="13"/>
  <c r="F173" i="13" s="1"/>
  <c r="A174" i="13"/>
  <c r="F174" i="13" s="1"/>
  <c r="A175" i="13"/>
  <c r="F175" i="13" s="1"/>
  <c r="A176" i="13"/>
  <c r="F176" i="13" s="1"/>
  <c r="A177" i="13"/>
  <c r="F177" i="13" s="1"/>
  <c r="A178" i="13"/>
  <c r="F178" i="13" s="1"/>
  <c r="A179" i="13"/>
  <c r="F179" i="13" s="1"/>
  <c r="A180" i="13"/>
  <c r="G180" i="13" s="1"/>
  <c r="A181" i="13"/>
  <c r="F181" i="13" s="1"/>
  <c r="A182" i="13"/>
  <c r="G182" i="13" s="1"/>
  <c r="A183" i="13"/>
  <c r="G183" i="13" s="1"/>
  <c r="A184" i="13"/>
  <c r="F184" i="13" s="1"/>
  <c r="A185" i="13"/>
  <c r="F185" i="13" s="1"/>
  <c r="A186" i="13"/>
  <c r="F186" i="13" s="1"/>
  <c r="A187" i="13"/>
  <c r="F187" i="13" s="1"/>
  <c r="A188" i="13"/>
  <c r="F188" i="13" s="1"/>
  <c r="A189" i="13"/>
  <c r="F189" i="13" s="1"/>
  <c r="A190" i="13"/>
  <c r="F190" i="13" s="1"/>
  <c r="A191" i="13"/>
  <c r="F191" i="13" s="1"/>
  <c r="A192" i="13"/>
  <c r="F192" i="13" s="1"/>
  <c r="A193" i="13"/>
  <c r="F193" i="13" s="1"/>
  <c r="A194" i="13"/>
  <c r="G194" i="13" s="1"/>
  <c r="A195" i="13"/>
  <c r="F195" i="13" s="1"/>
  <c r="A196" i="13"/>
  <c r="G196" i="13" s="1"/>
  <c r="A197" i="13"/>
  <c r="F197" i="13" s="1"/>
  <c r="A198" i="13"/>
  <c r="F198" i="13" s="1"/>
  <c r="A199" i="13"/>
  <c r="F199" i="13" s="1"/>
  <c r="A200" i="13"/>
  <c r="F200" i="13" s="1"/>
  <c r="A201" i="13"/>
  <c r="F201" i="13" s="1"/>
  <c r="A202" i="13"/>
  <c r="F202" i="13" s="1"/>
  <c r="A203" i="13"/>
  <c r="F203" i="13" s="1"/>
  <c r="A204" i="13"/>
  <c r="F204" i="13" s="1"/>
  <c r="A205" i="13"/>
  <c r="F205" i="13" s="1"/>
  <c r="A206" i="13"/>
  <c r="F206" i="13" s="1"/>
  <c r="A207" i="13"/>
  <c r="F207" i="13" s="1"/>
  <c r="A208" i="13"/>
  <c r="F208" i="13" s="1"/>
  <c r="A209" i="13"/>
  <c r="F209" i="13" s="1"/>
  <c r="A210" i="13"/>
  <c r="F210" i="13" s="1"/>
  <c r="A211" i="13"/>
  <c r="F211" i="13" s="1"/>
  <c r="A212" i="13"/>
  <c r="G212" i="13" s="1"/>
  <c r="A213" i="13"/>
  <c r="G213" i="13" s="1"/>
  <c r="A214" i="13"/>
  <c r="G214" i="13" s="1"/>
  <c r="A215" i="13"/>
  <c r="G215" i="13" s="1"/>
  <c r="A216" i="13"/>
  <c r="F216" i="13" s="1"/>
  <c r="A217" i="13"/>
  <c r="F217" i="13" s="1"/>
  <c r="A218" i="13"/>
  <c r="F218" i="13" s="1"/>
  <c r="A219" i="13"/>
  <c r="F219" i="13" s="1"/>
  <c r="A220" i="13"/>
  <c r="F220" i="13" s="1"/>
  <c r="A221" i="13"/>
  <c r="F221" i="13" s="1"/>
  <c r="A222" i="13"/>
  <c r="F222" i="13" s="1"/>
  <c r="A223" i="13"/>
  <c r="F223" i="13" s="1"/>
  <c r="A224" i="13"/>
  <c r="F224" i="13" s="1"/>
  <c r="A225" i="13"/>
  <c r="F225" i="13" s="1"/>
  <c r="A226" i="13"/>
  <c r="F226" i="13" s="1"/>
  <c r="A227" i="13"/>
  <c r="G227" i="13" s="1"/>
  <c r="A228" i="13"/>
  <c r="G228" i="13" s="1"/>
  <c r="A229" i="13"/>
  <c r="F229" i="13" s="1"/>
  <c r="A230" i="13"/>
  <c r="F230" i="13" s="1"/>
  <c r="A231" i="13"/>
  <c r="F231" i="13" s="1"/>
  <c r="A232" i="13"/>
  <c r="F232" i="13" s="1"/>
  <c r="A233" i="13"/>
  <c r="F233" i="13" s="1"/>
  <c r="A234" i="13"/>
  <c r="F234" i="13" s="1"/>
  <c r="A235" i="13"/>
  <c r="F235" i="13" s="1"/>
  <c r="A236" i="13"/>
  <c r="F236" i="13" s="1"/>
  <c r="A237" i="13"/>
  <c r="F237" i="13" s="1"/>
  <c r="A238" i="13"/>
  <c r="F238" i="13" s="1"/>
  <c r="A239" i="13"/>
  <c r="F239" i="13" s="1"/>
  <c r="A240" i="13"/>
  <c r="F240" i="13" s="1"/>
  <c r="A241" i="13"/>
  <c r="G241" i="13" s="1"/>
  <c r="A242" i="13"/>
  <c r="G242" i="13" s="1"/>
  <c r="A243" i="13"/>
  <c r="F243" i="13" s="1"/>
  <c r="A244" i="13"/>
  <c r="G244" i="13" s="1"/>
  <c r="A245" i="13"/>
  <c r="G245" i="13" s="1"/>
  <c r="A246" i="13"/>
  <c r="G246" i="13" s="1"/>
  <c r="A247" i="13"/>
  <c r="G247" i="13" s="1"/>
  <c r="A248" i="13"/>
  <c r="F248" i="13" s="1"/>
  <c r="A249" i="13"/>
  <c r="F249" i="13" s="1"/>
  <c r="A250" i="13"/>
  <c r="F250" i="13" s="1"/>
  <c r="A251" i="13"/>
  <c r="F251" i="13" s="1"/>
  <c r="A252" i="13"/>
  <c r="F252" i="13" s="1"/>
  <c r="A253" i="13"/>
  <c r="F253" i="13" s="1"/>
  <c r="A254" i="13"/>
  <c r="F254" i="13" s="1"/>
  <c r="A255" i="13"/>
  <c r="F255" i="13" s="1"/>
  <c r="A256" i="13"/>
  <c r="F256" i="13" s="1"/>
  <c r="A257" i="13"/>
  <c r="G257" i="13" s="1"/>
  <c r="A258" i="13"/>
  <c r="G258" i="13" s="1"/>
  <c r="A259" i="13"/>
  <c r="F259" i="13" s="1"/>
  <c r="A260" i="13"/>
  <c r="G260" i="13" s="1"/>
  <c r="A261" i="13"/>
  <c r="G261" i="13" s="1"/>
  <c r="A262" i="13"/>
  <c r="G262" i="13" s="1"/>
  <c r="A263" i="13"/>
  <c r="G263" i="13" s="1"/>
  <c r="A264" i="13"/>
  <c r="F264" i="13" s="1"/>
  <c r="A265" i="13"/>
  <c r="F265" i="13" s="1"/>
  <c r="A266" i="13"/>
  <c r="F266" i="13" s="1"/>
  <c r="A267" i="13"/>
  <c r="F267" i="13" s="1"/>
  <c r="A268" i="13"/>
  <c r="F268" i="13" s="1"/>
  <c r="A269" i="13"/>
  <c r="F269" i="13" s="1"/>
  <c r="A270" i="13"/>
  <c r="F270" i="13" s="1"/>
  <c r="A271" i="13"/>
  <c r="F271" i="13" s="1"/>
  <c r="A272" i="13"/>
  <c r="F272" i="13" s="1"/>
  <c r="A273" i="13"/>
  <c r="F273" i="13" s="1"/>
  <c r="A274" i="13"/>
  <c r="G274" i="13" s="1"/>
  <c r="A275" i="13"/>
  <c r="G275" i="13" s="1"/>
  <c r="A276" i="13"/>
  <c r="G276" i="13" s="1"/>
  <c r="F277" i="13"/>
  <c r="F278" i="13"/>
  <c r="F280" i="13"/>
  <c r="F281" i="13"/>
  <c r="F282" i="13"/>
  <c r="F283" i="13"/>
  <c r="F284" i="13"/>
  <c r="F285" i="13"/>
  <c r="F286" i="13"/>
  <c r="F287" i="13"/>
  <c r="F288" i="13"/>
  <c r="G289" i="13"/>
  <c r="G290" i="13"/>
  <c r="G291" i="13"/>
  <c r="G292" i="13"/>
  <c r="F293" i="13"/>
  <c r="G294" i="13"/>
  <c r="G295" i="13"/>
  <c r="F296" i="13"/>
  <c r="F297" i="13"/>
  <c r="F298" i="13"/>
  <c r="F299" i="13"/>
  <c r="F300" i="13"/>
  <c r="F301" i="13"/>
  <c r="F302" i="13"/>
  <c r="F303" i="13"/>
  <c r="F304" i="13"/>
  <c r="F305" i="13"/>
  <c r="F306" i="13"/>
  <c r="F307" i="13"/>
  <c r="G308" i="13"/>
  <c r="G309" i="13"/>
  <c r="G310" i="13"/>
  <c r="A4" i="13"/>
  <c r="F4" i="13" s="1"/>
  <c r="W203" i="3"/>
  <c r="T203" i="3"/>
  <c r="S203" i="3"/>
  <c r="R203" i="3"/>
  <c r="Q203" i="3"/>
  <c r="W174" i="3"/>
  <c r="T174" i="3"/>
  <c r="S174" i="3"/>
  <c r="R174" i="3"/>
  <c r="Q174" i="3"/>
  <c r="W178" i="3"/>
  <c r="T178" i="3"/>
  <c r="S178" i="3"/>
  <c r="R178" i="3"/>
  <c r="Q178" i="3"/>
  <c r="G60" i="13"/>
  <c r="F318" i="13" l="1"/>
  <c r="D318" i="13"/>
  <c r="C318" i="13"/>
  <c r="B318" i="13"/>
  <c r="C319" i="13"/>
  <c r="G201" i="13"/>
  <c r="F5" i="13"/>
  <c r="E316" i="13"/>
  <c r="D316" i="13"/>
  <c r="C316" i="13"/>
  <c r="B316" i="13"/>
  <c r="F315" i="13"/>
  <c r="G205" i="13"/>
  <c r="G157" i="13"/>
  <c r="G141" i="13"/>
  <c r="G57" i="13"/>
  <c r="G93" i="13"/>
  <c r="G58" i="13"/>
  <c r="G237" i="13"/>
  <c r="G234" i="13"/>
  <c r="G109" i="13"/>
  <c r="G254" i="13"/>
  <c r="G238" i="13"/>
  <c r="G232" i="13"/>
  <c r="G315" i="13"/>
  <c r="E315" i="13"/>
  <c r="F317" i="13"/>
  <c r="B315" i="13"/>
  <c r="E317" i="13"/>
  <c r="D317" i="13"/>
  <c r="F314" i="13"/>
  <c r="D315" i="13"/>
  <c r="G319" i="13"/>
  <c r="C317" i="13"/>
  <c r="E314" i="13"/>
  <c r="F319" i="13"/>
  <c r="B317" i="13"/>
  <c r="D314" i="13"/>
  <c r="E319" i="13"/>
  <c r="G316" i="13"/>
  <c r="C314" i="13"/>
  <c r="G314" i="13"/>
  <c r="G61" i="13"/>
  <c r="G29" i="13"/>
  <c r="G10" i="13"/>
  <c r="G189" i="13"/>
  <c r="G9" i="13"/>
  <c r="G174" i="13"/>
  <c r="G173" i="13"/>
  <c r="G142" i="13"/>
  <c r="G12" i="13"/>
  <c r="G301" i="13"/>
  <c r="G270" i="13"/>
  <c r="G77" i="13"/>
  <c r="F309" i="13"/>
  <c r="G125" i="13"/>
  <c r="F290" i="13"/>
  <c r="F99" i="13"/>
  <c r="G233" i="13"/>
  <c r="G101" i="13"/>
  <c r="F87" i="13"/>
  <c r="G53" i="13"/>
  <c r="F289" i="13"/>
  <c r="G181" i="13"/>
  <c r="F86" i="13"/>
  <c r="G231" i="13"/>
  <c r="F85" i="13"/>
  <c r="G103" i="13"/>
  <c r="G229" i="13"/>
  <c r="F6" i="13"/>
  <c r="F310" i="13"/>
  <c r="F257" i="13"/>
  <c r="F246" i="13"/>
  <c r="G46" i="13"/>
  <c r="G230" i="13"/>
  <c r="G110" i="13"/>
  <c r="G45" i="13"/>
  <c r="F98" i="13"/>
  <c r="F166" i="13"/>
  <c r="G222" i="13"/>
  <c r="G14" i="13"/>
  <c r="G302" i="13"/>
  <c r="G221" i="13"/>
  <c r="G102" i="13"/>
  <c r="G13" i="13"/>
  <c r="G206" i="13"/>
  <c r="G285" i="13"/>
  <c r="G94" i="13"/>
  <c r="G11" i="13"/>
  <c r="G313" i="13"/>
  <c r="E313" i="13"/>
  <c r="G269" i="13"/>
  <c r="G190" i="13"/>
  <c r="G78" i="13"/>
  <c r="F312" i="13"/>
  <c r="E312" i="13"/>
  <c r="G253" i="13"/>
  <c r="G62" i="13"/>
  <c r="B312" i="13"/>
  <c r="G268" i="13"/>
  <c r="G185" i="13"/>
  <c r="G265" i="13"/>
  <c r="G92" i="13"/>
  <c r="G90" i="13"/>
  <c r="G44" i="13"/>
  <c r="F292" i="13"/>
  <c r="F313" i="13"/>
  <c r="G139" i="13"/>
  <c r="G137" i="13"/>
  <c r="G298" i="13"/>
  <c r="G250" i="13"/>
  <c r="G217" i="13"/>
  <c r="G170" i="13"/>
  <c r="G121" i="13"/>
  <c r="G76" i="13"/>
  <c r="F247" i="13"/>
  <c r="D312" i="13"/>
  <c r="G169" i="13"/>
  <c r="G75" i="13"/>
  <c r="G28" i="13"/>
  <c r="G297" i="13"/>
  <c r="G249" i="13"/>
  <c r="G74" i="13"/>
  <c r="G26" i="13"/>
  <c r="F245" i="13"/>
  <c r="G311" i="13"/>
  <c r="G140" i="13"/>
  <c r="G267" i="13"/>
  <c r="G188" i="13"/>
  <c r="G266" i="13"/>
  <c r="G138" i="13"/>
  <c r="D311" i="13"/>
  <c r="G124" i="13"/>
  <c r="G43" i="13"/>
  <c r="G300" i="13"/>
  <c r="G252" i="13"/>
  <c r="G220" i="13"/>
  <c r="G172" i="13"/>
  <c r="G123" i="13"/>
  <c r="G42" i="13"/>
  <c r="G299" i="13"/>
  <c r="G251" i="13"/>
  <c r="G218" i="13"/>
  <c r="G171" i="13"/>
  <c r="G122" i="13"/>
  <c r="G41" i="13"/>
  <c r="G204" i="13"/>
  <c r="G156" i="13"/>
  <c r="G108" i="13"/>
  <c r="G73" i="13"/>
  <c r="G25" i="13"/>
  <c r="G282" i="13"/>
  <c r="F165" i="13"/>
  <c r="C311" i="13"/>
  <c r="G89" i="13"/>
  <c r="G284" i="13"/>
  <c r="G236" i="13"/>
  <c r="G203" i="13"/>
  <c r="G154" i="13"/>
  <c r="G106" i="13"/>
  <c r="G281" i="13"/>
  <c r="G235" i="13"/>
  <c r="G202" i="13"/>
  <c r="G153" i="13"/>
  <c r="G105" i="13"/>
  <c r="B311" i="13"/>
  <c r="D313" i="13"/>
  <c r="G277" i="13"/>
  <c r="G199" i="13"/>
  <c r="G120" i="13"/>
  <c r="G70" i="13"/>
  <c r="F135" i="13"/>
  <c r="F69" i="13"/>
  <c r="C313" i="13"/>
  <c r="G198" i="13"/>
  <c r="G119" i="13"/>
  <c r="G91" i="13"/>
  <c r="F291" i="13"/>
  <c r="F134" i="13"/>
  <c r="F55" i="13"/>
  <c r="G248" i="13"/>
  <c r="G219" i="13"/>
  <c r="G168" i="13"/>
  <c r="G118" i="13"/>
  <c r="G40" i="13"/>
  <c r="F215" i="13"/>
  <c r="F133" i="13"/>
  <c r="F54" i="13"/>
  <c r="G312" i="13"/>
  <c r="G280" i="13"/>
  <c r="G151" i="13"/>
  <c r="G23" i="13"/>
  <c r="F295" i="13"/>
  <c r="G279" i="13"/>
  <c r="G150" i="13"/>
  <c r="G72" i="13"/>
  <c r="G22" i="13"/>
  <c r="F294" i="13"/>
  <c r="F71" i="13"/>
  <c r="G278" i="13"/>
  <c r="G200" i="13"/>
  <c r="G149" i="13"/>
  <c r="G117" i="13"/>
  <c r="F214" i="13"/>
  <c r="G88" i="13"/>
  <c r="G37" i="13"/>
  <c r="G293" i="13"/>
  <c r="G186" i="13"/>
  <c r="G158" i="13"/>
  <c r="G136" i="13"/>
  <c r="G30" i="13"/>
  <c r="G8" i="13"/>
  <c r="G152" i="13"/>
  <c r="G24" i="13"/>
  <c r="G38" i="13"/>
  <c r="F213" i="13"/>
  <c r="F39" i="13"/>
  <c r="G216" i="13"/>
  <c r="G187" i="13"/>
  <c r="G59" i="13"/>
  <c r="G286" i="13"/>
  <c r="G264" i="13"/>
  <c r="G107" i="13"/>
  <c r="G7" i="13"/>
  <c r="F263" i="13"/>
  <c r="F183" i="13"/>
  <c r="G21" i="13"/>
  <c r="G296" i="13"/>
  <c r="G167" i="13"/>
  <c r="G184" i="13"/>
  <c r="G27" i="13"/>
  <c r="F261" i="13"/>
  <c r="F311" i="13"/>
  <c r="G56" i="13"/>
  <c r="F262" i="13"/>
  <c r="F182" i="13"/>
  <c r="G155" i="13"/>
  <c r="G4" i="13"/>
  <c r="G283" i="13"/>
  <c r="G126" i="13"/>
  <c r="G104" i="13"/>
  <c r="F258" i="13"/>
  <c r="G197" i="13"/>
  <c r="G306" i="13"/>
  <c r="F275" i="13"/>
  <c r="F241" i="13"/>
  <c r="G305" i="13"/>
  <c r="G273" i="13"/>
  <c r="G225" i="13"/>
  <c r="G209" i="13"/>
  <c r="G193" i="13"/>
  <c r="G177" i="13"/>
  <c r="G161" i="13"/>
  <c r="G145" i="13"/>
  <c r="G129" i="13"/>
  <c r="G113" i="13"/>
  <c r="G97" i="13"/>
  <c r="G81" i="13"/>
  <c r="G65" i="13"/>
  <c r="G49" i="13"/>
  <c r="G33" i="13"/>
  <c r="G17" i="13"/>
  <c r="F308" i="13"/>
  <c r="F274" i="13"/>
  <c r="F196" i="13"/>
  <c r="F115" i="13"/>
  <c r="F114" i="13"/>
  <c r="F228" i="13"/>
  <c r="F194" i="13"/>
  <c r="F227" i="13"/>
  <c r="F148" i="13"/>
  <c r="F66" i="13"/>
  <c r="F20" i="13"/>
  <c r="G307" i="13"/>
  <c r="G259" i="13"/>
  <c r="G243" i="13"/>
  <c r="G211" i="13"/>
  <c r="G195" i="13"/>
  <c r="G179" i="13"/>
  <c r="G163" i="13"/>
  <c r="G147" i="13"/>
  <c r="G131" i="13"/>
  <c r="G83" i="13"/>
  <c r="G67" i="13"/>
  <c r="G51" i="13"/>
  <c r="G35" i="13"/>
  <c r="G19" i="13"/>
  <c r="F276" i="13"/>
  <c r="F242" i="13"/>
  <c r="F164" i="13"/>
  <c r="F82" i="13"/>
  <c r="F36" i="13"/>
  <c r="G226" i="13"/>
  <c r="G210" i="13"/>
  <c r="G178" i="13"/>
  <c r="G162" i="13"/>
  <c r="G146" i="13"/>
  <c r="G130" i="13"/>
  <c r="G50" i="13"/>
  <c r="G34" i="13"/>
  <c r="G18" i="13"/>
  <c r="G160" i="13"/>
  <c r="G287" i="13"/>
  <c r="G271" i="13"/>
  <c r="G255" i="13"/>
  <c r="G239" i="13"/>
  <c r="G223" i="13"/>
  <c r="G191" i="13"/>
  <c r="G175" i="13"/>
  <c r="G159" i="13"/>
  <c r="G143" i="13"/>
  <c r="G127" i="13"/>
  <c r="G95" i="13"/>
  <c r="G79" i="13"/>
  <c r="G63" i="13"/>
  <c r="G47" i="13"/>
  <c r="G31" i="13"/>
  <c r="G15" i="13"/>
  <c r="F260" i="13"/>
  <c r="F180" i="13"/>
  <c r="F52" i="13"/>
  <c r="F212" i="13"/>
  <c r="F132" i="13"/>
  <c r="F244" i="13"/>
  <c r="F84" i="13"/>
  <c r="G116" i="13"/>
  <c r="G100" i="13"/>
  <c r="G68" i="13"/>
  <c r="G304" i="13"/>
  <c r="G288" i="13"/>
  <c r="G272" i="13"/>
  <c r="G256" i="13"/>
  <c r="G240" i="13"/>
  <c r="G224" i="13"/>
  <c r="G208" i="13"/>
  <c r="G192" i="13"/>
  <c r="G176" i="13"/>
  <c r="G144" i="13"/>
  <c r="G128" i="13"/>
  <c r="G112" i="13"/>
  <c r="G96" i="13"/>
  <c r="G80" i="13"/>
  <c r="G64" i="13"/>
  <c r="G48" i="13"/>
  <c r="G32" i="13"/>
  <c r="G16" i="13"/>
  <c r="G303" i="13"/>
  <c r="G207" i="13"/>
  <c r="G111"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D204" i="13"/>
  <c r="D205" i="13"/>
  <c r="D206" i="13"/>
  <c r="D207" i="13"/>
  <c r="D208" i="13"/>
  <c r="D209" i="13"/>
  <c r="D210" i="13"/>
  <c r="D211" i="13"/>
  <c r="D212" i="13"/>
  <c r="D213" i="13"/>
  <c r="D214" i="13"/>
  <c r="D215" i="13"/>
  <c r="D216" i="13"/>
  <c r="D217" i="13"/>
  <c r="D218" i="13"/>
  <c r="D219" i="13"/>
  <c r="D220" i="13"/>
  <c r="D221" i="13"/>
  <c r="D222" i="13"/>
  <c r="D223" i="13"/>
  <c r="D224" i="13"/>
  <c r="D225" i="13"/>
  <c r="D226" i="13"/>
  <c r="D227" i="13"/>
  <c r="D228" i="13"/>
  <c r="D229" i="13"/>
  <c r="D230" i="13"/>
  <c r="D231" i="13"/>
  <c r="D232" i="13"/>
  <c r="D233" i="13"/>
  <c r="D234" i="13"/>
  <c r="D235" i="13"/>
  <c r="D236" i="13"/>
  <c r="D237" i="13"/>
  <c r="D238" i="13"/>
  <c r="D239" i="13"/>
  <c r="D240" i="13"/>
  <c r="D241" i="13"/>
  <c r="D242" i="13"/>
  <c r="D243" i="13"/>
  <c r="D244" i="13"/>
  <c r="D245" i="13"/>
  <c r="D246" i="13"/>
  <c r="D247" i="13"/>
  <c r="D248" i="13"/>
  <c r="D249" i="13"/>
  <c r="D250" i="13"/>
  <c r="D251" i="13"/>
  <c r="D252" i="13"/>
  <c r="D253" i="13"/>
  <c r="D254" i="13"/>
  <c r="D255" i="13"/>
  <c r="D256" i="13"/>
  <c r="D257" i="13"/>
  <c r="D258" i="13"/>
  <c r="D259" i="13"/>
  <c r="D260" i="13"/>
  <c r="D261" i="13"/>
  <c r="D262" i="13"/>
  <c r="D263" i="13"/>
  <c r="D264" i="13"/>
  <c r="D265" i="13"/>
  <c r="D266" i="13"/>
  <c r="D267" i="13"/>
  <c r="D268" i="13"/>
  <c r="D269" i="13"/>
  <c r="D270" i="13"/>
  <c r="D271" i="13"/>
  <c r="D272" i="13"/>
  <c r="D273" i="13"/>
  <c r="D274" i="13"/>
  <c r="D275" i="13"/>
  <c r="D276" i="13"/>
  <c r="D277" i="13"/>
  <c r="D278" i="13"/>
  <c r="D279" i="13"/>
  <c r="D280" i="13"/>
  <c r="D281" i="13"/>
  <c r="D282" i="13"/>
  <c r="D283" i="13"/>
  <c r="D284" i="13"/>
  <c r="D285" i="13"/>
  <c r="D286" i="13"/>
  <c r="D287" i="13"/>
  <c r="D288" i="13"/>
  <c r="D289" i="13"/>
  <c r="D290" i="13"/>
  <c r="D291" i="13"/>
  <c r="D292" i="13"/>
  <c r="D293" i="13"/>
  <c r="D294" i="13"/>
  <c r="D295" i="13"/>
  <c r="D296" i="13"/>
  <c r="D297" i="13"/>
  <c r="D298" i="13"/>
  <c r="D299" i="13"/>
  <c r="D300" i="13"/>
  <c r="D301" i="13"/>
  <c r="D302" i="13"/>
  <c r="D303" i="13"/>
  <c r="D304" i="13"/>
  <c r="D305" i="13"/>
  <c r="D306" i="13"/>
  <c r="D307" i="13"/>
  <c r="D308" i="13"/>
  <c r="D309" i="13"/>
  <c r="D310" i="13"/>
  <c r="D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45" i="13"/>
  <c r="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0" i="13"/>
  <c r="B221"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B258" i="13"/>
  <c r="B259" i="13"/>
  <c r="B260" i="13"/>
  <c r="B261" i="13"/>
  <c r="B262" i="13"/>
  <c r="B263" i="13"/>
  <c r="B264" i="13"/>
  <c r="B265" i="13"/>
  <c r="B266" i="13"/>
  <c r="B267" i="13"/>
  <c r="B268" i="13"/>
  <c r="B269" i="13"/>
  <c r="B270" i="13"/>
  <c r="B271" i="13"/>
  <c r="B272" i="13"/>
  <c r="B273" i="13"/>
  <c r="B274" i="13"/>
  <c r="B275" i="13"/>
  <c r="B276" i="13"/>
  <c r="B277" i="13"/>
  <c r="B278" i="13"/>
  <c r="B279" i="13"/>
  <c r="B280" i="13"/>
  <c r="B281" i="13"/>
  <c r="B282" i="13"/>
  <c r="B283" i="13"/>
  <c r="B284" i="13"/>
  <c r="B285" i="13"/>
  <c r="B286" i="13"/>
  <c r="B287" i="13"/>
  <c r="B288" i="13"/>
  <c r="B289" i="13"/>
  <c r="B290" i="13"/>
  <c r="B291" i="13"/>
  <c r="B292" i="13"/>
  <c r="B293" i="13"/>
  <c r="B294" i="13"/>
  <c r="B295" i="13"/>
  <c r="B296" i="13"/>
  <c r="B297" i="13"/>
  <c r="B298" i="13"/>
  <c r="B299" i="13"/>
  <c r="B300" i="13"/>
  <c r="B301" i="13"/>
  <c r="B302" i="13"/>
  <c r="B303" i="13"/>
  <c r="B304" i="13"/>
  <c r="B305" i="13"/>
  <c r="B306" i="13"/>
  <c r="B307" i="13"/>
  <c r="B308" i="13"/>
  <c r="B309" i="13"/>
  <c r="B310" i="13"/>
  <c r="B4" i="13"/>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4" i="13"/>
  <c r="T167" i="3"/>
  <c r="S167" i="3"/>
  <c r="R167" i="3"/>
  <c r="Q167" i="3"/>
  <c r="T159" i="3"/>
  <c r="S159" i="3"/>
  <c r="R159" i="3"/>
  <c r="Q159" i="3"/>
  <c r="W10" i="3"/>
  <c r="W167" i="3"/>
  <c r="W159" i="3"/>
  <c r="Q10" i="3"/>
  <c r="R10" i="3"/>
  <c r="S10" i="3"/>
  <c r="T10" i="3"/>
  <c r="T5" i="3"/>
  <c r="T6" i="3"/>
  <c r="T7" i="3"/>
  <c r="T8" i="3"/>
  <c r="T9"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120" i="3"/>
  <c r="T76" i="3"/>
  <c r="T77" i="3"/>
  <c r="T78" i="3"/>
  <c r="T79" i="3"/>
  <c r="T80" i="3"/>
  <c r="T81" i="3"/>
  <c r="T82" i="3"/>
  <c r="T83" i="3"/>
  <c r="T84" i="3"/>
  <c r="T85" i="3"/>
  <c r="T86" i="3"/>
  <c r="T87" i="3"/>
  <c r="T88" i="3"/>
  <c r="T89" i="3"/>
  <c r="T90"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60" i="3"/>
  <c r="T161" i="3"/>
  <c r="T91" i="3"/>
  <c r="T162" i="3"/>
  <c r="T163" i="3"/>
  <c r="T164" i="3"/>
  <c r="T165" i="3"/>
  <c r="T166" i="3"/>
  <c r="T168" i="3"/>
  <c r="T169" i="3"/>
  <c r="T170" i="3"/>
  <c r="T171" i="3"/>
  <c r="T172" i="3"/>
  <c r="T173" i="3"/>
  <c r="T175" i="3"/>
  <c r="T176" i="3"/>
  <c r="T177" i="3"/>
  <c r="T179" i="3"/>
  <c r="T180" i="3"/>
  <c r="T181" i="3"/>
  <c r="T182" i="3"/>
  <c r="T183" i="3"/>
  <c r="T184" i="3"/>
  <c r="T185" i="3"/>
  <c r="T186" i="3"/>
  <c r="T187" i="3"/>
  <c r="T188" i="3"/>
  <c r="T189" i="3"/>
  <c r="T190" i="3"/>
  <c r="T191" i="3"/>
  <c r="T192" i="3"/>
  <c r="T193" i="3"/>
  <c r="T194" i="3"/>
  <c r="T195" i="3"/>
  <c r="T196" i="3"/>
  <c r="T197" i="3"/>
  <c r="T198" i="3"/>
  <c r="T199" i="3"/>
  <c r="T200" i="3"/>
  <c r="T201" i="3"/>
  <c r="T202"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4" i="3"/>
  <c r="S5" i="3"/>
  <c r="S6" i="3"/>
  <c r="S7" i="3"/>
  <c r="S8" i="3"/>
  <c r="S9"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120" i="3"/>
  <c r="S76" i="3"/>
  <c r="S77" i="3"/>
  <c r="S78" i="3"/>
  <c r="S79" i="3"/>
  <c r="S80" i="3"/>
  <c r="S81" i="3"/>
  <c r="S82" i="3"/>
  <c r="S83" i="3"/>
  <c r="S84" i="3"/>
  <c r="S85" i="3"/>
  <c r="S86" i="3"/>
  <c r="S87" i="3"/>
  <c r="S88" i="3"/>
  <c r="S89" i="3"/>
  <c r="S90"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60" i="3"/>
  <c r="S161" i="3"/>
  <c r="S91" i="3"/>
  <c r="S162" i="3"/>
  <c r="S163" i="3"/>
  <c r="S164" i="3"/>
  <c r="S165" i="3"/>
  <c r="S166" i="3"/>
  <c r="S168" i="3"/>
  <c r="S169" i="3"/>
  <c r="S170" i="3"/>
  <c r="S171" i="3"/>
  <c r="S172" i="3"/>
  <c r="S173" i="3"/>
  <c r="S175" i="3"/>
  <c r="S176" i="3"/>
  <c r="S177" i="3"/>
  <c r="S179" i="3"/>
  <c r="S180" i="3"/>
  <c r="S181" i="3"/>
  <c r="S182" i="3"/>
  <c r="S183" i="3"/>
  <c r="S184" i="3"/>
  <c r="S185" i="3"/>
  <c r="S186" i="3"/>
  <c r="S187" i="3"/>
  <c r="S188" i="3"/>
  <c r="S189" i="3"/>
  <c r="S190" i="3"/>
  <c r="S191" i="3"/>
  <c r="S192" i="3"/>
  <c r="S193" i="3"/>
  <c r="S194" i="3"/>
  <c r="S195" i="3"/>
  <c r="S196" i="3"/>
  <c r="S197" i="3"/>
  <c r="S198" i="3"/>
  <c r="S199" i="3"/>
  <c r="S200" i="3"/>
  <c r="S201" i="3"/>
  <c r="S202"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4" i="3"/>
  <c r="R5" i="3"/>
  <c r="R6" i="3"/>
  <c r="R7" i="3"/>
  <c r="R8" i="3"/>
  <c r="R9"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120" i="3"/>
  <c r="R76" i="3"/>
  <c r="R77" i="3"/>
  <c r="R78" i="3"/>
  <c r="R79" i="3"/>
  <c r="R80" i="3"/>
  <c r="R81" i="3"/>
  <c r="R82" i="3"/>
  <c r="R83" i="3"/>
  <c r="R84" i="3"/>
  <c r="R85" i="3"/>
  <c r="R86" i="3"/>
  <c r="R87" i="3"/>
  <c r="R88" i="3"/>
  <c r="R89" i="3"/>
  <c r="R90"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60" i="3"/>
  <c r="R161" i="3"/>
  <c r="R91" i="3"/>
  <c r="R162" i="3"/>
  <c r="R163" i="3"/>
  <c r="R164" i="3"/>
  <c r="R165" i="3"/>
  <c r="R166" i="3"/>
  <c r="R168" i="3"/>
  <c r="R169" i="3"/>
  <c r="R170" i="3"/>
  <c r="R171" i="3"/>
  <c r="R172" i="3"/>
  <c r="R173" i="3"/>
  <c r="R175" i="3"/>
  <c r="R176" i="3"/>
  <c r="R177" i="3"/>
  <c r="R179" i="3"/>
  <c r="R180" i="3"/>
  <c r="R181" i="3"/>
  <c r="R182" i="3"/>
  <c r="R183" i="3"/>
  <c r="R184" i="3"/>
  <c r="R185" i="3"/>
  <c r="R186" i="3"/>
  <c r="R187" i="3"/>
  <c r="R188" i="3"/>
  <c r="R189" i="3"/>
  <c r="R190" i="3"/>
  <c r="R191" i="3"/>
  <c r="R192" i="3"/>
  <c r="R193" i="3"/>
  <c r="R194" i="3"/>
  <c r="R195" i="3"/>
  <c r="R196" i="3"/>
  <c r="R197" i="3"/>
  <c r="R198" i="3"/>
  <c r="R199" i="3"/>
  <c r="R200" i="3"/>
  <c r="R201" i="3"/>
  <c r="R202"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4" i="3"/>
  <c r="W46" i="3"/>
  <c r="Q46" i="3"/>
  <c r="Q5" i="3"/>
  <c r="Q6" i="3"/>
  <c r="Q7" i="3"/>
  <c r="Q8" i="3"/>
  <c r="Q9"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120" i="3"/>
  <c r="Q76" i="3"/>
  <c r="Q77" i="3"/>
  <c r="Q78" i="3"/>
  <c r="Q79" i="3"/>
  <c r="Q80" i="3"/>
  <c r="Q81" i="3"/>
  <c r="Q82" i="3"/>
  <c r="Q83" i="3"/>
  <c r="Q84" i="3"/>
  <c r="Q85" i="3"/>
  <c r="Q86" i="3"/>
  <c r="Q87" i="3"/>
  <c r="Q88" i="3"/>
  <c r="Q89" i="3"/>
  <c r="Q90"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60" i="3"/>
  <c r="Q161" i="3"/>
  <c r="Q91" i="3"/>
  <c r="Q162" i="3"/>
  <c r="Q163" i="3"/>
  <c r="Q164" i="3"/>
  <c r="Q165" i="3"/>
  <c r="Q166" i="3"/>
  <c r="Q168" i="3"/>
  <c r="Q169" i="3"/>
  <c r="Q170" i="3"/>
  <c r="Q171" i="3"/>
  <c r="Q172" i="3"/>
  <c r="Q173" i="3"/>
  <c r="Q175" i="3"/>
  <c r="Q176" i="3"/>
  <c r="Q177" i="3"/>
  <c r="Q179" i="3"/>
  <c r="Q180" i="3"/>
  <c r="Q181" i="3"/>
  <c r="Q182" i="3"/>
  <c r="Q183" i="3"/>
  <c r="Q184" i="3"/>
  <c r="Q185" i="3"/>
  <c r="Q186" i="3"/>
  <c r="Q187" i="3"/>
  <c r="Q188" i="3"/>
  <c r="Q189" i="3"/>
  <c r="Q190" i="3"/>
  <c r="Q191" i="3"/>
  <c r="Q192" i="3"/>
  <c r="Q193" i="3"/>
  <c r="Q194" i="3"/>
  <c r="Q195" i="3"/>
  <c r="Q196" i="3"/>
  <c r="Q197" i="3"/>
  <c r="Q198" i="3"/>
  <c r="Q199" i="3"/>
  <c r="Q200" i="3"/>
  <c r="Q201" i="3"/>
  <c r="Q202"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4" i="3"/>
  <c r="W265" i="3"/>
  <c r="W267" i="3"/>
  <c r="W216" i="3"/>
  <c r="W215" i="3"/>
  <c r="W269" i="3"/>
  <c r="W268" i="3"/>
  <c r="W73" i="3"/>
  <c r="W144" i="3"/>
  <c r="W212" i="3"/>
  <c r="W86" i="3"/>
  <c r="W186" i="3"/>
  <c r="W78" i="3"/>
  <c r="P510" i="8"/>
  <c r="P509" i="8"/>
  <c r="P508" i="8"/>
  <c r="P507" i="8"/>
  <c r="P506" i="8"/>
  <c r="P505" i="8"/>
  <c r="P504" i="8"/>
  <c r="P503" i="8"/>
  <c r="P502" i="8"/>
  <c r="P501" i="8"/>
  <c r="P500" i="8"/>
  <c r="P499" i="8"/>
  <c r="P498" i="8"/>
  <c r="P497" i="8"/>
  <c r="P496" i="8"/>
  <c r="P495" i="8"/>
  <c r="P494" i="8"/>
  <c r="P493" i="8"/>
  <c r="P492" i="8"/>
  <c r="P491" i="8"/>
  <c r="P490" i="8"/>
  <c r="P489" i="8"/>
  <c r="P488" i="8"/>
  <c r="P487" i="8"/>
  <c r="P486" i="8"/>
  <c r="P485" i="8"/>
  <c r="P484" i="8"/>
  <c r="P483" i="8"/>
  <c r="P482" i="8"/>
  <c r="P481" i="8"/>
  <c r="P480" i="8"/>
  <c r="P479" i="8"/>
  <c r="P478" i="8"/>
  <c r="P477" i="8"/>
  <c r="P476" i="8"/>
  <c r="P475" i="8"/>
  <c r="P474" i="8"/>
  <c r="P473" i="8"/>
  <c r="P472" i="8"/>
  <c r="P471" i="8"/>
  <c r="P470" i="8"/>
  <c r="P469" i="8"/>
  <c r="P468" i="8"/>
  <c r="P467" i="8"/>
  <c r="P466" i="8"/>
  <c r="P465" i="8"/>
  <c r="P464" i="8"/>
  <c r="P463" i="8"/>
  <c r="P462" i="8"/>
  <c r="P461" i="8"/>
  <c r="P460" i="8"/>
  <c r="P459" i="8"/>
  <c r="P458" i="8"/>
  <c r="P457" i="8"/>
  <c r="P456" i="8"/>
  <c r="P455" i="8"/>
  <c r="P454" i="8"/>
  <c r="P453" i="8"/>
  <c r="P452" i="8"/>
  <c r="P451" i="8"/>
  <c r="P450" i="8"/>
  <c r="P449" i="8"/>
  <c r="P448" i="8"/>
  <c r="P447" i="8"/>
  <c r="P446" i="8"/>
  <c r="P445" i="8"/>
  <c r="P444" i="8"/>
  <c r="P443" i="8"/>
  <c r="P442" i="8"/>
  <c r="P441" i="8"/>
  <c r="P440" i="8"/>
  <c r="P439" i="8"/>
  <c r="P438" i="8"/>
  <c r="P437" i="8"/>
  <c r="P436" i="8"/>
  <c r="P435" i="8"/>
  <c r="P434" i="8"/>
  <c r="P433" i="8"/>
  <c r="P432" i="8"/>
  <c r="P431" i="8"/>
  <c r="P430" i="8"/>
  <c r="P429" i="8"/>
  <c r="P428" i="8"/>
  <c r="P427" i="8"/>
  <c r="P426" i="8"/>
  <c r="P425" i="8"/>
  <c r="P424" i="8"/>
  <c r="P423" i="8"/>
  <c r="P422" i="8"/>
  <c r="P421" i="8"/>
  <c r="P420" i="8"/>
  <c r="P419" i="8"/>
  <c r="P418" i="8"/>
  <c r="P417" i="8"/>
  <c r="P416" i="8"/>
  <c r="P415" i="8"/>
  <c r="P414" i="8"/>
  <c r="P413" i="8"/>
  <c r="P412" i="8"/>
  <c r="P411" i="8"/>
  <c r="P410" i="8"/>
  <c r="P409" i="8"/>
  <c r="P408" i="8"/>
  <c r="P407" i="8"/>
  <c r="P406" i="8"/>
  <c r="P405" i="8"/>
  <c r="P404" i="8"/>
  <c r="P403" i="8"/>
  <c r="P402" i="8"/>
  <c r="P401" i="8"/>
  <c r="P400" i="8"/>
  <c r="P399" i="8"/>
  <c r="P398" i="8"/>
  <c r="P397" i="8"/>
  <c r="P396" i="8"/>
  <c r="P395" i="8"/>
  <c r="P394" i="8"/>
  <c r="P393" i="8"/>
  <c r="P392" i="8"/>
  <c r="P391" i="8"/>
  <c r="P390" i="8"/>
  <c r="P389" i="8"/>
  <c r="P388" i="8"/>
  <c r="P387" i="8"/>
  <c r="P386" i="8"/>
  <c r="P385" i="8"/>
  <c r="P384" i="8"/>
  <c r="P383" i="8"/>
  <c r="P382" i="8"/>
  <c r="P381" i="8"/>
  <c r="P380" i="8"/>
  <c r="P379" i="8"/>
  <c r="P378" i="8"/>
  <c r="P377" i="8"/>
  <c r="P376" i="8"/>
  <c r="P375" i="8"/>
  <c r="P374" i="8"/>
  <c r="P373" i="8"/>
  <c r="P372" i="8"/>
  <c r="P371" i="8"/>
  <c r="P370" i="8"/>
  <c r="P369" i="8"/>
  <c r="P368" i="8"/>
  <c r="P367" i="8"/>
  <c r="P366" i="8"/>
  <c r="P365" i="8"/>
  <c r="P364" i="8"/>
  <c r="P363" i="8"/>
  <c r="P362" i="8"/>
  <c r="P361" i="8"/>
  <c r="P360" i="8"/>
  <c r="P359" i="8"/>
  <c r="P358" i="8"/>
  <c r="P357" i="8"/>
  <c r="P356" i="8"/>
  <c r="P355" i="8"/>
  <c r="P354" i="8"/>
  <c r="P353" i="8"/>
  <c r="P352" i="8"/>
  <c r="P351" i="8"/>
  <c r="P350" i="8"/>
  <c r="P349" i="8"/>
  <c r="P348" i="8"/>
  <c r="P347" i="8"/>
  <c r="P346" i="8"/>
  <c r="P345" i="8"/>
  <c r="P344" i="8"/>
  <c r="P343" i="8"/>
  <c r="P342" i="8"/>
  <c r="P341" i="8"/>
  <c r="P340" i="8"/>
  <c r="P339" i="8"/>
  <c r="P338" i="8"/>
  <c r="P337" i="8"/>
  <c r="P336" i="8"/>
  <c r="P335" i="8"/>
  <c r="P334" i="8"/>
  <c r="P333" i="8"/>
  <c r="P332" i="8"/>
  <c r="P331" i="8"/>
  <c r="P330" i="8"/>
  <c r="P329" i="8"/>
  <c r="P328" i="8"/>
  <c r="P327" i="8"/>
  <c r="P326" i="8"/>
  <c r="P325" i="8"/>
  <c r="P324" i="8"/>
  <c r="P323" i="8"/>
  <c r="P322" i="8"/>
  <c r="P321" i="8"/>
  <c r="P320" i="8"/>
  <c r="P319" i="8"/>
  <c r="P318" i="8"/>
  <c r="P317" i="8"/>
  <c r="P316" i="8"/>
  <c r="P315" i="8"/>
  <c r="P314" i="8"/>
  <c r="P313" i="8"/>
  <c r="P312" i="8"/>
  <c r="P311" i="8"/>
  <c r="P310" i="8"/>
  <c r="P309" i="8"/>
  <c r="P308" i="8"/>
  <c r="P307" i="8"/>
  <c r="P306" i="8"/>
  <c r="P305" i="8"/>
  <c r="P304" i="8"/>
  <c r="P303" i="8"/>
  <c r="P302" i="8"/>
  <c r="P301" i="8"/>
  <c r="P300" i="8"/>
  <c r="P299" i="8"/>
  <c r="P298" i="8"/>
  <c r="P297" i="8"/>
  <c r="P296" i="8"/>
  <c r="P295" i="8"/>
  <c r="P294" i="8"/>
  <c r="P293" i="8"/>
  <c r="P292" i="8"/>
  <c r="P291" i="8"/>
  <c r="P290" i="8"/>
  <c r="P289" i="8"/>
  <c r="P288" i="8"/>
  <c r="P287" i="8"/>
  <c r="P286" i="8"/>
  <c r="P285" i="8"/>
  <c r="P284" i="8"/>
  <c r="P283" i="8"/>
  <c r="P282" i="8"/>
  <c r="P281" i="8"/>
  <c r="P280" i="8"/>
  <c r="P279" i="8"/>
  <c r="P278" i="8"/>
  <c r="P277" i="8"/>
  <c r="P276" i="8"/>
  <c r="P275" i="8"/>
  <c r="P274" i="8"/>
  <c r="P273" i="8"/>
  <c r="P272" i="8"/>
  <c r="P271" i="8"/>
  <c r="P270" i="8"/>
  <c r="P269" i="8"/>
  <c r="P268" i="8"/>
  <c r="P267" i="8"/>
  <c r="P266" i="8"/>
  <c r="P265" i="8"/>
  <c r="P264" i="8"/>
  <c r="P263" i="8"/>
  <c r="P262" i="8"/>
  <c r="P261" i="8"/>
  <c r="P260" i="8"/>
  <c r="P259" i="8"/>
  <c r="P258" i="8"/>
  <c r="P257" i="8"/>
  <c r="P256" i="8"/>
  <c r="P255" i="8"/>
  <c r="P254" i="8"/>
  <c r="P253" i="8"/>
  <c r="P252" i="8"/>
  <c r="P251" i="8"/>
  <c r="P250" i="8"/>
  <c r="P249" i="8"/>
  <c r="P248" i="8"/>
  <c r="P247" i="8"/>
  <c r="P246" i="8"/>
  <c r="P245" i="8"/>
  <c r="P244" i="8"/>
  <c r="P243" i="8"/>
  <c r="P242" i="8"/>
  <c r="P241" i="8"/>
  <c r="P240" i="8"/>
  <c r="P239" i="8"/>
  <c r="P238" i="8"/>
  <c r="P237" i="8"/>
  <c r="P236" i="8"/>
  <c r="P235" i="8"/>
  <c r="P234" i="8"/>
  <c r="P233" i="8"/>
  <c r="P232" i="8"/>
  <c r="P231" i="8"/>
  <c r="P230" i="8"/>
  <c r="P229" i="8"/>
  <c r="P228" i="8"/>
  <c r="P227" i="8"/>
  <c r="P226" i="8"/>
  <c r="P225" i="8"/>
  <c r="P224" i="8"/>
  <c r="P223" i="8"/>
  <c r="P222" i="8"/>
  <c r="P221" i="8"/>
  <c r="P220" i="8"/>
  <c r="P219" i="8"/>
  <c r="P218" i="8"/>
  <c r="P217" i="8"/>
  <c r="P216" i="8"/>
  <c r="P215" i="8"/>
  <c r="P214" i="8"/>
  <c r="P213" i="8"/>
  <c r="P212" i="8"/>
  <c r="P211" i="8"/>
  <c r="P210" i="8"/>
  <c r="P209" i="8"/>
  <c r="P208" i="8"/>
  <c r="P207" i="8"/>
  <c r="P206" i="8"/>
  <c r="P205" i="8"/>
  <c r="P204" i="8"/>
  <c r="P203" i="8"/>
  <c r="P202" i="8"/>
  <c r="P201" i="8"/>
  <c r="P200" i="8"/>
  <c r="P199" i="8"/>
  <c r="P198" i="8"/>
  <c r="P197" i="8"/>
  <c r="P196" i="8"/>
  <c r="P195" i="8"/>
  <c r="P194" i="8"/>
  <c r="P193" i="8"/>
  <c r="P192" i="8"/>
  <c r="P191" i="8"/>
  <c r="P190" i="8"/>
  <c r="P189" i="8"/>
  <c r="P188" i="8"/>
  <c r="P187" i="8"/>
  <c r="P186" i="8"/>
  <c r="P185" i="8"/>
  <c r="P184" i="8"/>
  <c r="P183" i="8"/>
  <c r="P182" i="8"/>
  <c r="P181" i="8"/>
  <c r="P180" i="8"/>
  <c r="P179" i="8"/>
  <c r="P178" i="8"/>
  <c r="P177" i="8"/>
  <c r="P176" i="8"/>
  <c r="P175" i="8"/>
  <c r="P174" i="8"/>
  <c r="P173" i="8"/>
  <c r="P172" i="8"/>
  <c r="P171" i="8"/>
  <c r="P170" i="8"/>
  <c r="P169" i="8"/>
  <c r="P168" i="8"/>
  <c r="P167" i="8"/>
  <c r="P166" i="8"/>
  <c r="P165" i="8"/>
  <c r="P164" i="8"/>
  <c r="P163" i="8"/>
  <c r="P162" i="8"/>
  <c r="P161" i="8"/>
  <c r="P160" i="8"/>
  <c r="P159" i="8"/>
  <c r="P158" i="8"/>
  <c r="P157" i="8"/>
  <c r="P156" i="8"/>
  <c r="P155" i="8"/>
  <c r="P154" i="8"/>
  <c r="P153" i="8"/>
  <c r="P152" i="8"/>
  <c r="P151" i="8"/>
  <c r="P150" i="8"/>
  <c r="P149" i="8"/>
  <c r="P148" i="8"/>
  <c r="P147" i="8"/>
  <c r="P146" i="8"/>
  <c r="P145" i="8"/>
  <c r="P144" i="8"/>
  <c r="P143" i="8"/>
  <c r="P142" i="8"/>
  <c r="P141" i="8"/>
  <c r="P140" i="8"/>
  <c r="P139" i="8"/>
  <c r="P138" i="8"/>
  <c r="P137" i="8"/>
  <c r="P136" i="8"/>
  <c r="P135" i="8"/>
  <c r="P134" i="8"/>
  <c r="P133" i="8"/>
  <c r="P132" i="8"/>
  <c r="P131" i="8"/>
  <c r="P130" i="8"/>
  <c r="P129" i="8"/>
  <c r="P128" i="8"/>
  <c r="P127" i="8"/>
  <c r="P126" i="8"/>
  <c r="P125" i="8"/>
  <c r="P124" i="8"/>
  <c r="P123" i="8"/>
  <c r="P122" i="8"/>
  <c r="P121" i="8"/>
  <c r="P120" i="8"/>
  <c r="P119" i="8"/>
  <c r="P118" i="8"/>
  <c r="P117" i="8"/>
  <c r="P116" i="8"/>
  <c r="P115" i="8"/>
  <c r="P114" i="8"/>
  <c r="P113" i="8"/>
  <c r="P112" i="8"/>
  <c r="P111" i="8"/>
  <c r="P110" i="8"/>
  <c r="P109" i="8"/>
  <c r="P108" i="8"/>
  <c r="P107" i="8"/>
  <c r="P106" i="8"/>
  <c r="P105" i="8"/>
  <c r="P104" i="8"/>
  <c r="P103" i="8"/>
  <c r="P102" i="8"/>
  <c r="P101" i="8"/>
  <c r="P100" i="8"/>
  <c r="P99" i="8"/>
  <c r="P98" i="8"/>
  <c r="P97" i="8"/>
  <c r="P96" i="8"/>
  <c r="P95" i="8"/>
  <c r="P94" i="8"/>
  <c r="P93" i="8"/>
  <c r="P92" i="8"/>
  <c r="P91" i="8"/>
  <c r="P90" i="8"/>
  <c r="P89" i="8"/>
  <c r="P88" i="8"/>
  <c r="P87" i="8"/>
  <c r="P86" i="8"/>
  <c r="P85" i="8"/>
  <c r="P84" i="8"/>
  <c r="P83" i="8"/>
  <c r="P82" i="8"/>
  <c r="P81" i="8"/>
  <c r="P80" i="8"/>
  <c r="P79" i="8"/>
  <c r="P78" i="8"/>
  <c r="P77" i="8"/>
  <c r="P76" i="8"/>
  <c r="P75" i="8"/>
  <c r="P74" i="8"/>
  <c r="P73" i="8"/>
  <c r="P72" i="8"/>
  <c r="P71" i="8"/>
  <c r="P70" i="8"/>
  <c r="P69" i="8"/>
  <c r="P68" i="8"/>
  <c r="P67" i="8"/>
  <c r="P66" i="8"/>
  <c r="P65" i="8"/>
  <c r="P64" i="8"/>
  <c r="P63" i="8"/>
  <c r="P62" i="8"/>
  <c r="P61" i="8"/>
  <c r="P60" i="8"/>
  <c r="P59" i="8"/>
  <c r="P58" i="8"/>
  <c r="P57" i="8"/>
  <c r="P56" i="8"/>
  <c r="P55" i="8"/>
  <c r="P54" i="8"/>
  <c r="P53" i="8"/>
  <c r="P52" i="8"/>
  <c r="P51" i="8"/>
  <c r="P50" i="8"/>
  <c r="P49" i="8"/>
  <c r="P48" i="8"/>
  <c r="P47" i="8"/>
  <c r="P46" i="8"/>
  <c r="P45" i="8"/>
  <c r="P44" i="8"/>
  <c r="P43" i="8"/>
  <c r="P42" i="8"/>
  <c r="P41" i="8"/>
  <c r="P40" i="8"/>
  <c r="P39" i="8"/>
  <c r="P38" i="8"/>
  <c r="P37" i="8"/>
  <c r="P36" i="8"/>
  <c r="P35" i="8"/>
  <c r="P34" i="8"/>
  <c r="P33" i="8"/>
  <c r="P32" i="8"/>
  <c r="P31" i="8"/>
  <c r="P30" i="8"/>
  <c r="P29" i="8"/>
  <c r="P28" i="8"/>
  <c r="P27" i="8"/>
  <c r="P26" i="8"/>
  <c r="P25" i="8"/>
  <c r="P24" i="8"/>
  <c r="P23" i="8"/>
  <c r="P22" i="8"/>
  <c r="P21" i="8"/>
  <c r="P20" i="8"/>
  <c r="P19" i="8"/>
  <c r="P18" i="8"/>
  <c r="P17" i="8"/>
  <c r="P16" i="8"/>
  <c r="P15" i="8"/>
  <c r="P14" i="8"/>
  <c r="P13" i="8"/>
  <c r="P12" i="8"/>
  <c r="P11" i="8"/>
  <c r="P10" i="8"/>
  <c r="P9" i="8"/>
  <c r="P8" i="8"/>
  <c r="P7" i="8"/>
  <c r="P6" i="8"/>
  <c r="P5" i="8"/>
  <c r="P4" i="8"/>
  <c r="W307" i="3"/>
  <c r="W306" i="3"/>
  <c r="W305" i="3"/>
  <c r="W304" i="3"/>
  <c r="W303" i="3"/>
  <c r="W296" i="3"/>
  <c r="W297" i="3"/>
  <c r="W298" i="3"/>
  <c r="W299" i="3"/>
  <c r="W300" i="3"/>
  <c r="W301" i="3"/>
  <c r="W302" i="3"/>
  <c r="W309" i="3"/>
  <c r="W308" i="3"/>
  <c r="W295" i="3"/>
  <c r="W294" i="3"/>
  <c r="W293" i="3"/>
  <c r="W292" i="3"/>
  <c r="W291" i="3"/>
  <c r="W290" i="3"/>
  <c r="W281" i="3"/>
  <c r="W282" i="3"/>
  <c r="W283" i="3"/>
  <c r="W284" i="3"/>
  <c r="W285" i="3"/>
  <c r="W286" i="3"/>
  <c r="W287" i="3"/>
  <c r="W288" i="3"/>
  <c r="W289" i="3"/>
  <c r="W270" i="3"/>
  <c r="W271" i="3"/>
  <c r="W272" i="3"/>
  <c r="W273" i="3"/>
  <c r="W274" i="3"/>
  <c r="W275" i="3"/>
  <c r="W276" i="3"/>
  <c r="W279" i="3"/>
  <c r="W280" i="3"/>
  <c r="W310" i="3"/>
  <c r="W311" i="3"/>
  <c r="W312" i="3"/>
  <c r="W313" i="3"/>
  <c r="W314" i="3"/>
  <c r="W315" i="3"/>
  <c r="W260" i="3"/>
  <c r="W261" i="3"/>
  <c r="W262" i="3"/>
  <c r="W263" i="3"/>
  <c r="W264" i="3"/>
  <c r="W266" i="3"/>
  <c r="W254" i="3"/>
  <c r="W255" i="3"/>
  <c r="W256" i="3"/>
  <c r="W257" i="3"/>
  <c r="W258" i="3"/>
  <c r="W259" i="3"/>
  <c r="W251" i="3"/>
  <c r="W252" i="3"/>
  <c r="W253" i="3"/>
  <c r="W250" i="3"/>
  <c r="W249" i="3"/>
  <c r="W248" i="3"/>
  <c r="W229" i="3"/>
  <c r="W230" i="3"/>
  <c r="W231" i="3"/>
  <c r="W232" i="3"/>
  <c r="W233" i="3"/>
  <c r="W234" i="3"/>
  <c r="W235" i="3"/>
  <c r="W236" i="3"/>
  <c r="W237" i="3"/>
  <c r="W238" i="3"/>
  <c r="W239" i="3"/>
  <c r="W240" i="3"/>
  <c r="W241" i="3"/>
  <c r="W242" i="3"/>
  <c r="W243" i="3"/>
  <c r="W244" i="3"/>
  <c r="W223" i="3"/>
  <c r="W224" i="3"/>
  <c r="W225" i="3"/>
  <c r="W226" i="3"/>
  <c r="W227" i="3"/>
  <c r="W228" i="3"/>
  <c r="W245" i="3"/>
  <c r="W246" i="3"/>
  <c r="W247" i="3"/>
  <c r="W198" i="3"/>
  <c r="W199" i="3"/>
  <c r="W200" i="3"/>
  <c r="W201" i="3"/>
  <c r="W202" i="3"/>
  <c r="W204" i="3"/>
  <c r="W205" i="3"/>
  <c r="W206" i="3"/>
  <c r="W207" i="3"/>
  <c r="W208" i="3"/>
  <c r="W209" i="3"/>
  <c r="W210" i="3"/>
  <c r="W211" i="3"/>
  <c r="W213" i="3"/>
  <c r="W214" i="3"/>
  <c r="W217" i="3"/>
  <c r="W218" i="3"/>
  <c r="W219" i="3"/>
  <c r="W220" i="3"/>
  <c r="W221" i="3"/>
  <c r="W222" i="3"/>
  <c r="W197" i="3"/>
  <c r="W196" i="3"/>
  <c r="W195" i="3"/>
  <c r="W194" i="3"/>
  <c r="W193" i="3"/>
  <c r="W192" i="3"/>
  <c r="W191" i="3"/>
  <c r="W182" i="3"/>
  <c r="W183" i="3"/>
  <c r="W184" i="3"/>
  <c r="W185" i="3"/>
  <c r="W187" i="3"/>
  <c r="W188" i="3"/>
  <c r="W189" i="3"/>
  <c r="W190" i="3"/>
  <c r="W177" i="3"/>
  <c r="W176" i="3"/>
  <c r="W175" i="3"/>
  <c r="W179" i="3"/>
  <c r="W180" i="3"/>
  <c r="W181" i="3"/>
  <c r="W173" i="3"/>
  <c r="W170" i="3"/>
  <c r="W172" i="3"/>
  <c r="W169" i="3"/>
  <c r="W139" i="3"/>
  <c r="W140" i="3"/>
  <c r="W141" i="3"/>
  <c r="W142" i="3"/>
  <c r="W143" i="3"/>
  <c r="W145" i="3"/>
  <c r="W171" i="3"/>
  <c r="W147" i="3"/>
  <c r="W148" i="3"/>
  <c r="W149" i="3"/>
  <c r="W150" i="3"/>
  <c r="W151" i="3"/>
  <c r="W152" i="3"/>
  <c r="W153" i="3"/>
  <c r="W154" i="3"/>
  <c r="W155" i="3"/>
  <c r="W156" i="3"/>
  <c r="W157" i="3"/>
  <c r="W158" i="3"/>
  <c r="W160" i="3"/>
  <c r="W161" i="3"/>
  <c r="W91" i="3"/>
  <c r="W162" i="3"/>
  <c r="W163" i="3"/>
  <c r="W164" i="3"/>
  <c r="W165" i="3"/>
  <c r="W166" i="3"/>
  <c r="W168" i="3"/>
  <c r="W146" i="3"/>
  <c r="W7" i="3"/>
  <c r="W6" i="3"/>
  <c r="W5" i="3"/>
  <c r="W56" i="3"/>
  <c r="W85" i="3"/>
  <c r="W87" i="3"/>
  <c r="W88" i="3"/>
  <c r="W89" i="3"/>
  <c r="W90"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1" i="3"/>
  <c r="W122" i="3"/>
  <c r="W123" i="3"/>
  <c r="W124" i="3"/>
  <c r="W125" i="3"/>
  <c r="W126" i="3"/>
  <c r="W127" i="3"/>
  <c r="W128" i="3"/>
  <c r="W129" i="3"/>
  <c r="W130" i="3"/>
  <c r="W131" i="3"/>
  <c r="W132" i="3"/>
  <c r="W133" i="3"/>
  <c r="W134" i="3"/>
  <c r="W135" i="3"/>
  <c r="W136" i="3"/>
  <c r="W137" i="3"/>
  <c r="W138" i="3"/>
  <c r="W84" i="3"/>
  <c r="W83" i="3"/>
  <c r="W82" i="3"/>
  <c r="W81" i="3"/>
  <c r="W80" i="3"/>
  <c r="W79" i="3"/>
  <c r="W77" i="3"/>
  <c r="W76" i="3"/>
  <c r="W4" i="3"/>
  <c r="W8" i="3"/>
  <c r="W9" i="3"/>
  <c r="W61" i="3"/>
  <c r="W62" i="3"/>
  <c r="W63" i="3"/>
  <c r="W64" i="3"/>
  <c r="W65" i="3"/>
  <c r="W66" i="3"/>
  <c r="W67" i="3"/>
  <c r="W68" i="3"/>
  <c r="W69" i="3"/>
  <c r="W70" i="3"/>
  <c r="W71" i="3"/>
  <c r="W60" i="3"/>
  <c r="W11" i="3"/>
  <c r="W12" i="3"/>
  <c r="W13" i="3"/>
  <c r="W14" i="3"/>
  <c r="W15" i="3"/>
  <c r="W16" i="3"/>
  <c r="W17" i="3"/>
  <c r="W18" i="3"/>
  <c r="W19" i="3"/>
  <c r="W20" i="3"/>
  <c r="W21" i="3"/>
  <c r="W22" i="3"/>
  <c r="W72" i="3"/>
  <c r="W23" i="3"/>
  <c r="W24" i="3"/>
  <c r="W25" i="3"/>
  <c r="W26" i="3"/>
  <c r="W27" i="3"/>
  <c r="W28" i="3"/>
  <c r="W29" i="3"/>
  <c r="W30" i="3"/>
  <c r="W31" i="3"/>
  <c r="W32" i="3"/>
  <c r="W33" i="3"/>
  <c r="W34" i="3"/>
  <c r="W35" i="3"/>
  <c r="W36" i="3"/>
  <c r="W37" i="3"/>
  <c r="W38" i="3"/>
  <c r="W39" i="3"/>
  <c r="W40" i="3"/>
  <c r="W41" i="3"/>
  <c r="W42" i="3"/>
  <c r="W43" i="3"/>
  <c r="W44" i="3"/>
  <c r="W45" i="3"/>
  <c r="W47" i="3"/>
  <c r="W48" i="3"/>
  <c r="W49" i="3"/>
  <c r="W50" i="3"/>
  <c r="W51" i="3"/>
  <c r="W52" i="3"/>
  <c r="W53" i="3"/>
  <c r="W54" i="3"/>
  <c r="W55" i="3"/>
  <c r="W57" i="3"/>
  <c r="W58" i="3"/>
  <c r="W59" i="3"/>
  <c r="W74" i="3"/>
  <c r="W75" i="3"/>
  <c r="W12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F5" authorId="0" shapeId="0" xr:uid="{5C7EEBD5-376D-419F-8E71-CC97C6DC3FEF}">
      <text>
        <r>
          <rPr>
            <b/>
            <sz val="9"/>
            <color indexed="81"/>
            <rFont val="Tahoma"/>
            <family val="2"/>
          </rPr>
          <t>Bev Tyler:</t>
        </r>
        <r>
          <rPr>
            <sz val="9"/>
            <color indexed="81"/>
            <rFont val="Tahoma"/>
            <family val="2"/>
          </rPr>
          <t xml:space="preserve">
5/12/25 - just a few values, not sure of all of them</t>
        </r>
      </text>
    </comment>
    <comment ref="G5" authorId="0" shapeId="0" xr:uid="{731D4462-AC5E-4D15-BA05-002D25ECC220}">
      <text>
        <r>
          <rPr>
            <b/>
            <sz val="9"/>
            <color indexed="81"/>
            <rFont val="Tahoma"/>
            <family val="2"/>
          </rPr>
          <t>Bev Tyler:</t>
        </r>
        <r>
          <rPr>
            <sz val="9"/>
            <color indexed="81"/>
            <rFont val="Tahoma"/>
            <family val="2"/>
          </rPr>
          <t xml:space="preserve">
5/12/25 - green highlighted columns simplfy data each step to only the valid values from the previous step (column)</t>
        </r>
      </text>
    </comment>
    <comment ref="B16" authorId="0" shapeId="0" xr:uid="{F516C0D8-1BCD-47F2-B2E2-DA529DE9C765}">
      <text>
        <r>
          <rPr>
            <b/>
            <sz val="9"/>
            <color indexed="81"/>
            <rFont val="Tahoma"/>
            <family val="2"/>
          </rPr>
          <t>Bev Tyler:</t>
        </r>
        <r>
          <rPr>
            <sz val="9"/>
            <color indexed="81"/>
            <rFont val="Tahoma"/>
            <family val="2"/>
          </rPr>
          <t xml:space="preserve">
5/12/25 - found this field within the PDF of an NIF; it is not in the NIF Training deck</t>
        </r>
      </text>
    </comment>
    <comment ref="I25" authorId="0" shapeId="0" xr:uid="{66767144-A3F2-4FAE-89F5-4A4F7289B14F}">
      <text>
        <r>
          <rPr>
            <b/>
            <sz val="9"/>
            <color indexed="81"/>
            <rFont val="Tahoma"/>
            <family val="2"/>
          </rPr>
          <t>Bev Tyler:</t>
        </r>
        <r>
          <rPr>
            <sz val="9"/>
            <color indexed="81"/>
            <rFont val="Tahoma"/>
            <family val="2"/>
          </rPr>
          <t xml:space="preserve">
5/12/25 - not sure what the DTC Product Sub Types are</t>
        </r>
      </text>
    </comment>
    <comment ref="F56" authorId="0" shapeId="0" xr:uid="{5185EF31-27F9-471F-810E-A8DE59B631D9}">
      <text>
        <r>
          <rPr>
            <b/>
            <sz val="9"/>
            <color indexed="81"/>
            <rFont val="Tahoma"/>
            <family val="2"/>
          </rPr>
          <t>Bev Tyler:</t>
        </r>
        <r>
          <rPr>
            <sz val="9"/>
            <color indexed="81"/>
            <rFont val="Tahoma"/>
            <family val="2"/>
          </rPr>
          <t xml:space="preserve">
5/12/25 - just a few customers noted
</t>
        </r>
      </text>
    </comment>
    <comment ref="F76" authorId="0" shapeId="0" xr:uid="{65841151-AB27-422B-BAA0-28786FA6B513}">
      <text>
        <r>
          <rPr>
            <b/>
            <sz val="9"/>
            <color indexed="81"/>
            <rFont val="Tahoma"/>
            <family val="2"/>
          </rPr>
          <t>Bev Tyler:</t>
        </r>
        <r>
          <rPr>
            <sz val="9"/>
            <color indexed="81"/>
            <rFont val="Tahoma"/>
            <family val="2"/>
          </rPr>
          <t xml:space="preserve">
5/12/25 - just a few customers noted
</t>
        </r>
      </text>
    </comment>
    <comment ref="F101" authorId="0" shapeId="0" xr:uid="{7400A418-AEF1-460A-B84D-E226C181AA36}">
      <text>
        <r>
          <rPr>
            <b/>
            <sz val="9"/>
            <color indexed="81"/>
            <rFont val="Tahoma"/>
            <family val="2"/>
          </rPr>
          <t>Bev Tyler:</t>
        </r>
        <r>
          <rPr>
            <sz val="9"/>
            <color indexed="81"/>
            <rFont val="Tahoma"/>
            <family val="2"/>
          </rPr>
          <t xml:space="preserve">
5/12/25 - only a few values entered
</t>
        </r>
      </text>
    </comment>
    <comment ref="F128" authorId="0" shapeId="0" xr:uid="{7A4B36AC-3C0F-4906-BD16-8E325CDB36B3}">
      <text>
        <r>
          <rPr>
            <b/>
            <sz val="9"/>
            <color indexed="81"/>
            <rFont val="Tahoma"/>
            <family val="2"/>
          </rPr>
          <t>Bev Tyler:</t>
        </r>
        <r>
          <rPr>
            <sz val="9"/>
            <color indexed="81"/>
            <rFont val="Tahoma"/>
            <family val="2"/>
          </rPr>
          <t xml:space="preserve">
5/12/25 - not sure of this data, but should be similar to these values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G9" authorId="0" shapeId="0" xr:uid="{F74D80F3-B7F9-4C89-A233-976CAC757194}">
      <text>
        <r>
          <rPr>
            <b/>
            <sz val="9"/>
            <color indexed="81"/>
            <rFont val="Tahoma"/>
            <charset val="1"/>
          </rPr>
          <t>Bev Tyler:</t>
        </r>
        <r>
          <rPr>
            <sz val="9"/>
            <color indexed="81"/>
            <rFont val="Tahoma"/>
            <charset val="1"/>
          </rPr>
          <t xml:space="preserve">
10/28/25 - updated to specific name
</t>
        </r>
      </text>
    </comment>
    <comment ref="D175" authorId="0" shapeId="0" xr:uid="{B6344DCC-C57D-4426-9226-547DD46F9CE6}">
      <text>
        <r>
          <rPr>
            <b/>
            <sz val="9"/>
            <color indexed="81"/>
            <rFont val="Tahoma"/>
            <family val="2"/>
          </rPr>
          <t>Bev Tyler:</t>
        </r>
        <r>
          <rPr>
            <sz val="9"/>
            <color indexed="81"/>
            <rFont val="Tahoma"/>
            <family val="2"/>
          </rPr>
          <t xml:space="preserve">
10/3/25 - name changed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E1" authorId="0" shapeId="0" xr:uid="{E568B5EB-2564-4B85-BD33-7BBBCD2DB3B0}">
      <text>
        <r>
          <rPr>
            <b/>
            <sz val="9"/>
            <color indexed="81"/>
            <rFont val="Tahoma"/>
            <family val="2"/>
          </rPr>
          <t>Bev Tyler:</t>
        </r>
        <r>
          <rPr>
            <sz val="9"/>
            <color indexed="81"/>
            <rFont val="Tahoma"/>
            <family val="2"/>
          </rPr>
          <t xml:space="preserve">
10/15/25 @ 3:45pm EST - copied whole tab from Tamara's list on Kellanova site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F2" authorId="0" shapeId="0" xr:uid="{EF3281EC-3348-4D49-B86E-1F7BFA0DFF34}">
      <text>
        <r>
          <rPr>
            <b/>
            <sz val="9"/>
            <color indexed="81"/>
            <rFont val="Tahoma"/>
            <family val="2"/>
          </rPr>
          <t>Bev Tyler:</t>
        </r>
        <r>
          <rPr>
            <sz val="9"/>
            <color indexed="81"/>
            <rFont val="Tahoma"/>
            <family val="2"/>
          </rPr>
          <t xml:space="preserve">
as of 9/30/25 @ 2:45pm EST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B1" authorId="0" shapeId="0" xr:uid="{2552D49F-61F0-4ABA-83F1-0650DD37804C}">
      <text>
        <r>
          <rPr>
            <b/>
            <sz val="9"/>
            <color indexed="81"/>
            <rFont val="Tahoma"/>
            <family val="2"/>
          </rPr>
          <t>Bev Tyler:</t>
        </r>
        <r>
          <rPr>
            <sz val="9"/>
            <color indexed="81"/>
            <rFont val="Tahoma"/>
            <family val="2"/>
          </rPr>
          <t xml:space="preserve">
1. No need to include the plurals, the chatbot can handle that.
2. These can be plural or singular, doesn't matter.
3. The chatbot can generally figure it out, but I suggest, to be clear:
a. Keep the slash if it always appears (effectively a single term) like “Pouch/Inner Package”.
b. Replace the slash with commas if it's multiple terms that can appear separately.  So “SKU / Item / Material / Product” becomes “SKU, Item, Material, or Product”.  The "or" is optional but the chatbot responds well to things like that to make it clear these are multiple terms.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Bev Tyler</author>
  </authors>
  <commentList>
    <comment ref="H78" authorId="0" shapeId="0" xr:uid="{E90BE413-D018-467F-9C8E-F6A8E30BF2A0}">
      <text>
        <r>
          <rPr>
            <b/>
            <sz val="9"/>
            <color indexed="81"/>
            <rFont val="Tahoma"/>
            <family val="2"/>
          </rPr>
          <t>Bev Tyler:</t>
        </r>
        <r>
          <rPr>
            <sz val="9"/>
            <color indexed="81"/>
            <rFont val="Tahoma"/>
            <family val="2"/>
          </rPr>
          <t xml:space="preserve">
9/16/25 - was Requestor with 1 enterable field at complexity=2</t>
        </r>
      </text>
    </comment>
  </commentList>
</comments>
</file>

<file path=xl/sharedStrings.xml><?xml version="1.0" encoding="utf-8"?>
<sst xmlns="http://schemas.openxmlformats.org/spreadsheetml/2006/main" count="11852" uniqueCount="2196">
  <si>
    <t>Kellanova POC</t>
  </si>
  <si>
    <t>all fields we need are on pgs 23-30 of NIF Training Deck</t>
  </si>
  <si>
    <t>Sections</t>
  </si>
  <si>
    <t>fields</t>
  </si>
  <si>
    <t>field type</t>
  </si>
  <si>
    <t>rules</t>
  </si>
  <si>
    <t>drop down/list of values</t>
  </si>
  <si>
    <t>Country that owns new item being created</t>
  </si>
  <si>
    <t>data repeated</t>
  </si>
  <si>
    <t>NIF KEY abbreviation nomenclature</t>
  </si>
  <si>
    <t>Product Setup</t>
  </si>
  <si>
    <t>Product Country</t>
  </si>
  <si>
    <t>Form Type</t>
  </si>
  <si>
    <t>Product Type</t>
  </si>
  <si>
    <t>Product Sub Type</t>
  </si>
  <si>
    <t>Project Type</t>
  </si>
  <si>
    <t>Business Area</t>
  </si>
  <si>
    <t>drop down</t>
  </si>
  <si>
    <t>"Kellanova"</t>
  </si>
  <si>
    <t>US - United States</t>
  </si>
  <si>
    <t>Case</t>
  </si>
  <si>
    <t>Bulk Case</t>
  </si>
  <si>
    <t>BULK CS, NO PKG UPC</t>
  </si>
  <si>
    <t>KUBIC</t>
  </si>
  <si>
    <t>CA - Canada</t>
  </si>
  <si>
    <t>BULK CS, PKG</t>
  </si>
  <si>
    <t>PDR</t>
  </si>
  <si>
    <t>MX - Mexico</t>
  </si>
  <si>
    <t>BULK CS, PKG RPK/RCP</t>
  </si>
  <si>
    <t>PWR</t>
  </si>
  <si>
    <t>Canada Bulk Case</t>
  </si>
  <si>
    <t>CA BULK CS, PKG</t>
  </si>
  <si>
    <t>SCR</t>
  </si>
  <si>
    <t>CA BULK CS, NO PKG UPC</t>
  </si>
  <si>
    <t xml:space="preserve">Is this a Pringle product? </t>
  </si>
  <si>
    <t>yes/no</t>
  </si>
  <si>
    <t>Canada Club</t>
  </si>
  <si>
    <t>CA CLUB, TRADITIONAL</t>
  </si>
  <si>
    <t xml:space="preserve">Is this an RX product? </t>
  </si>
  <si>
    <t>CA CLUB, UL</t>
  </si>
  <si>
    <t>SAP Material Number</t>
  </si>
  <si>
    <t>not enterable</t>
  </si>
  <si>
    <t>Canada Straight Case</t>
  </si>
  <si>
    <t>CA CS, PKG</t>
  </si>
  <si>
    <t>CA CS, PKG &amp; PCH/INNER</t>
  </si>
  <si>
    <t>Project Name or Number</t>
  </si>
  <si>
    <t>free form</t>
  </si>
  <si>
    <t>Canada Straight Case Repack/RCP - existing PKG UPC</t>
  </si>
  <si>
    <t>CA CS, PKG RPK/RCP</t>
  </si>
  <si>
    <t>Set Category</t>
  </si>
  <si>
    <t>maybe filled in by Material Prefix answer (further down)</t>
  </si>
  <si>
    <t>CA CS, PKG &amp; PCH/INNER RPK/RCP</t>
  </si>
  <si>
    <t>Brief Product Description</t>
  </si>
  <si>
    <t>Canada Straight Case Repack/RCP - new PKG UPC</t>
  </si>
  <si>
    <t>Brief Project Overview</t>
  </si>
  <si>
    <t>Canada WIP Case</t>
  </si>
  <si>
    <t>CA WIP, CASE (HALB)</t>
  </si>
  <si>
    <t>Canada WIP Tote</t>
  </si>
  <si>
    <t>CA WIP, TOTE (HALB)</t>
  </si>
  <si>
    <t>Club</t>
  </si>
  <si>
    <t>CLUB, NON-TRADITIONAL</t>
  </si>
  <si>
    <t>CLUB, TRADITIONAL</t>
  </si>
  <si>
    <t>Club Repack/RCP</t>
  </si>
  <si>
    <t>CLUB, NON-TRADITIONAL RPK/RCP</t>
  </si>
  <si>
    <t>CLUB, TRADITIONAL RPK/RCP</t>
  </si>
  <si>
    <t>DTC Bundle</t>
  </si>
  <si>
    <t>DTC</t>
  </si>
  <si>
    <t>EComm</t>
  </si>
  <si>
    <t>ECOMM CASE</t>
  </si>
  <si>
    <t>ECOMM PACKAGE</t>
  </si>
  <si>
    <t>Display</t>
  </si>
  <si>
    <t>Full Mod</t>
  </si>
  <si>
    <t>DISPLAY, FULL MOD</t>
  </si>
  <si>
    <t>Half Mod</t>
  </si>
  <si>
    <t>DISPLAY, HALF MOD</t>
  </si>
  <si>
    <t>Qtr Mod</t>
  </si>
  <si>
    <t>DISPLAY, QTR MOD</t>
  </si>
  <si>
    <t>Shipper</t>
  </si>
  <si>
    <t>DISPLAY, SHIPPER</t>
  </si>
  <si>
    <t>Single Serve</t>
  </si>
  <si>
    <t>SINGLE SERVE, TRAY</t>
  </si>
  <si>
    <t>Single Serve Repack/RCP</t>
  </si>
  <si>
    <t>SINGLE SERVE, TRAY RPK/RCP</t>
  </si>
  <si>
    <t>Straight Case</t>
  </si>
  <si>
    <t>CS, PKG</t>
  </si>
  <si>
    <t>CS, PKG &amp; PCH/INNER</t>
  </si>
  <si>
    <t>Straight Case Repack/RCP</t>
  </si>
  <si>
    <t>CS, PKG RPK/RCP</t>
  </si>
  <si>
    <t>CS, PKG &amp; PCH/INNER RPK/RCP</t>
  </si>
  <si>
    <t>WIP</t>
  </si>
  <si>
    <t>WIP Case</t>
  </si>
  <si>
    <t>WIP, CASE (HALB)</t>
  </si>
  <si>
    <t>WIP Tote</t>
  </si>
  <si>
    <t>WIP, TOTE (HALB)</t>
  </si>
  <si>
    <t>Stated Weights/Case Count</t>
  </si>
  <si>
    <t>Stated Weight Applicable For</t>
  </si>
  <si>
    <t>Stated Weight Status</t>
  </si>
  <si>
    <t>Stated Net Weight UOM</t>
  </si>
  <si>
    <t>Case Count Status</t>
  </si>
  <si>
    <t>Package</t>
  </si>
  <si>
    <t>Estimated</t>
  </si>
  <si>
    <t>OZ</t>
  </si>
  <si>
    <t>Stated Net Weight</t>
  </si>
  <si>
    <t>number</t>
  </si>
  <si>
    <t>Inner Item/Pouch</t>
  </si>
  <si>
    <t>Finalized</t>
  </si>
  <si>
    <t>G</t>
  </si>
  <si>
    <t>Case Count</t>
  </si>
  <si>
    <t>Reference Material</t>
  </si>
  <si>
    <t>Like SKU / Reference Material Number</t>
  </si>
  <si>
    <t>references SAP db</t>
  </si>
  <si>
    <t>Product Determination Questions - Case</t>
  </si>
  <si>
    <t>Designated Customer Name</t>
  </si>
  <si>
    <t>Approved to sell via Ecommerce?</t>
  </si>
  <si>
    <t>BASKIN ROBINS</t>
  </si>
  <si>
    <t>Is product designated to one customer?</t>
  </si>
  <si>
    <t>DEMOULAS</t>
  </si>
  <si>
    <t>KROGER</t>
  </si>
  <si>
    <t>Include Designated Cust. In Material Desc?</t>
  </si>
  <si>
    <t>SODEXHO</t>
  </si>
  <si>
    <t>Variety Pack?</t>
  </si>
  <si>
    <t>WAL-MART</t>
  </si>
  <si>
    <t>Variety Pack components have UPC Codes?</t>
  </si>
  <si>
    <t>Build SKU Using Existing Package UPCs?</t>
  </si>
  <si>
    <t>Is this item owned by Away From Home?</t>
  </si>
  <si>
    <t>Is this an Export Product?</t>
  </si>
  <si>
    <t>List Existing Export UPC Codes</t>
  </si>
  <si>
    <t>freeform</t>
  </si>
  <si>
    <t>Private Label?</t>
  </si>
  <si>
    <t>Private Label Name</t>
  </si>
  <si>
    <t>Build SKU Using Existing Private UPCs?</t>
  </si>
  <si>
    <t>List Existing Private UPCs</t>
  </si>
  <si>
    <t>Data Sync(GDSN)?</t>
  </si>
  <si>
    <t>Product Determination Questions - Display</t>
  </si>
  <si>
    <t>Product Determination Questions - WIP</t>
  </si>
  <si>
    <t>Other UPC Requirements</t>
  </si>
  <si>
    <t>Material Prefix</t>
  </si>
  <si>
    <t>Is a Compressed UPC Required for the Components?</t>
  </si>
  <si>
    <t>Kellogg PT (38000)</t>
  </si>
  <si>
    <t>No</t>
  </si>
  <si>
    <t>Kellogg RKTBars (38000)</t>
  </si>
  <si>
    <t>Pouch</t>
  </si>
  <si>
    <t>Kellogg TownHouse (30100)</t>
  </si>
  <si>
    <t>Morningstar Farms (28989)</t>
  </si>
  <si>
    <t>Both</t>
  </si>
  <si>
    <t>Existing Printed Material Codes</t>
  </si>
  <si>
    <t>Compressed UPC Existing</t>
  </si>
  <si>
    <t>Package UPC Code</t>
  </si>
  <si>
    <t>Package K Number</t>
  </si>
  <si>
    <t>Pouch UPC Code</t>
  </si>
  <si>
    <t>Pouch K Number</t>
  </si>
  <si>
    <t>List UPC Codes If Already Assigned</t>
  </si>
  <si>
    <t>UPC Table</t>
  </si>
  <si>
    <t>The rows in this table are filled in automatically based on the Setup Type chosen</t>
  </si>
  <si>
    <t>Alt UOM</t>
  </si>
  <si>
    <t>Base UOM</t>
  </si>
  <si>
    <t>UPC Required?</t>
  </si>
  <si>
    <t>Unique UPC?</t>
  </si>
  <si>
    <t>List Existing K Numbers</t>
  </si>
  <si>
    <t>List Any Existing Knumbers That Will Be Used</t>
  </si>
  <si>
    <t>Special Packaging Requirements</t>
  </si>
  <si>
    <t>Additional Packaging for Launch</t>
  </si>
  <si>
    <t>Can</t>
  </si>
  <si>
    <t>Special Launch Number</t>
  </si>
  <si>
    <t>Tray</t>
  </si>
  <si>
    <t>Jar</t>
  </si>
  <si>
    <t>Review of NIF Training Deck - Bev Tyler</t>
  </si>
  <si>
    <t>dd = drop downs</t>
  </si>
  <si>
    <t>BR.xlsx file = https://demandchainai.sharepoint.com/:x:/s/KellanovaPOC/Ebpe4JJnLcJDsKN74E_FN2oBGy3SMnB3ieLdjMvL_nwzIge=VenuuF</t>
  </si>
  <si>
    <t>Complexity:</t>
  </si>
  <si>
    <t>PRL=PRODUCT_REFERENCE_LIST.XLSX</t>
  </si>
  <si>
    <t>Trng_deck.ppt = https://demandchainai.sharepoint.com/:b:/s/KellanovaPOC/EUbYiN0y3vRHupu27Q5q6Q8BBsRldO5V1fX6na9le0eAuAe=crBJEK</t>
  </si>
  <si>
    <t>Hours:</t>
  </si>
  <si>
    <r>
      <rPr>
        <b/>
        <sz val="11"/>
        <color rgb="FFFF0000"/>
        <rFont val="Aptos Narrow"/>
        <family val="2"/>
        <scheme val="minor"/>
      </rPr>
      <t>UNIQUE FIELD #</t>
    </r>
    <r>
      <rPr>
        <b/>
        <sz val="11"/>
        <color theme="1"/>
        <rFont val="Aptos Narrow"/>
        <family val="2"/>
        <scheme val="minor"/>
      </rPr>
      <t xml:space="preserve"> (order in Trng deck)</t>
    </r>
  </si>
  <si>
    <t>Training Section</t>
  </si>
  <si>
    <t>section name</t>
  </si>
  <si>
    <r>
      <rPr>
        <b/>
        <sz val="11"/>
        <color rgb="FFFF0000"/>
        <rFont val="Aptos Narrow"/>
        <family val="2"/>
        <scheme val="minor"/>
      </rPr>
      <t>field names</t>
    </r>
    <r>
      <rPr>
        <b/>
        <sz val="11"/>
        <color theme="1"/>
        <rFont val="Aptos Narrow"/>
        <family val="2"/>
        <scheme val="minor"/>
      </rPr>
      <t xml:space="preserve"> in Trng deck</t>
    </r>
  </si>
  <si>
    <t>#fields enterable in Trng deck</t>
  </si>
  <si>
    <t>page(s) of Trng deck</t>
  </si>
  <si>
    <t>types of fields</t>
  </si>
  <si>
    <t>required</t>
  </si>
  <si>
    <t>owner</t>
  </si>
  <si>
    <t xml:space="preserve">additional roles who can modify
</t>
  </si>
  <si>
    <t>column referenced in BR.xlsx file (from Tamara)</t>
  </si>
  <si>
    <t>comments</t>
  </si>
  <si>
    <t>Business Rules (technical)</t>
  </si>
  <si>
    <t>Business Rules (AI ready)</t>
  </si>
  <si>
    <t>Business Rule status</t>
  </si>
  <si>
    <t>Timing status</t>
  </si>
  <si>
    <t>Trng Sectn #</t>
  </si>
  <si>
    <t>Trng Sectn Priority</t>
  </si>
  <si>
    <t>Week</t>
  </si>
  <si>
    <t>Week Beginning Date</t>
  </si>
  <si>
    <t>PRIORITY (1..9)
1-highest
5-mid
9-lowest</t>
  </si>
  <si>
    <t>COMPLEXITY (3..1,0)
3-high
2-med
1-low
0-autofill</t>
  </si>
  <si>
    <t>Hours</t>
  </si>
  <si>
    <t>Sprint</t>
  </si>
  <si>
    <t>Date: Field Last Reviewed for Business Rules</t>
  </si>
  <si>
    <t>Date: Expert System Rules updated (Excel)</t>
  </si>
  <si>
    <t>Date: Handed off to AI BOT team (Justin)</t>
  </si>
  <si>
    <t>Requestor - Project Initiation</t>
  </si>
  <si>
    <t>Requestor Initiate</t>
  </si>
  <si>
    <t>Requestor Name</t>
  </si>
  <si>
    <t>autofill</t>
  </si>
  <si>
    <t>yes</t>
  </si>
  <si>
    <t>Requestor</t>
  </si>
  <si>
    <t>pull name from user logged in</t>
  </si>
  <si>
    <t>done</t>
  </si>
  <si>
    <t>complete</t>
  </si>
  <si>
    <t>E</t>
  </si>
  <si>
    <t>Requestor Email</t>
  </si>
  <si>
    <t>pull email from user logged in</t>
  </si>
  <si>
    <t>Requestor Date</t>
  </si>
  <si>
    <t>pull date from computer</t>
  </si>
  <si>
    <t>Version</t>
  </si>
  <si>
    <t>pull NIF version of the form</t>
  </si>
  <si>
    <t>Person Responsible</t>
  </si>
  <si>
    <t>dd: user roles</t>
  </si>
  <si>
    <t>LIM</t>
  </si>
  <si>
    <t>23, 32, 61</t>
  </si>
  <si>
    <t>dd: reference list: PRL: LIM_Users</t>
  </si>
  <si>
    <t>no Business Rules</t>
  </si>
  <si>
    <t>D</t>
  </si>
  <si>
    <t>dd: WKKC, KELLANOVA</t>
  </si>
  <si>
    <t>9/24/25 new field identified</t>
  </si>
  <si>
    <t>autofill to KELLANOVA</t>
  </si>
  <si>
    <t>dd: CASE, DISPLAY, WIP</t>
  </si>
  <si>
    <t>col A</t>
  </si>
  <si>
    <t>Flowchart: Product Type / Product Sub Type</t>
  </si>
  <si>
    <t>Reliant on Product Country</t>
  </si>
  <si>
    <t>A</t>
  </si>
  <si>
    <t>dd: reference list: PRODUCT_COUNTRY.XLSX</t>
  </si>
  <si>
    <t>NOT in BR.xlsx</t>
  </si>
  <si>
    <t>dd: reference list: PRODUCT_SETUP_TYPE.XLSX, Setup_Type column</t>
  </si>
  <si>
    <t>col B</t>
  </si>
  <si>
    <t>dependent on FORM TYPE</t>
  </si>
  <si>
    <t>Reliant on Product Country / Form Type</t>
  </si>
  <si>
    <t>dd: reference list: PRODUCT_SETUP_TYPE.XLSX, Setup_Qualifier column</t>
  </si>
  <si>
    <t>col C</t>
  </si>
  <si>
    <t>dependent on PRODUCT TYPE</t>
  </si>
  <si>
    <t>Reliant on Product Country / Form Type / Product Type</t>
  </si>
  <si>
    <t>Is this a Pringles product</t>
  </si>
  <si>
    <t>dd: YES, NO</t>
  </si>
  <si>
    <t>1011 predecessor for pringles naming convention for country sold in as part of description (1175); plus Pringles Can Size (1235), and RTEC/Pringles Cube Size (1239) is required</t>
  </si>
  <si>
    <t>Is this an RX Product</t>
  </si>
  <si>
    <t>1012 predecessor to: "Will product be sold DTC question" (1162), this will also kick off the DTC form at end of process;   Dependencies 1292, 1301, 1302</t>
  </si>
  <si>
    <t>24, 45</t>
  </si>
  <si>
    <t>no</t>
  </si>
  <si>
    <t>Masterfiles</t>
  </si>
  <si>
    <t>same as field 1070</t>
  </si>
  <si>
    <r>
      <rPr>
        <b/>
        <sz val="11"/>
        <color theme="1"/>
        <rFont val="Aptos Narrow"/>
        <family val="2"/>
        <scheme val="minor"/>
      </rPr>
      <t>duplicate</t>
    </r>
    <r>
      <rPr>
        <sz val="11"/>
        <color theme="1"/>
        <rFont val="Aptos Narrow"/>
        <family val="2"/>
        <scheme val="minor"/>
      </rPr>
      <t xml:space="preserve"> of 1070</t>
    </r>
  </si>
  <si>
    <t>(same as Material Number)</t>
  </si>
  <si>
    <t>B</t>
  </si>
  <si>
    <t>dd: KUBIC, PDR, PWR, SCR</t>
  </si>
  <si>
    <t>col E</t>
  </si>
  <si>
    <t>1014: predecessor for: 1015, 1025</t>
  </si>
  <si>
    <t>col G</t>
  </si>
  <si>
    <t>1015: dependent on 1014 PROJECT TYPE: PDR and SCR is text (ex Tasty) PWR is numeric</t>
  </si>
  <si>
    <t>dd: reference list: RDL_Categories.xlsx</t>
  </si>
  <si>
    <t>col I</t>
  </si>
  <si>
    <t>…not in Trng_deck.ppt;
Bars, Crackers, Other Convenience, Salty Snacks, Frozen, Toaster Pastries, Veggies</t>
  </si>
  <si>
    <t>no known BR based on data entered</t>
  </si>
  <si>
    <t>24, 33, 73</t>
  </si>
  <si>
    <t>col K</t>
  </si>
  <si>
    <t>used for naming NIF form, but do not incorporate into AI</t>
  </si>
  <si>
    <t>no more than 40 characters</t>
  </si>
  <si>
    <t>Brief Project Overview and Technical Notes</t>
  </si>
  <si>
    <t>col M</t>
  </si>
  <si>
    <t>Be as detailed as possible and provide the flavor, package size and can size, if known</t>
  </si>
  <si>
    <t>dd: PACKAGE, INNER ITEM/POUCH</t>
  </si>
  <si>
    <t>col O</t>
  </si>
  <si>
    <t>informational only</t>
  </si>
  <si>
    <t>dd: ESTIMATED, FINALIZED</t>
  </si>
  <si>
    <t>col Q</t>
  </si>
  <si>
    <t>24, 33, 73, 99</t>
  </si>
  <si>
    <t>LIM, Packaging Tech</t>
  </si>
  <si>
    <t>col S</t>
  </si>
  <si>
    <t>dd: OZ, LB, G, KG</t>
  </si>
  <si>
    <t>col U</t>
  </si>
  <si>
    <t>col W</t>
  </si>
  <si>
    <t>col Y</t>
  </si>
  <si>
    <t>SAP db list</t>
  </si>
  <si>
    <t>conditional</t>
  </si>
  <si>
    <t>functionality of the SAP db is not needed in AI tool</t>
  </si>
  <si>
    <t>1025: dependent on 1014 PROJECT TYPE: KUBIC (required)</t>
  </si>
  <si>
    <t>Product Determination Questions</t>
  </si>
  <si>
    <t>Approved to sell via Ecommerce</t>
  </si>
  <si>
    <t>25, 26</t>
  </si>
  <si>
    <t>col Z</t>
  </si>
  <si>
    <t>CASE and DISPLAY only;   If YES, then loads record: TRADE CHANNEL (1166)=ONLINE</t>
  </si>
  <si>
    <t xml:space="preserve">1026 dependent PRODUCT TYPE (1009)=ECOMM or DTC BUNDLE, then this is defaulted to YES (locks field);  
If Product Country (1008) CANADA then default to NO; Form Type (1007) DISPLAY=open but not required, CASE=required, WIP=not available
</t>
  </si>
  <si>
    <t>Is product designated to one customer</t>
  </si>
  <si>
    <t>col AB</t>
  </si>
  <si>
    <t>CASE and DISPLAY</t>
  </si>
  <si>
    <t>1027: predecessor to 1028, 1029</t>
  </si>
  <si>
    <t>dd: reference list: PRL: Designated Customer Name</t>
  </si>
  <si>
    <t>col AD</t>
  </si>
  <si>
    <t>1028 dependent on: Is product designated to one customer (1027) =YES</t>
  </si>
  <si>
    <t>Include Designated Cust In Material Desc</t>
  </si>
  <si>
    <t>col AF</t>
  </si>
  <si>
    <t>1029 dependent on: Is product designated to one customer (1027)=YES;  1029 predecessor to 1129</t>
  </si>
  <si>
    <t>Variety Pack</t>
  </si>
  <si>
    <t>col AH</t>
  </si>
  <si>
    <t>CASE</t>
  </si>
  <si>
    <t>1030 dependent on Product Type (1009) and Product Subtype (1010);  Flowchart: Variety Pack</t>
  </si>
  <si>
    <t>Variety Pack components have UPC codes</t>
  </si>
  <si>
    <t>col AJ</t>
  </si>
  <si>
    <t>1031 predecessor to 1188-1192;  Flowchart: Variety Pack</t>
  </si>
  <si>
    <t>Build SKU Using Existing Package UPCs</t>
  </si>
  <si>
    <t>25, 26, 27</t>
  </si>
  <si>
    <t>col AL</t>
  </si>
  <si>
    <t>autofill by FORM TYPE: CASE=YES, DISPLAY=NO, and WIP=NO</t>
  </si>
  <si>
    <t>Flowchart: Build SKU / Existing Printed</t>
  </si>
  <si>
    <t>C</t>
  </si>
  <si>
    <t>Is this item owned by Away From Home</t>
  </si>
  <si>
    <t>col AN</t>
  </si>
  <si>
    <t>CASE, DISPLAY and WIP</t>
  </si>
  <si>
    <t>1033 predecessor to: external material group (1085)</t>
  </si>
  <si>
    <t>Is this an Export Product</t>
  </si>
  <si>
    <t>26, 27, 28</t>
  </si>
  <si>
    <t>col AP</t>
  </si>
  <si>
    <t>1034 predecessor to: external material group (1085), build sku..export (1035), list existing export (1036)</t>
  </si>
  <si>
    <t>Build SKU Using Existing Export UPCs</t>
  </si>
  <si>
    <t>27, 28</t>
  </si>
  <si>
    <t>col AR</t>
  </si>
  <si>
    <t>CASE and WIP</t>
  </si>
  <si>
    <t>1035 dependent on 1034</t>
  </si>
  <si>
    <t>col AT</t>
  </si>
  <si>
    <t>1036 dependent on 1034</t>
  </si>
  <si>
    <t>Private Label</t>
  </si>
  <si>
    <t>col AU</t>
  </si>
  <si>
    <t>1037 predecessor to 1038, 1039, 1040</t>
  </si>
  <si>
    <t>dd: reference list: PRL: Private Label Customers</t>
  </si>
  <si>
    <t>col AW</t>
  </si>
  <si>
    <t>1038 dependent on 1037</t>
  </si>
  <si>
    <t>Build SKU Using Existing Private UPCs</t>
  </si>
  <si>
    <t>col AY</t>
  </si>
  <si>
    <t>1039 dependent on 1037</t>
  </si>
  <si>
    <t>col BA</t>
  </si>
  <si>
    <t>1040 dependent on 1037</t>
  </si>
  <si>
    <t>Data Sync(GDSN)</t>
  </si>
  <si>
    <t>no, appears that blank is viable</t>
  </si>
  <si>
    <t>CASE, DISPLAY, and WIP</t>
  </si>
  <si>
    <t>Tamara:  should always be YES per Shanan Walker; unless there are extinuating circumstances where they would not want the data to go to the customers</t>
  </si>
  <si>
    <t>Is this Non Sellable FERT WIP</t>
  </si>
  <si>
    <r>
      <t xml:space="preserve">9/22/25 new field identified (FALB); 
</t>
    </r>
    <r>
      <rPr>
        <sz val="11"/>
        <color rgb="FFFF0000"/>
        <rFont val="Aptos Narrow"/>
        <family val="2"/>
        <scheme val="minor"/>
      </rPr>
      <t>currently on WIP form, but should be on CASE (Tamara to get NIF fixed) {as of 9/25/25 the distinction of the Form Type is not included in Expert System Rules}</t>
    </r>
  </si>
  <si>
    <t>1304 predecessor to Planning Variant (1151) and Material Description (1127)</t>
  </si>
  <si>
    <t>Material Prefix Description</t>
  </si>
  <si>
    <t>dd: reference list: MATERIAL_PREFIX.XLSX</t>
  </si>
  <si>
    <t>col BB</t>
  </si>
  <si>
    <t>Is a Compressed UPC Required for the Components</t>
  </si>
  <si>
    <t>dd: NO, POUCH, PACKAGE, BOTH</t>
  </si>
  <si>
    <t>col BD</t>
  </si>
  <si>
    <t>no defaults exist; Used when space is limited (e.g., small packages or pouches)</t>
  </si>
  <si>
    <t>SAP Classification fields: PACKAGE BAR CODE TYPE, POUCH BAR CODE TYPE; no - (pkgcode=upc_a &amp; pouchcode=upc_a); pouch=(pouchcode=upc_e &amp; pkgcode=upc_a); pkg=(pkgcode=upc_e &amp; pouchcode=upc_a); both=(pkgcode=upc_e &amp; pouchcode=upc_e); Also drives how Masterfiles assigns the codes</t>
  </si>
  <si>
    <t>col BF</t>
  </si>
  <si>
    <t>CASE only</t>
  </si>
  <si>
    <t>col BH</t>
  </si>
  <si>
    <t>col BJ</t>
  </si>
  <si>
    <t>col BL</t>
  </si>
  <si>
    <t>CASE only; defaulted to NO (for all form types), but can be changed</t>
  </si>
  <si>
    <t>Sale Samples may be needed</t>
  </si>
  <si>
    <t>col BN</t>
  </si>
  <si>
    <t>…not in Trng_deck.ppt; only open for US and required: STRAIGHT CASE (not Repack); DISPLAY &amp; WIP is locked/blank</t>
  </si>
  <si>
    <t xml:space="preserve">Tech name: [Sales_Sample_Question]; 1050 predecessor to "additional pkg for launch" (1053); </t>
  </si>
  <si>
    <t>Unique UPC</t>
  </si>
  <si>
    <t>This section corresponds to the Setup Type that has been chosen, and will show you the UPC requirements.
Not sure how this section gets triggered to pull in the correct data (as I can't seem to find it in the NIF Rules.docx).  Maybe from the RDL: ALT_UOM {Alternate Unit Of Meaure table}</t>
  </si>
  <si>
    <r>
      <t xml:space="preserve">(only displays for the requestor to review if the levels of the packaging look correct: ie is there a pouch level, if needed);  </t>
    </r>
    <r>
      <rPr>
        <b/>
        <sz val="11"/>
        <color theme="1"/>
        <rFont val="Aptos Narrow"/>
        <family val="2"/>
        <scheme val="minor"/>
      </rPr>
      <t>no need to put in AI BOT</t>
    </r>
    <r>
      <rPr>
        <sz val="11"/>
        <color theme="1"/>
        <rFont val="Aptos Narrow"/>
        <family val="2"/>
        <scheme val="minor"/>
      </rPr>
      <t xml:space="preserve">: </t>
    </r>
    <r>
      <rPr>
        <b/>
        <sz val="11"/>
        <color theme="1"/>
        <rFont val="Aptos Narrow"/>
        <family val="2"/>
        <scheme val="minor"/>
      </rPr>
      <t>unless there is a way to pull the table from the NIF Evolve business rules automatically</t>
    </r>
  </si>
  <si>
    <t>30, 47, 56, 113</t>
  </si>
  <si>
    <t>dd: reference list: ADDITIONAL_PACKAGING_LAUNCH.XLSX</t>
  </si>
  <si>
    <t>col BP</t>
  </si>
  <si>
    <t>Multiple rows possible.</t>
  </si>
  <si>
    <t xml:space="preserve">Tech name: [Special_Launch_Selection]; 1053 dependent on 1050; open for all Form Type=CASE, not required; not DISPLAY or WIP; if "Sale Samples may be needed" (1050)=yes, set 1053 to "Sales Sample Package K number 999 Variant (KXXXXXX999)"; </t>
  </si>
  <si>
    <t>LIM - Initial Review</t>
  </si>
  <si>
    <t>Priority</t>
  </si>
  <si>
    <t>radio button: NORMAL, CBP, URGENT</t>
  </si>
  <si>
    <t>used for naming NIF form</t>
  </si>
  <si>
    <t>upcoming</t>
  </si>
  <si>
    <t>current</t>
  </si>
  <si>
    <t>F</t>
  </si>
  <si>
    <t>Packaging Tech Assignment</t>
  </si>
  <si>
    <t>Select Packaging Tech Assignment</t>
  </si>
  <si>
    <t>32, 61</t>
  </si>
  <si>
    <t>radio button: BPS, Menasha/12 Associates, Canada VAS</t>
  </si>
  <si>
    <t>EPM Finance</t>
  </si>
  <si>
    <t>Data Integrity</t>
  </si>
  <si>
    <t>Data Integrity (CA)</t>
  </si>
  <si>
    <t>R&amp;D Quality</t>
  </si>
  <si>
    <t>Nutrition Labeling</t>
  </si>
  <si>
    <t>Packaging Tech (Engineer)</t>
  </si>
  <si>
    <t>Category Finance</t>
  </si>
  <si>
    <t>Packaging Tech (BPS)</t>
  </si>
  <si>
    <t>Packaging Tech (Menasha)</t>
  </si>
  <si>
    <t>Packaging Tech (Canada VAS)</t>
  </si>
  <si>
    <t>Supply Chain Budget Forecast SKU</t>
  </si>
  <si>
    <t>CASE only (not DISPLAY or WIP)</t>
  </si>
  <si>
    <t>1067 predecessor to 1083-1097; if YES opens 1083+, if NO then skips Forecast section</t>
  </si>
  <si>
    <t>code rules</t>
  </si>
  <si>
    <t>(buttons) Returns</t>
  </si>
  <si>
    <t>(LIM Initial) Return Comments</t>
  </si>
  <si>
    <t>LIM - LIM REPORT</t>
  </si>
  <si>
    <t>LIM REPORT section</t>
  </si>
  <si>
    <t>5 export (buttons)</t>
  </si>
  <si>
    <t>37-41</t>
  </si>
  <si>
    <t>export buttons</t>
  </si>
  <si>
    <t>read only form for exporting data to Excel</t>
  </si>
  <si>
    <t>future</t>
  </si>
  <si>
    <t>H</t>
  </si>
  <si>
    <t>Masterfiles - Get Codes</t>
  </si>
  <si>
    <t>Material Number</t>
  </si>
  <si>
    <t>45, 56</t>
  </si>
  <si>
    <t>(field 1013 is same but view only)</t>
  </si>
  <si>
    <t>pending</t>
  </si>
  <si>
    <t>early</t>
  </si>
  <si>
    <t>UPC, K#, and GTIN Codes</t>
  </si>
  <si>
    <t>UPC #</t>
  </si>
  <si>
    <t>47, 56, 113</t>
  </si>
  <si>
    <t>rows of data: 4 (CS, PKG, LYR, UL);  PCH</t>
  </si>
  <si>
    <t>K #</t>
  </si>
  <si>
    <t>Ct</t>
  </si>
  <si>
    <t>56, 113</t>
  </si>
  <si>
    <t xml:space="preserve">value appears to be ZU; need to verify; "EAN Cat" </t>
  </si>
  <si>
    <t>UPC Required</t>
  </si>
  <si>
    <t>Unique or Same UPC</t>
  </si>
  <si>
    <t>GTIN Number</t>
  </si>
  <si>
    <t>GTIN Required</t>
  </si>
  <si>
    <t>GTIN Prefix</t>
  </si>
  <si>
    <t>Unique or Same GTIN</t>
  </si>
  <si>
    <t>Special Launch K Number</t>
  </si>
  <si>
    <t>(MF Get Codes) Return Comments</t>
  </si>
  <si>
    <t>LIM - Forecast Approval</t>
  </si>
  <si>
    <t>Forecast SKU Requirements</t>
  </si>
  <si>
    <t>MFG Company</t>
  </si>
  <si>
    <t>dd: reference list: PRL: Manufacturing Company</t>
  </si>
  <si>
    <t>LIM approval to setup Forecast sku; SAP Classification-Manufacturer Company</t>
  </si>
  <si>
    <t>1083 dependent on 1107 Brand</t>
  </si>
  <si>
    <t>Material Group</t>
  </si>
  <si>
    <t>51, 74</t>
  </si>
  <si>
    <t>dd: reference list: PRL: Material Group</t>
  </si>
  <si>
    <t>if Product Type=BUNDLE (DTC) then MATERIAL Group=REPACK; otherwise select from dd</t>
  </si>
  <si>
    <t>External Material Group</t>
  </si>
  <si>
    <t>51, 74, 105</t>
  </si>
  <si>
    <t>dd: reference list: PRL: External Material Group</t>
  </si>
  <si>
    <t>Requestor, CA Finance Tax</t>
  </si>
  <si>
    <t>Bev - check w/TT regarding specific wording in drop down (not part of RDL list)</t>
  </si>
  <si>
    <t>1085 dependent on where CHANNEL=:  AFH/Specialty (1033), Canada (1008), Export (1034), CLUB, RX- where there is a subselection of the list for these areas; otherwise it shows RETAIL choices</t>
  </si>
  <si>
    <t>Estimated Standard Cost</t>
  </si>
  <si>
    <t>51, 107</t>
  </si>
  <si>
    <t>no Business Rules, numbers and decimals only</t>
  </si>
  <si>
    <t>Requestor Update</t>
  </si>
  <si>
    <t>Product Details</t>
  </si>
  <si>
    <t>Specialty Channels Field Category</t>
  </si>
  <si>
    <t>(not on pg 51), 74</t>
  </si>
  <si>
    <t>dd: reference list: PRL: KSC Field Category</t>
  </si>
  <si>
    <t>9/24/25 - in NIF PROD this field is on the LIM - Forecast Approval training section</t>
  </si>
  <si>
    <t>Red K Price</t>
  </si>
  <si>
    <t>Tamara to test - Canada
9/26/25 - Query not included in Expert System Rules</t>
  </si>
  <si>
    <t>numbers and decimals; runs query_tax_classification query (what does this do</t>
  </si>
  <si>
    <t>last week</t>
  </si>
  <si>
    <t>based off SUB-TYPE DESCRIPTION</t>
  </si>
  <si>
    <t>display only - duplicate of Material Prefix Description (1042)</t>
  </si>
  <si>
    <t>(same as Material Prefix Description)</t>
  </si>
  <si>
    <t>Transportation Group</t>
  </si>
  <si>
    <t>51, 80</t>
  </si>
  <si>
    <t>dd: reference list: PRL: Transportation Group</t>
  </si>
  <si>
    <t>Net Case Weight</t>
  </si>
  <si>
    <t>1090 predecessor to: If US then Imperial (1092) is required and Metric (1091) is open but not required, otherwise if NOT-US then Metric is required and Imperial is open but not required</t>
  </si>
  <si>
    <t>Metric Stated Net Pkg Wt</t>
  </si>
  <si>
    <t>1091 dependent on 1090</t>
  </si>
  <si>
    <t>Imperial Stated Net Pkg Wt</t>
  </si>
  <si>
    <t>1092 dependent on 1090</t>
  </si>
  <si>
    <t>Country Sold In</t>
  </si>
  <si>
    <t>51, 76</t>
  </si>
  <si>
    <t>dd: reference list: PRL: COUNTRY</t>
  </si>
  <si>
    <t>Multiple rows possible.
9/29/25 - DataSync would like this to only be one answer, as it causes issues otherwise. (not yet in NIF code)</t>
  </si>
  <si>
    <r>
      <rPr>
        <sz val="11"/>
        <color rgb="FFFF0000"/>
        <rFont val="Aptos Narrow"/>
        <family val="2"/>
        <scheme val="minor"/>
      </rPr>
      <t xml:space="preserve">9/29/25 - did not code: if AA then change to US (might be because Jon put US at the top of the list with the AA); </t>
    </r>
    <r>
      <rPr>
        <sz val="11"/>
        <color theme="1"/>
        <rFont val="Aptos Narrow"/>
        <family val="2"/>
        <scheme val="minor"/>
      </rPr>
      <t xml:space="preserve">
no other business rules</t>
    </r>
  </si>
  <si>
    <t>Location</t>
  </si>
  <si>
    <t>51, 81</t>
  </si>
  <si>
    <t>dd: reference list: ZMMU table (not in RDL or PRL)</t>
  </si>
  <si>
    <t>10/10/25 - asked Tamara;  multipe rows possible</t>
  </si>
  <si>
    <t>1094 predecessor to 1095 populates from ref list; if VAS=yes, then In/Out required</t>
  </si>
  <si>
    <t>Location Description</t>
  </si>
  <si>
    <t>1095 dependent on 1094</t>
  </si>
  <si>
    <t>Inbound or Outbound</t>
  </si>
  <si>
    <t>dd: INBOUND, OUTBOUND</t>
  </si>
  <si>
    <t>If VAS=yes, then required</t>
  </si>
  <si>
    <t>Kellogg Owned/Not Owned (Coman)</t>
  </si>
  <si>
    <t>dd: KELLOGG OWNED, NOT OWNED (COMAN)</t>
  </si>
  <si>
    <t>Fields Used for Material Description</t>
  </si>
  <si>
    <t>Flavor</t>
  </si>
  <si>
    <t>51, 76, 81</t>
  </si>
  <si>
    <t>dd: reference list: PRL: Flavor</t>
  </si>
  <si>
    <t>9/28/25 - did not code flavor abbreviation; pull in at Material Description field</t>
  </si>
  <si>
    <t>Flavor_Abbrv from ref list;</t>
  </si>
  <si>
    <t>Food Form</t>
  </si>
  <si>
    <t>51, 76, 81, 94</t>
  </si>
  <si>
    <t>dd: reference list: PRL: Food Form</t>
  </si>
  <si>
    <t>Requestor, Nutrition Labeling</t>
  </si>
  <si>
    <t>9/28/25 - did not code food form abbreviation; pull in at Material Description field</t>
  </si>
  <si>
    <t xml:space="preserve">1099 predecessor to 1173; gets the Food_Form_Abbrv from ref list; </t>
  </si>
  <si>
    <t>Sub-Food Form</t>
  </si>
  <si>
    <t>dd: reference list: PRL: Sub Food Form</t>
  </si>
  <si>
    <t>open not req</t>
  </si>
  <si>
    <t>Product Hierarchy-Brand</t>
  </si>
  <si>
    <t>Material Segment Description</t>
  </si>
  <si>
    <t>dd: reference list: PRL: Product Hierarchy Market Segment</t>
  </si>
  <si>
    <t>based off BRAND DESCRIPTION</t>
  </si>
  <si>
    <t>Material Segment #</t>
  </si>
  <si>
    <r>
      <rPr>
        <b/>
        <sz val="10"/>
        <color rgb="FFFF0000"/>
        <rFont val="Aptos Narrow"/>
        <family val="2"/>
        <scheme val="minor"/>
      </rPr>
      <t>move these rules to the proper field:</t>
    </r>
    <r>
      <rPr>
        <sz val="10"/>
        <color theme="1"/>
        <rFont val="Aptos Narrow"/>
        <family val="2"/>
        <scheme val="minor"/>
      </rPr>
      <t xml:space="preserve">
if CA &amp; VAS=yes, BOM_plant=1460; 
if US &amp; VAS=yes &amp; Pringles=no, BOM_plant=1485; 
if US &amp;VAS=yes &amp; Pringles=yes, BOM_plant=1409;
if US &amp; VAS=yes &amp; Form_type=Case, BOM_plant=1485;
PH1_Material_Segment=40 &amp; VAS=yes, BOM_plant=1724;</t>
    </r>
  </si>
  <si>
    <t>Category Description</t>
  </si>
  <si>
    <t>dd: reference list: PRL: Product Hierarchy Market Category</t>
  </si>
  <si>
    <t>Category #</t>
  </si>
  <si>
    <t>Sub-Category Description</t>
  </si>
  <si>
    <t>dd: reference list: PRL: Product Hierarchy Market Sub-Category</t>
  </si>
  <si>
    <t>Sub-Category #</t>
  </si>
  <si>
    <t>Brand Description</t>
  </si>
  <si>
    <t>51, 75, 86</t>
  </si>
  <si>
    <t>dd: reference list: PRL: Product Hierarchy Brand</t>
  </si>
  <si>
    <r>
      <t xml:space="preserve">1107 predecessor to 1083; 
Tech name [PH4_Brand_Desc] </t>
    </r>
    <r>
      <rPr>
        <b/>
        <sz val="11"/>
        <color theme="1"/>
        <rFont val="Aptos Narrow"/>
        <family val="2"/>
        <scheme val="minor"/>
      </rPr>
      <t>(26 rules)</t>
    </r>
  </si>
  <si>
    <t>Brand Number</t>
  </si>
  <si>
    <t>Type Description</t>
  </si>
  <si>
    <t>51, 110</t>
  </si>
  <si>
    <t>dd: reference list: PRL: Product Hierarchy Type</t>
  </si>
  <si>
    <t>Type #</t>
  </si>
  <si>
    <t>based off TYPE DESCRIPTION</t>
  </si>
  <si>
    <t>Sub-Type Description</t>
  </si>
  <si>
    <t>dd: reference list: PRL: Product Hierarchy Sub-Type</t>
  </si>
  <si>
    <t>Sub-Type #</t>
  </si>
  <si>
    <t>Alternate Units of Measure</t>
  </si>
  <si>
    <t>Forecast Entry Options</t>
  </si>
  <si>
    <t>radio button: DEFAULTS, ESTIMATED, ACTUALS</t>
  </si>
  <si>
    <t>if "Forecast Entry Options" is DEFAULTS, then "Y" (1116) [Numerator_for_Conversion_to_Base_Units_of_Measure]= '1' and "X" (1114) [Denominator_for_conversion_to_base_units_of_measure]= '1' and "Length" (1118) = '1' and "Width" (1119) = '1' and "Height" (1120) = '1'</t>
  </si>
  <si>
    <t>hand off</t>
  </si>
  <si>
    <t>X</t>
  </si>
  <si>
    <t>52, 98</t>
  </si>
  <si>
    <t>Packaging Tech</t>
  </si>
  <si>
    <r>
      <t xml:space="preserve">Tech name: [Denominator_for_conversion_to_base_units_of_measure] </t>
    </r>
    <r>
      <rPr>
        <b/>
        <sz val="11"/>
        <color theme="1"/>
        <rFont val="Aptos Narrow"/>
        <family val="2"/>
        <scheme val="minor"/>
      </rPr>
      <t>(10 rules)</t>
    </r>
    <r>
      <rPr>
        <sz val="11"/>
        <color theme="1"/>
        <rFont val="Aptos Narrow"/>
        <family val="2"/>
        <scheme val="minor"/>
      </rPr>
      <t xml:space="preserve"> then executed 4 times throughout rules</t>
    </r>
  </si>
  <si>
    <t>29, 47, 52, 56, 98, 113</t>
  </si>
  <si>
    <r>
      <t xml:space="preserve">Tech name: [Alternative_Unit_of_Measure_for_Stockkeeping_Unit] </t>
    </r>
    <r>
      <rPr>
        <b/>
        <sz val="11"/>
        <color theme="1"/>
        <rFont val="Aptos Narrow"/>
        <family val="2"/>
        <scheme val="minor"/>
      </rPr>
      <t>(1 rule)</t>
    </r>
  </si>
  <si>
    <t>&lt;=&gt;</t>
  </si>
  <si>
    <t>constant variable for display only</t>
  </si>
  <si>
    <t>Y</t>
  </si>
  <si>
    <r>
      <t xml:space="preserve">Tech name: [Numerator_for_Conversion_to_Base_Units_of_Measure] </t>
    </r>
    <r>
      <rPr>
        <b/>
        <sz val="11"/>
        <color theme="1"/>
        <rFont val="Aptos Narrow"/>
        <family val="2"/>
        <scheme val="minor"/>
      </rPr>
      <t>(13 rules)</t>
    </r>
    <r>
      <rPr>
        <sz val="11"/>
        <color theme="1"/>
        <rFont val="Aptos Narrow"/>
        <family val="2"/>
        <scheme val="minor"/>
      </rPr>
      <t xml:space="preserve"> then executed 4 times throughout rules</t>
    </r>
  </si>
  <si>
    <t>29, 52, 98</t>
  </si>
  <si>
    <r>
      <t>based off of RDL: ALT_UOM  (ie: CS, HUL, QUL, FUL, …)
Tech name: [Base_Unit_of_Measure] (</t>
    </r>
    <r>
      <rPr>
        <b/>
        <sz val="11"/>
        <color theme="1"/>
        <rFont val="Aptos Narrow"/>
        <family val="2"/>
        <scheme val="minor"/>
      </rPr>
      <t>referenced 3 times</t>
    </r>
    <r>
      <rPr>
        <sz val="11"/>
        <color theme="1"/>
        <rFont val="Aptos Narrow"/>
        <family val="2"/>
        <scheme val="minor"/>
      </rPr>
      <t>, but no rules on actual field)</t>
    </r>
  </si>
  <si>
    <t>Length</t>
  </si>
  <si>
    <r>
      <t xml:space="preserve">Tech name: [Length] </t>
    </r>
    <r>
      <rPr>
        <b/>
        <sz val="11"/>
        <color theme="1"/>
        <rFont val="Aptos Narrow"/>
        <family val="2"/>
        <scheme val="minor"/>
      </rPr>
      <t>(5 rules)</t>
    </r>
  </si>
  <si>
    <t>Width</t>
  </si>
  <si>
    <r>
      <t xml:space="preserve">Tech name: [Width] </t>
    </r>
    <r>
      <rPr>
        <b/>
        <sz val="11"/>
        <color theme="1"/>
        <rFont val="Aptos Narrow"/>
        <family val="2"/>
        <scheme val="minor"/>
      </rPr>
      <t>(5 rules)</t>
    </r>
  </si>
  <si>
    <t>Height</t>
  </si>
  <si>
    <r>
      <t xml:space="preserve">Tech name: [Height] </t>
    </r>
    <r>
      <rPr>
        <b/>
        <sz val="11"/>
        <color theme="1"/>
        <rFont val="Aptos Narrow"/>
        <family val="2"/>
        <scheme val="minor"/>
      </rPr>
      <t>(5 rules)</t>
    </r>
  </si>
  <si>
    <t>Unit of Dimension</t>
  </si>
  <si>
    <t>based off of RDL: ALT_UOM -- this field is not in ALT_UOM table; assuming it is always 'IN'</t>
  </si>
  <si>
    <t>Volume</t>
  </si>
  <si>
    <r>
      <t xml:space="preserve">Tech name: [Volume] </t>
    </r>
    <r>
      <rPr>
        <b/>
        <sz val="11"/>
        <color theme="1"/>
        <rFont val="Aptos Narrow"/>
        <family val="2"/>
        <scheme val="minor"/>
      </rPr>
      <t>(1 rule)</t>
    </r>
  </si>
  <si>
    <t>Volume Unit</t>
  </si>
  <si>
    <t>based off of RDL: ALT_UOM -- this field is not in ALT_UOM table; assuming it is always 'FT3'</t>
  </si>
  <si>
    <t>Gross Weight</t>
  </si>
  <si>
    <r>
      <t xml:space="preserve">Tech name: [Gross_Weight] </t>
    </r>
    <r>
      <rPr>
        <b/>
        <sz val="11"/>
        <color theme="1"/>
        <rFont val="Aptos Narrow"/>
        <family val="2"/>
        <scheme val="minor"/>
      </rPr>
      <t xml:space="preserve">(14 rules); </t>
    </r>
    <r>
      <rPr>
        <sz val="11"/>
        <color theme="1"/>
        <rFont val="Aptos Narrow"/>
        <family val="2"/>
        <scheme val="minor"/>
      </rPr>
      <t xml:space="preserve">
Tech name: [Gross_Weight_UL] </t>
    </r>
    <r>
      <rPr>
        <b/>
        <sz val="11"/>
        <color theme="1"/>
        <rFont val="Aptos Narrow"/>
        <family val="2"/>
        <scheme val="minor"/>
      </rPr>
      <t xml:space="preserve">(2 rules); </t>
    </r>
    <r>
      <rPr>
        <sz val="11"/>
        <color theme="1"/>
        <rFont val="Aptos Narrow"/>
        <family val="2"/>
        <scheme val="minor"/>
      </rPr>
      <t xml:space="preserve">
Tech name: [Gross_Case_Weight] </t>
    </r>
    <r>
      <rPr>
        <b/>
        <sz val="11"/>
        <color theme="1"/>
        <rFont val="Aptos Narrow"/>
        <family val="2"/>
        <scheme val="minor"/>
      </rPr>
      <t>(1 rule)</t>
    </r>
  </si>
  <si>
    <t>Weight Unit</t>
  </si>
  <si>
    <t>based off of RDL: ALT_UOM; different values depending on the level of the Alternate Units of Measure</t>
  </si>
  <si>
    <t>Material Description(s)</t>
  </si>
  <si>
    <t>Language</t>
  </si>
  <si>
    <t>52, 58</t>
  </si>
  <si>
    <t>dd: reference list: DESCRIPTION_LANGUAGES.XLSX</t>
  </si>
  <si>
    <t>If "Product Country" (1008) is not 'CA' then 'E'.
If "Product Country" (1008) is 'CA' then Select * from dd: reference list: DESCRIPTION_LANGUAGES.XLSX.</t>
  </si>
  <si>
    <t>Material Description</t>
  </si>
  <si>
    <t>Requestor, Masterfiles</t>
  </si>
  <si>
    <t>Multiple rows possible. because of languages</t>
  </si>
  <si>
    <t>max 40</t>
  </si>
  <si>
    <t>Material Description Length</t>
  </si>
  <si>
    <t>Generate Material Description</t>
  </si>
  <si>
    <t>button</t>
  </si>
  <si>
    <t>part of the 22 rules are these which were captured earlier:  1127 dependent on 1009 Product Type='Rainbow' then RNBW must be at end of Material Description (for DataSync compliancy); max 40; dependent on 1304 "is this non sellable FERT WIP" = YES, then add WIP to end</t>
  </si>
  <si>
    <r>
      <t xml:space="preserve">1129 dependent on 1029; run button; </t>
    </r>
    <r>
      <rPr>
        <b/>
        <sz val="11"/>
        <color theme="1"/>
        <rFont val="Aptos Narrow"/>
        <family val="2"/>
        <scheme val="minor"/>
      </rPr>
      <t>(22 rules)</t>
    </r>
  </si>
  <si>
    <t>Suggested Material Desc</t>
  </si>
  <si>
    <t>52, 58, 81</t>
  </si>
  <si>
    <t>1130 predecessor to 1131; 40 max</t>
  </si>
  <si>
    <t>Length (of Sugg Matl Desc)</t>
  </si>
  <si>
    <t>1131 dependent on: Suggested Material Desc (1130)</t>
  </si>
  <si>
    <t>Taxes</t>
  </si>
  <si>
    <t>Departure Country</t>
  </si>
  <si>
    <t>52, 105</t>
  </si>
  <si>
    <t>CA Finance Tax</t>
  </si>
  <si>
    <t>If "Product Country" (1008) is 'US' then "Departure Country" (1132) is 'US' and "Tax Category" (1133) is 'UTXJ' and "Tax Classification" (1134) is '0'.
Can't find any rules for 'CA', so assuming fields are open for population. ??</t>
  </si>
  <si>
    <r>
      <t>Tech name: [Departure_country__country_from_which_the_goods_are_sent] (</t>
    </r>
    <r>
      <rPr>
        <b/>
        <sz val="11"/>
        <color theme="1"/>
        <rFont val="Aptos Narrow"/>
        <family val="2"/>
        <scheme val="minor"/>
      </rPr>
      <t>2 rules set this value</t>
    </r>
    <r>
      <rPr>
        <sz val="11"/>
        <color theme="1"/>
        <rFont val="Aptos Narrow"/>
        <family val="2"/>
        <scheme val="minor"/>
      </rPr>
      <t>, but rules are not on the field itself)</t>
    </r>
  </si>
  <si>
    <t>Tax Category</t>
  </si>
  <si>
    <r>
      <t xml:space="preserve">Tech name: [Tax_category__sales_tax__federal_sales_tax_____] </t>
    </r>
    <r>
      <rPr>
        <b/>
        <sz val="11"/>
        <color theme="1"/>
        <rFont val="Aptos Narrow"/>
        <family val="2"/>
        <scheme val="minor"/>
      </rPr>
      <t>(1 rule)</t>
    </r>
    <r>
      <rPr>
        <sz val="11"/>
        <color theme="1"/>
        <rFont val="Aptos Narrow"/>
        <family val="2"/>
        <scheme val="minor"/>
      </rPr>
      <t xml:space="preserve"> (</t>
    </r>
    <r>
      <rPr>
        <b/>
        <sz val="11"/>
        <color theme="1"/>
        <rFont val="Aptos Narrow"/>
        <family val="2"/>
        <scheme val="minor"/>
      </rPr>
      <t>2 other rules set this value</t>
    </r>
    <r>
      <rPr>
        <sz val="11"/>
        <color theme="1"/>
        <rFont val="Aptos Narrow"/>
        <family val="2"/>
        <scheme val="minor"/>
      </rPr>
      <t>, but they are not on the field itself)</t>
    </r>
  </si>
  <si>
    <t>Tax Classification</t>
  </si>
  <si>
    <t>dd: reference list: TAX_CLASSIFICATION.XLSX</t>
  </si>
  <si>
    <t>Pull data from dd list</t>
  </si>
  <si>
    <r>
      <t>Tech name: [Tax_classification_material] (</t>
    </r>
    <r>
      <rPr>
        <b/>
        <sz val="11"/>
        <color theme="1"/>
        <rFont val="Aptos Narrow"/>
        <family val="2"/>
        <scheme val="minor"/>
      </rPr>
      <t>5 rules set this value</t>
    </r>
    <r>
      <rPr>
        <sz val="11"/>
        <color theme="1"/>
        <rFont val="Aptos Narrow"/>
        <family val="2"/>
        <scheme val="minor"/>
      </rPr>
      <t>, but rules are not on the field itself)</t>
    </r>
  </si>
  <si>
    <t>Masterfiles - Get Codes Forecast</t>
  </si>
  <si>
    <t>Forecast Scripts</t>
  </si>
  <si>
    <t>Create Forecast Material</t>
  </si>
  <si>
    <t>Masterfiles setup of Forecast sku</t>
  </si>
  <si>
    <t>Manually Execute Scripts</t>
  </si>
  <si>
    <t>expand group with more buttons</t>
  </si>
  <si>
    <t>LIM - Launch</t>
  </si>
  <si>
    <t>VAS</t>
  </si>
  <si>
    <t>if yes, there will be a BOM requirement in the form, and the Material Group will be set to REPACK.</t>
  </si>
  <si>
    <t>1137 [VAS] predecessor for 1176-1192</t>
  </si>
  <si>
    <t>LIM Launch - Update</t>
  </si>
  <si>
    <t>(LIM Launch) Return Comments</t>
  </si>
  <si>
    <t>ZNIF Dashboard - view only</t>
  </si>
  <si>
    <t>NIF Dashboard</t>
  </si>
  <si>
    <t>statuses of the workflow (X, R, C…)</t>
  </si>
  <si>
    <t>Proposed Red K Price</t>
  </si>
  <si>
    <t>These fields are open for updating: Project Type, Project Name or Number, Set Category, Brief Product Description, Brief Project Overview and Technical Notes, Stated Weights/Case Count section, Data Sync(GDSN)?</t>
  </si>
  <si>
    <t>Proposed Red K Currency</t>
  </si>
  <si>
    <t>dd: USD, CAD</t>
  </si>
  <si>
    <t>autofill as default: if country=US then USD; country=CA then CAD</t>
  </si>
  <si>
    <t>Business Unit</t>
  </si>
  <si>
    <t>dd: reference list: PRL: Business Unit</t>
  </si>
  <si>
    <t>Material Group 1</t>
  </si>
  <si>
    <t>dd: reference list: PRL: Material Group 1</t>
  </si>
  <si>
    <t>populated based on the Brand</t>
  </si>
  <si>
    <t>1st Arrival Date</t>
  </si>
  <si>
    <t>date</t>
  </si>
  <si>
    <t>Canada only</t>
  </si>
  <si>
    <t xml:space="preserve">if "Product Country" is 'CA - Canada' then "1st Arrival Date" must be a Thursday; 
Tech name: [First_Arrival_Date] - set first_ship_date=first_arrival_date-11; set pricing_validity_date=first_arrival_date-11; </t>
  </si>
  <si>
    <t>1st Arrival Date (Day)</t>
  </si>
  <si>
    <t>has to be Thursday and for CANADA</t>
  </si>
  <si>
    <t>1st Ship Date</t>
  </si>
  <si>
    <t>74, 80</t>
  </si>
  <si>
    <t>Marie's notes: For Canada, First Arrival Date = Thursday; First Ship &amp; Pricing Dates are Sunday Prior (First Arrival - 11 days)</t>
  </si>
  <si>
    <t xml:space="preserve">Tech name: [First_Ship_Date] - 
if Country=US and first_ship_date=Monday and Forecast=Yes, then set "Pricing Validity Date" (1149)=first_ship_date-1; {what to do if Forecast=No};
if Country=CA, set "Pricing Validity Date" (1149)=first_arrival_date-11;
</t>
  </si>
  <si>
    <t>1st Ship Date (Day)</t>
  </si>
  <si>
    <t>has to be Monday and for US</t>
  </si>
  <si>
    <t>FERT Type</t>
  </si>
  <si>
    <t>dd: reference list: PRL: FERT Type</t>
  </si>
  <si>
    <t>Pricing Validity Date</t>
  </si>
  <si>
    <t>rule for formatting the date</t>
  </si>
  <si>
    <t>Pack Type Use</t>
  </si>
  <si>
    <t>dd: reference list: PRL: Pack Type Use</t>
  </si>
  <si>
    <t>Marie: field is owned by AFH (Speciality); default to GROCERY if it is not AFH; except might be for DISPLAY where it might be SHIPPER</t>
  </si>
  <si>
    <t>5 rules</t>
  </si>
  <si>
    <t>Planning Variant</t>
  </si>
  <si>
    <t>dd: reference list: PRL: Planning Variant</t>
  </si>
  <si>
    <t>EDI references this to find which item is considered the Base Material. If items share package UPC’s, there can only be one that is considered the Base Material. The Planning Variant field is where thisis indicated within SAP. Other items(children sku’s) that use the same package UPC as the Base (most often seen with Repack/RCP’s and Promo Codes), will use National, Customer or Limited. Therefore, if yoursetup type IS NOT Repack/RCP that is using an existing package UPC, your Planning Variantshould always be Base Material. If yoursetup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 Click here for more information, and list of customers that order by the package UPC.</t>
  </si>
  <si>
    <r>
      <t xml:space="preserve">EDI uses it to find the BASE MATERIAL; {Customers usually order with a CASE CODE, which is good.  But if they order with a PACKAGE CODE, EDI uses the XREF table to reference the proper CASE CODE related to the Customer for the PACKAGE CODE they are sending (like Dollar General has its own ~EDI PARTNER #)};
1151 dependent on FALB (1304)=yes then can't be BASE MATERIAL; </t>
    </r>
    <r>
      <rPr>
        <b/>
        <sz val="11"/>
        <color theme="1"/>
        <rFont val="Aptos Narrow"/>
        <family val="2"/>
        <scheme val="minor"/>
      </rPr>
      <t>4 rules</t>
    </r>
    <r>
      <rPr>
        <sz val="11"/>
        <color theme="1"/>
        <rFont val="Aptos Narrow"/>
        <family val="2"/>
        <scheme val="minor"/>
      </rPr>
      <t xml:space="preserve">, </t>
    </r>
    <r>
      <rPr>
        <sz val="11"/>
        <color rgb="FFFF0000"/>
        <rFont val="Aptos Narrow"/>
        <family val="2"/>
        <scheme val="minor"/>
      </rPr>
      <t>but doesn't seem to include the FALB one,</t>
    </r>
    <r>
      <rPr>
        <sz val="11"/>
        <color theme="1"/>
        <rFont val="Aptos Narrow"/>
        <family val="2"/>
        <scheme val="minor"/>
      </rPr>
      <t xml:space="preserve"> so make sure it's included</t>
    </r>
  </si>
  <si>
    <t>SKU Type</t>
  </si>
  <si>
    <t>dd: PERMANENT, LIMITED</t>
  </si>
  <si>
    <t>4 rules</t>
  </si>
  <si>
    <t>Promo End Date</t>
  </si>
  <si>
    <t>9/25/25 new field identified</t>
  </si>
  <si>
    <t>if SKU Type=LIMITED then opens, then Remarket Date &amp; Stop Ship date are auto calculated; otherwise locked</t>
  </si>
  <si>
    <t>Stop Ship/Target Discontinuance</t>
  </si>
  <si>
    <t>dependent on SKU TYPE</t>
  </si>
  <si>
    <r>
      <rPr>
        <b/>
        <sz val="11"/>
        <color theme="1"/>
        <rFont val="Aptos Narrow"/>
        <family val="2"/>
        <scheme val="minor"/>
      </rPr>
      <t>2 rules</t>
    </r>
    <r>
      <rPr>
        <sz val="11"/>
        <color theme="1"/>
        <rFont val="Aptos Narrow"/>
        <family val="2"/>
        <scheme val="minor"/>
      </rPr>
      <t xml:space="preserve"> - (42 days after Promo End Date)</t>
    </r>
  </si>
  <si>
    <t>Remarket Date</t>
  </si>
  <si>
    <t>rule for formatting the date, check br doc; 14 days after Promo End Date</t>
  </si>
  <si>
    <t>Is this a SKU to SKU Transition</t>
  </si>
  <si>
    <r>
      <rPr>
        <b/>
        <sz val="11"/>
        <color theme="1"/>
        <rFont val="Aptos Narrow"/>
        <family val="2"/>
        <scheme val="minor"/>
      </rPr>
      <t>2 rules</t>
    </r>
    <r>
      <rPr>
        <sz val="11"/>
        <color theme="1"/>
        <rFont val="Aptos Narrow"/>
        <family val="2"/>
        <scheme val="minor"/>
      </rPr>
      <t>; opens next 2 fields</t>
    </r>
  </si>
  <si>
    <t>Conversion Case Code</t>
  </si>
  <si>
    <t>dependent on IS THIS A SKU TO SKU TRANSITION</t>
  </si>
  <si>
    <t>Conversion Date</t>
  </si>
  <si>
    <t>OTG Type</t>
  </si>
  <si>
    <t>dd: reference list: PRL: OTG Type</t>
  </si>
  <si>
    <t>no known BR based on data entered; there may be previous rule to open this only when Product Type is SINGLE SERVE and SS REPACK</t>
  </si>
  <si>
    <t>Pack Size</t>
  </si>
  <si>
    <t>dd: reference list: PRL: Pack Size 
(CLUB PACK, RETAIL, SINGLE SERVE)</t>
  </si>
  <si>
    <r>
      <t xml:space="preserve">Product Type=Club, Club Pack; =Single Serve, Single Serve; =anything else, Retail;;; </t>
    </r>
    <r>
      <rPr>
        <b/>
        <sz val="11"/>
        <color rgb="FFFF0000"/>
        <rFont val="Aptos Narrow"/>
        <family val="2"/>
        <scheme val="minor"/>
      </rPr>
      <t>find br rules</t>
    </r>
  </si>
  <si>
    <t>Total shelf life</t>
  </si>
  <si>
    <t>74, 88</t>
  </si>
  <si>
    <r>
      <rPr>
        <b/>
        <sz val="11"/>
        <color theme="1"/>
        <rFont val="Aptos Narrow"/>
        <family val="2"/>
        <scheme val="minor"/>
      </rPr>
      <t>5 rules</t>
    </r>
    <r>
      <rPr>
        <sz val="11"/>
        <color theme="1"/>
        <rFont val="Aptos Narrow"/>
        <family val="2"/>
        <scheme val="minor"/>
      </rPr>
      <t xml:space="preserve"> - on R&amp;D QUALITY; doesn't appear anymore in DEV for REQ UPD;  Marie-if DISPLAY, then may be open and required on Req Upd; otherwise this would be open for R&amp;D QUALITY</t>
    </r>
  </si>
  <si>
    <t>Will this item be sold at the package level Direct To Consumer  (DTC)</t>
  </si>
  <si>
    <t>75, 125</t>
  </si>
  <si>
    <t>locked unless product is RX</t>
  </si>
  <si>
    <t>1162 dependent on 1012 DTC</t>
  </si>
  <si>
    <t>Alternate Hierarchy</t>
  </si>
  <si>
    <t>Alternate Market Segment</t>
  </si>
  <si>
    <t>76, 86</t>
  </si>
  <si>
    <t>Alternate Category</t>
  </si>
  <si>
    <t>Alternate Sub-Category</t>
  </si>
  <si>
    <t>Trade Channel &amp; Country Sold In</t>
  </si>
  <si>
    <t>Trade Channel</t>
  </si>
  <si>
    <t>dd: reference list: PRL: Trade Channel</t>
  </si>
  <si>
    <t>1166 dependent on 1026</t>
  </si>
  <si>
    <t>Promotion</t>
  </si>
  <si>
    <t>Is this item associated with a Promotion or Limited Time Offer</t>
  </si>
  <si>
    <t>10/3/25 new field identified</t>
  </si>
  <si>
    <t>Promotion or LTO Description</t>
  </si>
  <si>
    <t>dd: reference list: PRL: Promotion</t>
  </si>
  <si>
    <t>Promo Short Description</t>
  </si>
  <si>
    <t>Business Unit for Promo</t>
  </si>
  <si>
    <t>dd: reference list: PRL: Business Unit for Promo</t>
  </si>
  <si>
    <t>Is this product Licensed</t>
  </si>
  <si>
    <t>Royalty Product Type</t>
  </si>
  <si>
    <t>dd: reference list: PRL: Royalty Product Type</t>
  </si>
  <si>
    <t>no longer shown on the screen in NIF</t>
  </si>
  <si>
    <t>Royalty Licenser</t>
  </si>
  <si>
    <t>dd: reference list: PRL: Royalty Licenser</t>
  </si>
  <si>
    <t>Royalty Licenser Abbreviation</t>
  </si>
  <si>
    <t>Values used to determine material description</t>
  </si>
  <si>
    <t>Food Count (Bars, Waffles, PT, Shakes, RKT)</t>
  </si>
  <si>
    <t>76, 81</t>
  </si>
  <si>
    <t>1173 dependent on 1099 required</t>
  </si>
  <si>
    <t>Special Pack Type</t>
  </si>
  <si>
    <t>dd: reference list: PRL: Special Pack Type</t>
  </si>
  <si>
    <t>Pringles Country for Material Description</t>
  </si>
  <si>
    <t>1175 dependent on "pringles" (1011)=yes then required, and used for material descr with country</t>
  </si>
  <si>
    <t>BOM Setup (VAS)</t>
  </si>
  <si>
    <t>Material Number (BOM setup)</t>
  </si>
  <si>
    <t>77, 124</t>
  </si>
  <si>
    <t>1187 dependent on 1137 [VAS]</t>
  </si>
  <si>
    <t>Material Description (BOM Setup)</t>
  </si>
  <si>
    <t>List Price (Red K)</t>
  </si>
  <si>
    <t>Base Material</t>
  </si>
  <si>
    <t>Gross Pkg Weight</t>
  </si>
  <si>
    <t>Gross Wt UOM</t>
  </si>
  <si>
    <t>dd: GM, OZ</t>
  </si>
  <si>
    <t>Net Pkg Weight</t>
  </si>
  <si>
    <t>Net Wt UOM</t>
  </si>
  <si>
    <t>Component Pkgs Per Case</t>
  </si>
  <si>
    <t>Packages Per Mod Assortment</t>
  </si>
  <si>
    <t>Number of Cases Required</t>
  </si>
  <si>
    <t>Taxable</t>
  </si>
  <si>
    <t>also called "BOM_Taxable"</t>
  </si>
  <si>
    <t>Variety Pack 0200 BOM Setup</t>
  </si>
  <si>
    <t>Component SKU (can be FERT or HALB. Enter SKU here not UPC)</t>
  </si>
  <si>
    <t>1188 dependent 1031 [VP], 1137 [VAS]</t>
  </si>
  <si>
    <t>Components Packages per Case (use Pouch if lowest level)</t>
  </si>
  <si>
    <t>Number of Component Packages needed in New Variety Pack</t>
  </si>
  <si>
    <t>New Variety Pack’s number of Packages per Case (enter the same number in each row)</t>
  </si>
  <si>
    <t>Calculation Check</t>
  </si>
  <si>
    <t>LIM - Update</t>
  </si>
  <si>
    <t>General Product Data</t>
  </si>
  <si>
    <t>Display Vehicle</t>
  </si>
  <si>
    <t>dd: reference list: PRL: Display Vehicle</t>
  </si>
  <si>
    <t>dependent on FORM TYPE: DISPLAY; 4 rules; actually part of Requestor Update; after Pack Size</t>
  </si>
  <si>
    <t>Material Freight Group Label</t>
  </si>
  <si>
    <t>dd: reference list: PRL: Material Freight Group</t>
  </si>
  <si>
    <t>10/3/25 new field identified;  This represents the number and name of the Material Freight Group</t>
  </si>
  <si>
    <t>Material Freight Group</t>
  </si>
  <si>
    <t>This represents only the number of the Material Freight Group</t>
  </si>
  <si>
    <t>Does this item require Temp Controlled storage in the Warehouse</t>
  </si>
  <si>
    <t>Pouch Size</t>
  </si>
  <si>
    <t>Pouch Size UOM</t>
  </si>
  <si>
    <t>Package Size</t>
  </si>
  <si>
    <t>Package Size UOM</t>
  </si>
  <si>
    <t>Country of Origin</t>
  </si>
  <si>
    <t>dd: reference list: PRL: Country of Origin</t>
  </si>
  <si>
    <t>Manufacturing Locations</t>
  </si>
  <si>
    <t>Is the Manufacturing Location a Co-Man or Co-Packer</t>
  </si>
  <si>
    <t>81, 82</t>
  </si>
  <si>
    <t>(LIM Upd) Return Comments</t>
  </si>
  <si>
    <t>VAS Plant Groups</t>
  </si>
  <si>
    <t>dd: reference list: VAS_PLANTS.XLSX</t>
  </si>
  <si>
    <t>for REPACKS &amp; DISPLAYS</t>
  </si>
  <si>
    <t>Select Sub-Brand</t>
  </si>
  <si>
    <t>Sub-Brand</t>
  </si>
  <si>
    <t>dd: reference list: PRL: Sub Brand (Finance)</t>
  </si>
  <si>
    <t>There is no longer an EPM Finance role, and this field is on Requestor Update now (10/7/25)</t>
  </si>
  <si>
    <t>EPM Finance - Update</t>
  </si>
  <si>
    <t>(EPM) Return Comments</t>
  </si>
  <si>
    <t>This field is no longer needed / used (10/7/25)</t>
  </si>
  <si>
    <t>Data Integrity (DI) - Review</t>
  </si>
  <si>
    <t>Product Details - Brand Derived</t>
  </si>
  <si>
    <t>(DI Review) Return Comments</t>
  </si>
  <si>
    <t>R&amp;D Quality - Update</t>
  </si>
  <si>
    <t>Max Storage Period/Ship Life</t>
  </si>
  <si>
    <t>R &amp; D Quality</t>
  </si>
  <si>
    <t>PES Food Review</t>
  </si>
  <si>
    <t>Defect Group</t>
  </si>
  <si>
    <t>dd: reference list: PRL: Defect Group</t>
  </si>
  <si>
    <t>Multi Defect Group</t>
  </si>
  <si>
    <t>Nutrition Labeling - Update</t>
  </si>
  <si>
    <t>Food Weights</t>
  </si>
  <si>
    <t>Grams per piece</t>
  </si>
  <si>
    <t>Weight Measure</t>
  </si>
  <si>
    <t>radio button: IMPERIAL, METRIC</t>
  </si>
  <si>
    <t>Metric Stated Net Pouch Weight (g/kg)</t>
  </si>
  <si>
    <t>dependent on: Weight Measure=METRIC</t>
  </si>
  <si>
    <t>metric pouch weight</t>
  </si>
  <si>
    <t>Metric Stated Net Pouch Size Unit</t>
  </si>
  <si>
    <t>metric pouch uom</t>
  </si>
  <si>
    <t>Metric Stated Net Package Weight (g/kg)</t>
  </si>
  <si>
    <t>metric package weight</t>
  </si>
  <si>
    <t>Metric Stated Net Package Weight Unit</t>
  </si>
  <si>
    <t>metric package uom</t>
  </si>
  <si>
    <t>Package Net Weight for SAP (Metric)</t>
  </si>
  <si>
    <t>If populated, then the NIF will use this value for the calculations, otherwise it will use the Metric Stated Net Package Weight (g/kg).</t>
  </si>
  <si>
    <t>Stated Net Pouch Weight (oz/lb)</t>
  </si>
  <si>
    <t>dependent on: Weight Measure=IMPERIAL</t>
  </si>
  <si>
    <t>imperial pouch weight</t>
  </si>
  <si>
    <t>Stated Net Pouch Weight Unit</t>
  </si>
  <si>
    <t>imperial pouch uom</t>
  </si>
  <si>
    <t>Stated Net Package Weight (oz/lb)</t>
  </si>
  <si>
    <t>imperial package weight</t>
  </si>
  <si>
    <t>Stated Net Package Weight Unit</t>
  </si>
  <si>
    <t>dd: OZ, LB</t>
  </si>
  <si>
    <t>imperial package uom</t>
  </si>
  <si>
    <t>Package Net Weight for SAP (Imperial)</t>
  </si>
  <si>
    <t>If populated, then the NIF will use this value for the calculations, otherwise it will use the Stated Net Package Weight (oz/lb).</t>
  </si>
  <si>
    <t>Food Weights in grams/ounces</t>
  </si>
  <si>
    <t>Metric Stated Net Pouch Weight (g)</t>
  </si>
  <si>
    <t>calculation</t>
  </si>
  <si>
    <t>calculations</t>
  </si>
  <si>
    <t>calculates metric pouch in grams</t>
  </si>
  <si>
    <t>Metric Stated Net Package Weight (g)</t>
  </si>
  <si>
    <t>calculates metric package in grams</t>
  </si>
  <si>
    <t>Stated Net Pouch Weight (oz)</t>
  </si>
  <si>
    <t>calculates imperial pouch in ounces</t>
  </si>
  <si>
    <t>Stated Net Package Weight (oz)</t>
  </si>
  <si>
    <t>calculates imperial package in ounces</t>
  </si>
  <si>
    <t>Data Sync Requirements - Nutrition Labeling</t>
  </si>
  <si>
    <t>Package Individual Unit Size</t>
  </si>
  <si>
    <t>dependent on: Form Type=BULK w/NO pkg upc</t>
  </si>
  <si>
    <t>auto-formatted as "160.00" or "160.25"</t>
  </si>
  <si>
    <t>Package Individual Unit Size UOM</t>
  </si>
  <si>
    <t>OZ or LB</t>
  </si>
  <si>
    <t>Package Inner Pack Quantity</t>
  </si>
  <si>
    <t>whole number</t>
  </si>
  <si>
    <t>Canada - Validate Food Form</t>
  </si>
  <si>
    <t>Did you check the Food Form</t>
  </si>
  <si>
    <t>checkbox</t>
  </si>
  <si>
    <t>dependent on: Product Country=CANADA</t>
  </si>
  <si>
    <t>Net Wt. Statement for Graphics</t>
  </si>
  <si>
    <t>(NL) Return Comments</t>
  </si>
  <si>
    <t>Packaging Tech - Update</t>
  </si>
  <si>
    <t>Packaging Details</t>
  </si>
  <si>
    <t>Pringles Can Size</t>
  </si>
  <si>
    <t>Packaging Tech task: For Pringles only, in the Packaging Details section, the Pringles Can Size and Pringles Cube Size are open for population, but not required. If not Pringles, both are grayed out/locked.</t>
  </si>
  <si>
    <t>1235 dependent on "pringles" (1011) =open but not required</t>
  </si>
  <si>
    <t>Unit Load Stacking Factor</t>
  </si>
  <si>
    <t>dd: reference list: PRL: Stacking Factor</t>
  </si>
  <si>
    <t>Packaging Profile</t>
  </si>
  <si>
    <t>dd: reference list: PRL: Packaging Profile</t>
  </si>
  <si>
    <t>Handling Platform Type</t>
  </si>
  <si>
    <t>dd: reference list: PRL: Handling Platform Type</t>
  </si>
  <si>
    <t>RTEC/Pringles Cube Size</t>
  </si>
  <si>
    <t>dd: reference list: PRL: Cube Size</t>
  </si>
  <si>
    <t>1239 dependent on "pringles" (1011) =open but not required</t>
  </si>
  <si>
    <t>Clamp Pressure</t>
  </si>
  <si>
    <t>dd: reference list: PRL: Clamp Pressure</t>
  </si>
  <si>
    <t>Dim/Gross Wght Req</t>
  </si>
  <si>
    <t>Dim Details</t>
  </si>
  <si>
    <t>Gross Wght Dtls</t>
  </si>
  <si>
    <t>Packaging Components</t>
  </si>
  <si>
    <t>Component K #</t>
  </si>
  <si>
    <t>99, 125</t>
  </si>
  <si>
    <t>Component Description</t>
  </si>
  <si>
    <t>Unit of Measure</t>
  </si>
  <si>
    <t>dd: CASE, HUTCH, UNIT LOAD</t>
  </si>
  <si>
    <t>Number Required per UOM</t>
  </si>
  <si>
    <t>Dieline</t>
  </si>
  <si>
    <t>Supplier</t>
  </si>
  <si>
    <t>Print(Y/N)</t>
  </si>
  <si>
    <t>Add to BOM</t>
  </si>
  <si>
    <t>Net Weight if no Nutrition Labeling</t>
  </si>
  <si>
    <t>Net Weight</t>
  </si>
  <si>
    <t>(Pkg Tech) Return Comments</t>
  </si>
  <si>
    <t>Material Group/Tax Data</t>
  </si>
  <si>
    <t>Material Group 5</t>
  </si>
  <si>
    <t>dd: reference list: PRL: Material Group 5</t>
  </si>
  <si>
    <t>(CA Fin Tax) Return Comments</t>
  </si>
  <si>
    <t>Category Finance - update</t>
  </si>
  <si>
    <t>Pricing</t>
  </si>
  <si>
    <t>Final Red K List Price (cs)</t>
  </si>
  <si>
    <t>Data Integrity (DI) - Hierarchy</t>
  </si>
  <si>
    <t>(DI Hier) Return Comments</t>
  </si>
  <si>
    <t>LIM - Approval/NIF Dashboard</t>
  </si>
  <si>
    <t>LIM Dashboard Returns</t>
  </si>
  <si>
    <t>(LIM DB) Return to Team</t>
  </si>
  <si>
    <t>71, 111</t>
  </si>
  <si>
    <t>returning to previous team</t>
  </si>
  <si>
    <t>(LIM DB) LIM Return Comments</t>
  </si>
  <si>
    <t>can only return to one group at a time</t>
  </si>
  <si>
    <t>Masterfiles - Approval</t>
  </si>
  <si>
    <t>Review Material Descriptions</t>
  </si>
  <si>
    <t>Z1 Material Description</t>
  </si>
  <si>
    <t>ZF Material Description</t>
  </si>
  <si>
    <t>Review - Derived Values</t>
  </si>
  <si>
    <t>Distribution Methods</t>
  </si>
  <si>
    <t>dd: reference list: DISTRIBUTION_METHODS.XLSX</t>
  </si>
  <si>
    <t>Sales Organization Extension</t>
  </si>
  <si>
    <t>Material Number (Sales Org Extension)</t>
  </si>
  <si>
    <t>New Sales Organization</t>
  </si>
  <si>
    <t>New Distribution Channel</t>
  </si>
  <si>
    <t>Canadian Tax Code</t>
  </si>
  <si>
    <t>Sales_Org_CA_Tax  (LIM Forecast - field name: Canada Tax Code); see notes from 9/25/25</t>
  </si>
  <si>
    <t>Tax Code1</t>
  </si>
  <si>
    <t>Tax Code 2</t>
  </si>
  <si>
    <t>Masterfiles Approval Returns</t>
  </si>
  <si>
    <t>Requestor Update (checkbox)</t>
  </si>
  <si>
    <t>(MF) Requestor Update Return Comments</t>
  </si>
  <si>
    <t>Category Finance (checkbox)</t>
  </si>
  <si>
    <t>(MF) Category Finance Return Comments</t>
  </si>
  <si>
    <t>Nutrition Labeling (checkbox)</t>
  </si>
  <si>
    <t>(MF) Nutrition Labeling Return Comments</t>
  </si>
  <si>
    <t>LIM Update (checkbox)</t>
  </si>
  <si>
    <t>(MF) LIM Update Return Comments</t>
  </si>
  <si>
    <t>Packaging Tech (checkbox)</t>
  </si>
  <si>
    <t>(MF) Packaging Tech Return Comments</t>
  </si>
  <si>
    <t>Send Returns (button)</t>
  </si>
  <si>
    <t>Masterfiles - Create Plant Extensions, pricing &amp; BOM's</t>
  </si>
  <si>
    <t>ZMMU_PLANT_Query</t>
  </si>
  <si>
    <t>Material Type</t>
  </si>
  <si>
    <t>dd: FERT, HALB</t>
  </si>
  <si>
    <t>This functionality is not yet working.</t>
  </si>
  <si>
    <t>Plant Category</t>
  </si>
  <si>
    <t>dd: reference list</t>
  </si>
  <si>
    <t>10/10/25 - asked Tamara</t>
  </si>
  <si>
    <t>Plant Number List</t>
  </si>
  <si>
    <t>Plant Extension Selection</t>
  </si>
  <si>
    <t>Create Plant Extension</t>
  </si>
  <si>
    <t>Plant</t>
  </si>
  <si>
    <t>Material Number (Plant Ext)</t>
  </si>
  <si>
    <t>Packaging - Merge with BOM</t>
  </si>
  <si>
    <t>Original BOM Plant</t>
  </si>
  <si>
    <t>Component</t>
  </si>
  <si>
    <t>Quantity</t>
  </si>
  <si>
    <t>VAS BOM Plant Assingments (CS07)</t>
  </si>
  <si>
    <t>Assign Plant</t>
  </si>
  <si>
    <t>Material Number (VAS BOM)</t>
  </si>
  <si>
    <t>Original Plant</t>
  </si>
  <si>
    <t>Newly Assigned Plant</t>
  </si>
  <si>
    <t>DTC Questions</t>
  </si>
  <si>
    <t>Will a full case of this product be sold Direct to Consumer</t>
  </si>
  <si>
    <t>This field is no longer needed / used (10/8/25)</t>
  </si>
  <si>
    <t>DTC Package Price</t>
  </si>
  <si>
    <t xml:space="preserve"> 1292 dependent on 1012 DTC</t>
  </si>
  <si>
    <t>Masterfiles Manual Checklist</t>
  </si>
  <si>
    <t>(12 checkboxes)</t>
  </si>
  <si>
    <t>Manually perform all steps</t>
  </si>
  <si>
    <t>Returns</t>
  </si>
  <si>
    <t>Updates Complete (button)</t>
  </si>
  <si>
    <t>Requestor - Req Launch DTC</t>
  </si>
  <si>
    <t>DTC Product Details</t>
  </si>
  <si>
    <t>Country</t>
  </si>
  <si>
    <t>Retail Material Number</t>
  </si>
  <si>
    <t>10/8/25 - This is a completely different form and is the KNA DTC Simple Bundle 1CT Create KNV</t>
  </si>
  <si>
    <t>1. Validate Retail material Number (button)</t>
  </si>
  <si>
    <t>script button</t>
  </si>
  <si>
    <t>2. Import Alt UOM Table (button)</t>
  </si>
  <si>
    <t>Save and Route (button)</t>
  </si>
  <si>
    <t>Attachments</t>
  </si>
  <si>
    <t>Choose File</t>
  </si>
  <si>
    <t>dd: directory</t>
  </si>
  <si>
    <t>DTC Launch Validation</t>
  </si>
  <si>
    <t>Did you submit DTC Form</t>
  </si>
  <si>
    <t xml:space="preserve"> 1301 dependent on 1012 DTC</t>
  </si>
  <si>
    <t>DTC Form Launched (button)</t>
  </si>
  <si>
    <t xml:space="preserve"> 1302 dependent on 1012 DTC</t>
  </si>
  <si>
    <t>Launch Later (No Save) (button)</t>
  </si>
  <si>
    <t>Training Section - fields &amp; complexity</t>
  </si>
  <si>
    <t>Complexity by Week and Training Section Priority</t>
  </si>
  <si>
    <t>Timing Status by Week by Training Section Priority</t>
  </si>
  <si>
    <t>Training Sections - number of fields to be defined</t>
  </si>
  <si>
    <t>Complexity</t>
  </si>
  <si>
    <t># fields</t>
  </si>
  <si>
    <t>Count of field names in Trng deck</t>
  </si>
  <si>
    <t>Values</t>
  </si>
  <si>
    <t>field names in Trng deck</t>
  </si>
  <si>
    <t>Grand Total</t>
  </si>
  <si>
    <t>UNIQUE FIELD # (order in Trng deck)</t>
  </si>
  <si>
    <t>Business Reviewd</t>
  </si>
  <si>
    <t>Formatted Business Rules</t>
  </si>
  <si>
    <t>Given to AI team</t>
  </si>
  <si>
    <t>Total</t>
  </si>
  <si>
    <t>WK1</t>
  </si>
  <si>
    <t>AA</t>
  </si>
  <si>
    <t>WK1 Total</t>
  </si>
  <si>
    <t>WK2</t>
  </si>
  <si>
    <t>BB</t>
  </si>
  <si>
    <t>CC</t>
  </si>
  <si>
    <t>WK2 Total</t>
  </si>
  <si>
    <t>WK3</t>
  </si>
  <si>
    <t>DD</t>
  </si>
  <si>
    <t>WK3 Total</t>
  </si>
  <si>
    <t>WK4</t>
  </si>
  <si>
    <t>EE</t>
  </si>
  <si>
    <t>WK4 Total</t>
  </si>
  <si>
    <t>WK5</t>
  </si>
  <si>
    <t>FF</t>
  </si>
  <si>
    <t>GG</t>
  </si>
  <si>
    <t>HH</t>
  </si>
  <si>
    <t>II</t>
  </si>
  <si>
    <t>WK5 Total</t>
  </si>
  <si>
    <t>Components Per Variety Pack</t>
  </si>
  <si>
    <t>Pkgs Per Case or WIP</t>
  </si>
  <si>
    <t>Promotion Description</t>
  </si>
  <si>
    <t>Variety Packages Per Case</t>
  </si>
  <si>
    <t>WIP SKU</t>
  </si>
  <si>
    <t>Chocolate Enrobed</t>
  </si>
  <si>
    <t>LIM Update</t>
  </si>
  <si>
    <t>Tax Code</t>
  </si>
  <si>
    <t>Complexity: ALL - Most complex sections at top, with number of fields represented in the grid per user role</t>
  </si>
  <si>
    <t>Complexity: 3 and 2 - AI guidance necessary:  49 unique fields</t>
  </si>
  <si>
    <t>Complexity: 1 - AI guidance possibly:  186 unique fields</t>
  </si>
  <si>
    <t>Complexity: 0 - definitions only:  63 unique fields</t>
  </si>
  <si>
    <t>3 Total</t>
  </si>
  <si>
    <t>2 Total</t>
  </si>
  <si>
    <t>dd: reference list: COUNTRY (not in RDL or PRL)</t>
  </si>
  <si>
    <t>1 Total</t>
  </si>
  <si>
    <t>0 Total</t>
  </si>
  <si>
    <t>These are the questions that Marketing has on their end around Brand and Type:</t>
  </si>
  <si>
    <t>new Brand</t>
  </si>
  <si>
    <r>
      <t>If</t>
    </r>
    <r>
      <rPr>
        <sz val="11"/>
        <color theme="1"/>
        <rFont val="Calibri"/>
        <family val="2"/>
      </rPr>
      <t xml:space="preserve"> this is a new </t>
    </r>
    <r>
      <rPr>
        <b/>
        <sz val="11"/>
        <color theme="1"/>
        <rFont val="Calibri"/>
        <family val="2"/>
      </rPr>
      <t>Brand</t>
    </r>
    <r>
      <rPr>
        <sz val="11"/>
        <color theme="1"/>
        <rFont val="Calibri"/>
        <family val="2"/>
      </rPr>
      <t xml:space="preserve"> requiring a separate Profit Center and separate P&amp;L from existing Brands, then it requires a new </t>
    </r>
    <r>
      <rPr>
        <b/>
        <sz val="11"/>
        <color theme="1"/>
        <rFont val="Calibri"/>
        <family val="2"/>
      </rPr>
      <t>Brand</t>
    </r>
    <r>
      <rPr>
        <sz val="11"/>
        <color theme="1"/>
        <rFont val="Calibri"/>
        <family val="2"/>
      </rPr>
      <t>, which could take 3 weeks to create. Contact Juliana Hurtado and Christa Clapper.</t>
    </r>
  </si>
  <si>
    <r>
      <t>-</t>
    </r>
    <r>
      <rPr>
        <sz val="7"/>
        <color theme="1"/>
        <rFont val="Times New Roman"/>
        <family val="1"/>
      </rPr>
      <t xml:space="preserve">            </t>
    </r>
    <r>
      <rPr>
        <sz val="11"/>
        <color theme="1"/>
        <rFont val="Calibri"/>
        <family val="2"/>
      </rPr>
      <t xml:space="preserve">Is this a new </t>
    </r>
    <r>
      <rPr>
        <b/>
        <sz val="11"/>
        <color theme="1"/>
        <rFont val="Calibri"/>
        <family val="2"/>
      </rPr>
      <t>Brand</t>
    </r>
    <r>
      <rPr>
        <sz val="11"/>
        <color theme="1"/>
        <rFont val="Calibri"/>
        <family val="2"/>
      </rPr>
      <t>, requiring a separate Profit Center and separate P&amp;L from existing Brands?</t>
    </r>
  </si>
  <si>
    <r>
      <t>o</t>
    </r>
    <r>
      <rPr>
        <sz val="7"/>
        <color theme="1"/>
        <rFont val="Times New Roman"/>
        <family val="1"/>
      </rPr>
      <t xml:space="preserve">   </t>
    </r>
    <r>
      <rPr>
        <sz val="11"/>
        <color theme="1"/>
        <rFont val="Calibri"/>
        <family val="2"/>
      </rPr>
      <t xml:space="preserve">Yes - If so, it requires a </t>
    </r>
    <r>
      <rPr>
        <strike/>
        <sz val="11"/>
        <color theme="1"/>
        <rFont val="Calibri"/>
        <family val="2"/>
      </rPr>
      <t xml:space="preserve">different or </t>
    </r>
    <r>
      <rPr>
        <sz val="11"/>
        <color theme="1"/>
        <rFont val="Calibri"/>
        <family val="2"/>
      </rPr>
      <t xml:space="preserve">new </t>
    </r>
    <r>
      <rPr>
        <b/>
        <sz val="11"/>
        <color theme="1"/>
        <rFont val="Calibri"/>
        <family val="2"/>
      </rPr>
      <t>Brand</t>
    </r>
    <r>
      <rPr>
        <sz val="11"/>
        <color theme="1"/>
        <rFont val="Calibri"/>
        <family val="2"/>
      </rPr>
      <t xml:space="preserve">, which could take 3 weeks to create. </t>
    </r>
    <r>
      <rPr>
        <sz val="11"/>
        <color rgb="FFFF0000"/>
        <rFont val="Calibri"/>
        <family val="2"/>
      </rPr>
      <t>Contact Juliana Hurtado and Christa Clapper.</t>
    </r>
  </si>
  <si>
    <t>new Planning in TPM, or new Type</t>
  </si>
  <si>
    <r>
      <t xml:space="preserve">If this item will be </t>
    </r>
    <r>
      <rPr>
        <b/>
        <sz val="11"/>
        <color theme="1"/>
        <rFont val="Calibri"/>
        <family val="2"/>
      </rPr>
      <t>planned </t>
    </r>
    <r>
      <rPr>
        <sz val="11"/>
        <color theme="1"/>
        <rFont val="Calibri"/>
        <family val="2"/>
      </rPr>
      <t xml:space="preserve">in TPM separately from existing products, then it requires a new </t>
    </r>
    <r>
      <rPr>
        <b/>
        <sz val="11"/>
        <color theme="1"/>
        <rFont val="Calibri"/>
        <family val="2"/>
      </rPr>
      <t>Type</t>
    </r>
    <r>
      <rPr>
        <sz val="11"/>
        <color theme="1"/>
        <rFont val="Calibri"/>
        <family val="2"/>
      </rPr>
      <t>, which could take 3 weeks to create. Contact Supply Chain Data Governance at SCDataGov@kellanova.com.</t>
    </r>
  </si>
  <si>
    <r>
      <t>o</t>
    </r>
    <r>
      <rPr>
        <sz val="7"/>
        <color theme="1"/>
        <rFont val="Times New Roman"/>
        <family val="1"/>
      </rPr>
      <t xml:space="preserve">   </t>
    </r>
    <r>
      <rPr>
        <sz val="11"/>
        <color theme="1"/>
        <rFont val="Calibri"/>
        <family val="2"/>
      </rPr>
      <t xml:space="preserve">No - Will this be </t>
    </r>
    <r>
      <rPr>
        <b/>
        <sz val="11"/>
        <color theme="1"/>
        <rFont val="Calibri"/>
        <family val="2"/>
      </rPr>
      <t>planned </t>
    </r>
    <r>
      <rPr>
        <sz val="11"/>
        <color theme="1"/>
        <rFont val="Calibri"/>
        <family val="2"/>
      </rPr>
      <t>in TPM separately from existing products?</t>
    </r>
  </si>
  <si>
    <r>
      <t>o</t>
    </r>
    <r>
      <rPr>
        <sz val="7"/>
        <color theme="1"/>
        <rFont val="Times New Roman"/>
        <family val="1"/>
      </rPr>
      <t xml:space="preserve">   </t>
    </r>
    <r>
      <rPr>
        <sz val="11"/>
        <color theme="1"/>
        <rFont val="Calibri"/>
        <family val="2"/>
      </rPr>
      <t xml:space="preserve">Yes - If so, it requires a </t>
    </r>
    <r>
      <rPr>
        <strike/>
        <sz val="11"/>
        <color theme="1"/>
        <rFont val="Calibri"/>
        <family val="2"/>
      </rPr>
      <t>different or</t>
    </r>
    <r>
      <rPr>
        <sz val="11"/>
        <color theme="1"/>
        <rFont val="Calibri"/>
        <family val="2"/>
      </rPr>
      <t xml:space="preserve"> new </t>
    </r>
    <r>
      <rPr>
        <b/>
        <sz val="11"/>
        <color theme="1"/>
        <rFont val="Calibri"/>
        <family val="2"/>
      </rPr>
      <t>Type</t>
    </r>
    <r>
      <rPr>
        <sz val="11"/>
        <color theme="1"/>
        <rFont val="Calibri"/>
        <family val="2"/>
      </rPr>
      <t xml:space="preserve">, which could take 3 weeks to create. </t>
    </r>
    <r>
      <rPr>
        <sz val="11"/>
        <color rgb="FFFF0000"/>
        <rFont val="Calibri"/>
        <family val="2"/>
      </rPr>
      <t>Contact Supply Chain Data Governance at SCDataGov@kellanova.com.</t>
    </r>
  </si>
  <si>
    <t>new Food Form</t>
  </si>
  <si>
    <r>
      <t xml:space="preserve">If this item is a new </t>
    </r>
    <r>
      <rPr>
        <b/>
        <sz val="11"/>
        <color theme="1"/>
        <rFont val="Calibri"/>
        <family val="2"/>
      </rPr>
      <t xml:space="preserve">Food Form </t>
    </r>
    <r>
      <rPr>
        <sz val="11"/>
        <color theme="1"/>
        <rFont val="Calibri"/>
        <family val="2"/>
      </rPr>
      <t>that will fall under an existing Brand</t>
    </r>
    <r>
      <rPr>
        <b/>
        <sz val="11"/>
        <color theme="1"/>
        <rFont val="Calibri"/>
        <family val="2"/>
      </rPr>
      <t xml:space="preserve">, </t>
    </r>
    <r>
      <rPr>
        <sz val="11"/>
        <color theme="1"/>
        <rFont val="Calibri"/>
        <family val="2"/>
      </rPr>
      <t xml:space="preserve">then it requires a new </t>
    </r>
    <r>
      <rPr>
        <b/>
        <sz val="11"/>
        <color theme="1"/>
        <rFont val="Calibri"/>
        <family val="2"/>
      </rPr>
      <t>Type</t>
    </r>
    <r>
      <rPr>
        <sz val="11"/>
        <color theme="1"/>
        <rFont val="Calibri"/>
        <family val="2"/>
      </rPr>
      <t>, which could take 3 weeks to create. Contact Supply Chain Data Governance at SCDataGov@kellanova.com.</t>
    </r>
  </si>
  <si>
    <r>
      <t>o</t>
    </r>
    <r>
      <rPr>
        <sz val="7"/>
        <color theme="1"/>
        <rFont val="Times New Roman"/>
        <family val="1"/>
      </rPr>
      <t xml:space="preserve">   </t>
    </r>
    <r>
      <rPr>
        <sz val="11"/>
        <color theme="1"/>
        <rFont val="Calibri"/>
        <family val="2"/>
      </rPr>
      <t xml:space="preserve">No - Is this a new </t>
    </r>
    <r>
      <rPr>
        <b/>
        <sz val="11"/>
        <color theme="1"/>
        <rFont val="Calibri"/>
        <family val="2"/>
      </rPr>
      <t>Food Form</t>
    </r>
    <r>
      <rPr>
        <sz val="11"/>
        <color theme="1"/>
        <rFont val="Calibri"/>
        <family val="2"/>
      </rPr>
      <t xml:space="preserve"> that will fall under an existing Brand</t>
    </r>
    <r>
      <rPr>
        <b/>
        <sz val="11"/>
        <color theme="1"/>
        <rFont val="Calibri"/>
        <family val="2"/>
      </rPr>
      <t>?</t>
    </r>
  </si>
  <si>
    <r>
      <t>§</t>
    </r>
    <r>
      <rPr>
        <sz val="7"/>
        <color theme="1"/>
        <rFont val="Times New Roman"/>
        <family val="1"/>
      </rPr>
      <t xml:space="preserve">  </t>
    </r>
    <r>
      <rPr>
        <sz val="11"/>
        <color theme="1"/>
        <rFont val="Calibri"/>
        <family val="2"/>
      </rPr>
      <t xml:space="preserve">Yes - It requires a </t>
    </r>
    <r>
      <rPr>
        <strike/>
        <sz val="11"/>
        <color theme="1"/>
        <rFont val="Calibri"/>
        <family val="2"/>
      </rPr>
      <t xml:space="preserve">different or </t>
    </r>
    <r>
      <rPr>
        <sz val="11"/>
        <color theme="1"/>
        <rFont val="Calibri"/>
        <family val="2"/>
      </rPr>
      <t xml:space="preserve">new </t>
    </r>
    <r>
      <rPr>
        <b/>
        <sz val="11"/>
        <color theme="1"/>
        <rFont val="Calibri"/>
        <family val="2"/>
      </rPr>
      <t>Type</t>
    </r>
    <r>
      <rPr>
        <sz val="11"/>
        <color theme="1"/>
        <rFont val="Calibri"/>
        <family val="2"/>
      </rPr>
      <t xml:space="preserve">, which could take 3 weeks to create. </t>
    </r>
    <r>
      <rPr>
        <sz val="11"/>
        <color rgb="FFFF0000"/>
        <rFont val="Calibri"/>
        <family val="2"/>
      </rPr>
      <t>Contact Supply Chain Data Governance at SCDataGov@kellanova.com.</t>
    </r>
  </si>
  <si>
    <t>new Size</t>
  </si>
  <si>
    <r>
      <t xml:space="preserve">If this item is a new </t>
    </r>
    <r>
      <rPr>
        <b/>
        <sz val="11"/>
        <color theme="1"/>
        <rFont val="Calibri"/>
        <family val="2"/>
      </rPr>
      <t>Size</t>
    </r>
    <r>
      <rPr>
        <sz val="11"/>
        <color theme="1"/>
        <rFont val="Calibri"/>
        <family val="2"/>
      </rPr>
      <t xml:space="preserve">, then it may require a new </t>
    </r>
    <r>
      <rPr>
        <b/>
        <sz val="11"/>
        <color theme="1"/>
        <rFont val="Calibri"/>
        <family val="2"/>
      </rPr>
      <t>Type</t>
    </r>
    <r>
      <rPr>
        <sz val="11"/>
        <color theme="1"/>
        <rFont val="Calibri"/>
        <family val="2"/>
      </rPr>
      <t>, which could take 3 weeks to create. Contact Commercial Enablement.</t>
    </r>
  </si>
  <si>
    <r>
      <t>§</t>
    </r>
    <r>
      <rPr>
        <sz val="7"/>
        <color theme="1"/>
        <rFont val="Times New Roman"/>
        <family val="1"/>
      </rPr>
      <t xml:space="preserve">  </t>
    </r>
    <r>
      <rPr>
        <sz val="11"/>
        <color theme="1"/>
        <rFont val="Calibri"/>
        <family val="2"/>
      </rPr>
      <t xml:space="preserve">No - Is this a new </t>
    </r>
    <r>
      <rPr>
        <b/>
        <sz val="11"/>
        <color theme="1"/>
        <rFont val="Calibri"/>
        <family val="2"/>
      </rPr>
      <t>Size?</t>
    </r>
  </si>
  <si>
    <r>
      <t>§</t>
    </r>
    <r>
      <rPr>
        <sz val="7"/>
        <color theme="1"/>
        <rFont val="Times New Roman"/>
        <family val="1"/>
      </rPr>
      <t xml:space="preserve">  </t>
    </r>
    <r>
      <rPr>
        <sz val="11"/>
        <color theme="1"/>
        <rFont val="Calibri"/>
        <family val="2"/>
      </rPr>
      <t xml:space="preserve">Yes - It may require a </t>
    </r>
    <r>
      <rPr>
        <strike/>
        <sz val="11"/>
        <color theme="1"/>
        <rFont val="Calibri"/>
        <family val="2"/>
      </rPr>
      <t xml:space="preserve">different or </t>
    </r>
    <r>
      <rPr>
        <sz val="11"/>
        <color theme="1"/>
        <rFont val="Calibri"/>
        <family val="2"/>
      </rPr>
      <t xml:space="preserve">new </t>
    </r>
    <r>
      <rPr>
        <b/>
        <sz val="11"/>
        <color theme="1"/>
        <rFont val="Calibri"/>
        <family val="2"/>
      </rPr>
      <t>Type</t>
    </r>
    <r>
      <rPr>
        <sz val="11"/>
        <color theme="1"/>
        <rFont val="Calibri"/>
        <family val="2"/>
      </rPr>
      <t>, which could take 3 weeks to create. - contact Commercial Enablement</t>
    </r>
  </si>
  <si>
    <t>new Package Price, or new Price</t>
  </si>
  <si>
    <r>
      <t xml:space="preserve">If this item is a new </t>
    </r>
    <r>
      <rPr>
        <b/>
        <sz val="11"/>
        <color theme="1"/>
        <rFont val="Calibri"/>
        <family val="2"/>
      </rPr>
      <t>Package Price</t>
    </r>
    <r>
      <rPr>
        <sz val="11"/>
        <color theme="1"/>
        <rFont val="Calibri"/>
        <family val="2"/>
      </rPr>
      <t xml:space="preserve">, then it may require a new </t>
    </r>
    <r>
      <rPr>
        <b/>
        <sz val="11"/>
        <color theme="1"/>
        <rFont val="Calibri"/>
        <family val="2"/>
      </rPr>
      <t>Type</t>
    </r>
    <r>
      <rPr>
        <sz val="11"/>
        <color theme="1"/>
        <rFont val="Calibri"/>
        <family val="2"/>
      </rPr>
      <t>, which could take 3 weeks to create. Contact Commercial Enablement.</t>
    </r>
  </si>
  <si>
    <r>
      <t>§</t>
    </r>
    <r>
      <rPr>
        <sz val="7"/>
        <color theme="1"/>
        <rFont val="Times New Roman"/>
        <family val="1"/>
      </rPr>
      <t xml:space="preserve">  </t>
    </r>
    <r>
      <rPr>
        <sz val="11"/>
        <color theme="1"/>
        <rFont val="Calibri"/>
        <family val="2"/>
      </rPr>
      <t xml:space="preserve">No - Is this a new </t>
    </r>
    <r>
      <rPr>
        <b/>
        <sz val="11"/>
        <color theme="1"/>
        <rFont val="Calibri"/>
        <family val="2"/>
      </rPr>
      <t>package</t>
    </r>
    <r>
      <rPr>
        <sz val="11"/>
        <color theme="1"/>
        <rFont val="Calibri"/>
        <family val="2"/>
      </rPr>
      <t xml:space="preserve"> </t>
    </r>
    <r>
      <rPr>
        <b/>
        <sz val="11"/>
        <color theme="1"/>
        <rFont val="Calibri"/>
        <family val="2"/>
      </rPr>
      <t>price</t>
    </r>
    <r>
      <rPr>
        <sz val="11"/>
        <color theme="1"/>
        <rFont val="Calibri"/>
        <family val="2"/>
      </rPr>
      <t>? </t>
    </r>
  </si>
  <si>
    <r>
      <t>§</t>
    </r>
    <r>
      <rPr>
        <sz val="7"/>
        <color theme="1"/>
        <rFont val="Times New Roman"/>
        <family val="1"/>
      </rPr>
      <t xml:space="preserve">  </t>
    </r>
    <r>
      <rPr>
        <sz val="11"/>
        <color theme="1"/>
        <rFont val="Calibri"/>
        <family val="2"/>
      </rPr>
      <t xml:space="preserve">Yes - It may require new </t>
    </r>
    <r>
      <rPr>
        <b/>
        <sz val="11"/>
        <color theme="1"/>
        <rFont val="Calibri"/>
        <family val="2"/>
      </rPr>
      <t xml:space="preserve">Type. </t>
    </r>
    <r>
      <rPr>
        <sz val="11"/>
        <color theme="1"/>
        <rFont val="Calibri"/>
        <family val="2"/>
      </rPr>
      <t>- contact Commercial Enablement</t>
    </r>
  </si>
  <si>
    <t>new Sub Brand, or new Sub-Brand</t>
  </si>
  <si>
    <r>
      <t xml:space="preserve">If this item is a new </t>
    </r>
    <r>
      <rPr>
        <b/>
        <sz val="11"/>
        <color theme="1"/>
        <rFont val="Calibri"/>
        <family val="2"/>
      </rPr>
      <t>Sub Brand</t>
    </r>
    <r>
      <rPr>
        <sz val="11"/>
        <color theme="1"/>
        <rFont val="Calibri"/>
        <family val="2"/>
      </rPr>
      <t>, then submit a KNA Request Product Value form in Evolve.</t>
    </r>
  </si>
  <si>
    <r>
      <t>§</t>
    </r>
    <r>
      <rPr>
        <sz val="7"/>
        <color theme="1"/>
        <rFont val="Times New Roman"/>
        <family val="1"/>
      </rPr>
      <t xml:space="preserve">  </t>
    </r>
    <r>
      <rPr>
        <sz val="11"/>
        <color theme="1"/>
        <rFont val="Calibri"/>
        <family val="2"/>
      </rPr>
      <t xml:space="preserve">No - Is this a new </t>
    </r>
    <r>
      <rPr>
        <b/>
        <sz val="11"/>
        <color theme="1"/>
        <rFont val="Calibri"/>
        <family val="2"/>
      </rPr>
      <t>Sub Brand? </t>
    </r>
  </si>
  <si>
    <r>
      <t>§</t>
    </r>
    <r>
      <rPr>
        <sz val="7"/>
        <color theme="1"/>
        <rFont val="Times New Roman"/>
        <family val="1"/>
      </rPr>
      <t xml:space="preserve">  </t>
    </r>
    <r>
      <rPr>
        <sz val="11"/>
        <color theme="1"/>
        <rFont val="Calibri"/>
        <family val="2"/>
      </rPr>
      <t>Yes - submit a KNA Request Product Value form in Evolve</t>
    </r>
  </si>
  <si>
    <t>Brand</t>
  </si>
  <si>
    <t>If this item is On The Go/Convenience Snack Packs, then ensure selection of Brand name during Requestor Update task includes OTG (EX: Caddies Cheez-It OTG).</t>
  </si>
  <si>
    <r>
      <t>§</t>
    </r>
    <r>
      <rPr>
        <sz val="7"/>
        <color theme="1"/>
        <rFont val="Times New Roman"/>
        <family val="1"/>
      </rPr>
      <t xml:space="preserve">  </t>
    </r>
    <r>
      <rPr>
        <sz val="11"/>
        <color theme="1"/>
        <rFont val="Calibri"/>
        <family val="2"/>
      </rPr>
      <t xml:space="preserve">No - OTG (On The Go) is usually in a different Brand hierarchy than core. Is this an </t>
    </r>
    <r>
      <rPr>
        <b/>
        <sz val="11"/>
        <color theme="1"/>
        <rFont val="Calibri"/>
        <family val="2"/>
      </rPr>
      <t>OTG</t>
    </r>
    <r>
      <rPr>
        <sz val="11"/>
        <color theme="1"/>
        <rFont val="Calibri"/>
        <family val="2"/>
      </rPr>
      <t xml:space="preserve"> item?</t>
    </r>
  </si>
  <si>
    <r>
      <t>§</t>
    </r>
    <r>
      <rPr>
        <sz val="7"/>
        <color theme="1"/>
        <rFont val="Times New Roman"/>
        <family val="1"/>
      </rPr>
      <t xml:space="preserve">  </t>
    </r>
    <r>
      <rPr>
        <sz val="11"/>
        <color theme="1"/>
        <rFont val="Calibri"/>
        <family val="2"/>
      </rPr>
      <t>Yes - Ensure selection of Brand name during Requestor Update task includes OTG (example: Caddies Cheez-It OTG)</t>
    </r>
  </si>
  <si>
    <r>
      <t>§</t>
    </r>
    <r>
      <rPr>
        <sz val="7"/>
        <color theme="1"/>
        <rFont val="Times New Roman"/>
        <family val="1"/>
      </rPr>
      <t xml:space="preserve">  </t>
    </r>
    <r>
      <rPr>
        <sz val="11"/>
        <color theme="1"/>
        <rFont val="Calibri"/>
        <family val="2"/>
      </rPr>
      <t>No - Ensure selection of Brand name during Requestor Update task does not include OTG</t>
    </r>
  </si>
  <si>
    <t>Is this a CSP (OTG) item?</t>
  </si>
  <si>
    <r>
      <rPr>
        <sz val="11"/>
        <color rgb="FFFF0000"/>
        <rFont val="Calibri"/>
        <family val="2"/>
      </rPr>
      <t xml:space="preserve">Is this a new </t>
    </r>
    <r>
      <rPr>
        <b/>
        <sz val="11"/>
        <color rgb="FFFF0000"/>
        <rFont val="Calibri"/>
        <family val="2"/>
      </rPr>
      <t>Brand</t>
    </r>
    <r>
      <rPr>
        <sz val="11"/>
        <color rgb="FFFF0000"/>
        <rFont val="Calibri"/>
        <family val="2"/>
      </rPr>
      <t xml:space="preserve"> </t>
    </r>
    <r>
      <rPr>
        <strike/>
        <sz val="11"/>
        <color rgb="FFFF0000"/>
        <rFont val="Calibri"/>
        <family val="2"/>
      </rPr>
      <t>requiring a separate Profit Center and separate P&amp;L from existing Brands</t>
    </r>
    <r>
      <rPr>
        <sz val="11"/>
        <color rgb="FFFF0000"/>
        <rFont val="Calibri"/>
        <family val="2"/>
      </rPr>
      <t>?</t>
    </r>
  </si>
  <si>
    <r>
      <t>o</t>
    </r>
    <r>
      <rPr>
        <sz val="7"/>
        <color theme="1"/>
        <rFont val="Times New Roman"/>
        <family val="1"/>
      </rPr>
      <t xml:space="preserve">   </t>
    </r>
    <r>
      <rPr>
        <sz val="11"/>
        <color theme="1"/>
        <rFont val="Calibri"/>
        <family val="2"/>
      </rPr>
      <t xml:space="preserve">No - Will this be </t>
    </r>
    <r>
      <rPr>
        <b/>
        <sz val="11"/>
        <color theme="1"/>
        <rFont val="Calibri"/>
        <family val="2"/>
      </rPr>
      <t>planned </t>
    </r>
    <r>
      <rPr>
        <sz val="11"/>
        <color theme="1"/>
        <rFont val="Calibri"/>
        <family val="2"/>
      </rPr>
      <t>in TPM separately from existing products?</t>
    </r>
    <r>
      <rPr>
        <sz val="10"/>
        <color theme="1"/>
        <rFont val="Courier New"/>
        <family val="3"/>
      </rPr>
      <t xml:space="preserve"> </t>
    </r>
    <r>
      <rPr>
        <b/>
        <i/>
        <sz val="11"/>
        <color theme="1"/>
        <rFont val="Calibri"/>
        <family val="2"/>
      </rPr>
      <t>Refer to the PH Report to review where current items are assigned.</t>
    </r>
  </si>
  <si>
    <r>
      <t>§</t>
    </r>
    <r>
      <rPr>
        <sz val="7"/>
        <color theme="1"/>
        <rFont val="Times New Roman"/>
        <family val="1"/>
      </rPr>
      <t xml:space="preserve">  </t>
    </r>
    <r>
      <rPr>
        <sz val="11"/>
        <color theme="1"/>
        <rFont val="Calibri"/>
        <family val="2"/>
      </rPr>
      <t>No - done</t>
    </r>
  </si>
  <si>
    <t>Business Rule gathering</t>
  </si>
  <si>
    <t>orig start</t>
  </si>
  <si>
    <t>orig end</t>
  </si>
  <si>
    <t>actual start</t>
  </si>
  <si>
    <t>actual end</t>
  </si>
  <si>
    <t>Bev OOO on 10/6/25</t>
  </si>
  <si>
    <t>Generate_Material_Description code for button (from NIF Rules.docx)</t>
  </si>
  <si>
    <t>Button: Generate Material DescriptionRule: Kellogg Desc - Base</t>
  </si>
  <si>
    <t>Conditions</t>
  </si>
  <si>
    <t>if (Pringlesis equal to'No' )</t>
  </si>
  <si>
    <t>Actions</t>
  </si>
  <si>
    <t>Set a Field Value:Draft_Material_Desc= concat($form.getValue('/my:myFields/my:Form_Only_Fields/my:Brand_Abbr')," ", $form.getValue('/my:myFields/my:Form_Only_Fields/my:Flavor_Abbr')," ",$form.getValue('/my:myFields/my:Form_Only_Fields/my:Food_Form_Abbr')," ")</t>
  </si>
  <si>
    <t>Button: Generate Material DescriptionRule: Kellogg Desc - Add Sub Food Form</t>
  </si>
  <si>
    <t>if (SUB_FOOD_FORMis not blank )</t>
  </si>
  <si>
    <t>Set a Field Value:Draft_Material_Desc= concat($form.getValue('/my:myFields/my:Form_Only_Fields/my:Draft_Material_Desc'),$form.getValue('/my:myFields/my:Form_Only_Fields/my:Sub_Food_Form_Abbr'), " ")</t>
  </si>
  <si>
    <t>Button: Generate Material DescriptionRule: Kellogg Desc - Add Count Bars, Size, Case Count</t>
  </si>
  <si>
    <t>if (Pringlesis equal to"No"ANDDisplay_Vehicleis blank )</t>
  </si>
  <si>
    <t>Set a Field Value:Draft_Material_Desc= concat($form.getValue('/my:myFields/my:Form_Only_Fields/my:Draft_Material_Desc'), $form.getValue('/my:myFields/my:Form_Only_Fields/my:Count_bars_description'),$form.getValue('/my:myFields/my:Form_Only_Fields/my:Size_for_Matl_Desc'),"X",$form.getValue('/my:myFields/my:Form_Only_Fields/my:Case_Count_Desc')," ")</t>
  </si>
  <si>
    <t>Button: Generate Material DescriptionRule: Kellogg Desc - Add Display Vehicle &amp; Case Count</t>
  </si>
  <si>
    <t>if (Pringlesis equal to"No"ANDDisplay_Vehicleis not blank )</t>
  </si>
  <si>
    <t>Set a Field Value:Draft_Material_Desc= concat($form.getValue('/my:myFields/my:Form_Only_Fields/my:Draft_Material_Desc'), $form.getValue('/my:myFields/my:Form_Only_Fields/my:Display_Vehicle'),"X",$form.getValue('/my:myFields/my:Form_Only_Fields/my:Case_Count_Desc'))</t>
  </si>
  <si>
    <t>Button: Generate Material DescriptionRule: Kellogg Desc - Add Promotion</t>
  </si>
  <si>
    <t>if (Pringlesis equal to"No"ANDPromo_Short_Descis not blank )</t>
  </si>
  <si>
    <t>Set a Field Value:Draft_Material_Desc= concat($form.getValue('/my:myFields/my:Form_Only_Fields/my:Draft_Material_Desc'), $form.getValue('/my:myFields/my:Form_Only_Fields/my:Promo_Short_Desc'))</t>
  </si>
  <si>
    <t>Button: Generate Material DescriptionRule: Kellogg Desc - Add Desig Cust</t>
  </si>
  <si>
    <t>if (Pringlesis equal to"No"ANDDesig_Cust_Abbr_In_Descis equal to"Yes" )</t>
  </si>
  <si>
    <t>Set a Field Value:Draft_Material_Desc= concat($form.getValue('/my:myFields/my:Form_Only_Fields/my:Draft_Material_Desc'), $form.getValue('/my:myFields/my:Form_Only_Fields/my:Desig_Cust_Abbr'))</t>
  </si>
  <si>
    <t>Button: Generate Material DescriptionRule: Kellogg Desc - Add Special Pack Type</t>
  </si>
  <si>
    <t>if (Pringlesis equal to"No"ANDSpecial_Pack_Typeis not blank )</t>
  </si>
  <si>
    <t>Set a Field Value:Draft_Material_Desc= concat($form.getValue('/my:myFields/my:Form_Only_Fields/my:Draft_Material_Desc'), $form.getValue('/my:myFields/my:Form_Only_Fields/my:Special_Pack_Type'))</t>
  </si>
  <si>
    <t>Button: Generate Material DescriptionRule: Kellogg Desc - Add Cust Abbr and Promo Short Desc</t>
  </si>
  <si>
    <t>Set a Field Value:Draft_Material_Desc= concat($form.getValue('/my:myFields/my:Form_Only_Fields/my:Draft_Material_Desc'), " ", $form.getValue('/my:myFields/my:Form_Only_Fields/my:Desig_Cust_Abbrev')," ", $form.getValue('/my:myFields/my:Form_Only_Fields/my:Promo_Short_Desc'))</t>
  </si>
  <si>
    <t>Button: Generate Material DescriptionRule: Pringles Desc - Base</t>
  </si>
  <si>
    <t>if (Pringlesis equal to'Yes' )</t>
  </si>
  <si>
    <t>Set a Field Value:Draft_Material_Desc= concat("PRG ",$form.getValue('/my:myFields/my:Form_Only_Fields/my:Pringles_Country_Sold_In')," ",$form.getValue('/my:myFields/my:Form_Only_Fields/my:Brand_Abbr')," ",$form.getValue('/my:myFields/my:Form_Only_Fields/my:Flavor_Abbr')," ",$form.getValue('/my:myFields/my:Form_Only_Fields/my:Food_Form_Abbr'), " ",$form.getValue('/my:myFields/my:Form_Only_Fields/my:Count_bars_description')," ",$form.getValue('/my:myFields/my:Form_Only_Fields/my:Size_for_Matl_Desc'),"X",$form.getValue('/my:myFields/my:Form_Only_Fields/my:Case_Count_Desc'),$form.getValue('/my:myFields/my:Form_Only_Fields/my:Size_Abbr'))</t>
  </si>
  <si>
    <t>Button: Generate Material DescriptionRule: Pringles Desc - Add Promo Short Description</t>
  </si>
  <si>
    <t>if (Promo_Short_Descis not blankANDPringlesis equal to'Yes' )</t>
  </si>
  <si>
    <t>Set a Field Value:Draft_Material_Desc= concat($form.getValue('/my:myFields/my:Form_Only_Fields/my:Draft_Material_Desc'), " ",$form.getValue('/my:myFields/my:Form_Only_Fields/my:Promo_Short_Desc'))</t>
  </si>
  <si>
    <t>Button: Generate Material DescriptionRule: Pringles Desc - Add Designated Customer</t>
  </si>
  <si>
    <t>if (Desig_Cust_Abbr_In_Descis not blankANDPringlesis equal to'Yes' )</t>
  </si>
  <si>
    <t>Set a Field Value:Draft_Material_Desc= concat($form.getValue('/my:myFields/my:Form_Only_Fields/my:Draft_Material_Desc'), " ",$form.getValue('/my:myFields/my:Form_Only_Fields/my:Desig_Cust_Abbrev'))</t>
  </si>
  <si>
    <t>Button: Generate Material DescriptionRule: Append Single Serve to Desc</t>
  </si>
  <si>
    <t>if (Setup_Typecontains'Single' )</t>
  </si>
  <si>
    <t>Set a Field Value:Draft_Material_Desc= concat($form.getValue('/my:myFields/my:Form_Only_Fields/my:Draft_Material_Desc'), ' SS')</t>
  </si>
  <si>
    <t>Button: Generate Material DescriptionRule: Append Club to Desc</t>
  </si>
  <si>
    <t>if (Setup_Typecontains'Club' )</t>
  </si>
  <si>
    <t>Set a Field Value:Draft_Material_Desc= concat($form.getValue('/my:myFields/my:Form_Only_Fields/my:Draft_Material_Desc'), ' CLUB')</t>
  </si>
  <si>
    <t>Button: Generate Material DescriptionRule: Add BULK to Description</t>
  </si>
  <si>
    <t>if (Setup_Typecontains'Bulk' )</t>
  </si>
  <si>
    <t>Set a Field Value:Draft_Material_Desc= concat($form.getValue('/my:myFields/my:Form_Only_Fields/my:Draft_Material_Desc'), ' BULK')</t>
  </si>
  <si>
    <t>Button: Generate Material DescriptionRule: Add EComm to Description</t>
  </si>
  <si>
    <t>if (Setup_Typecontains'EComm' )</t>
  </si>
  <si>
    <t>Set a Field Value:Draft_Material_Desc= concat($form.getValue('/my:myFields/my:Form_Only_Fields/my:Draft_Material_Desc'), ' ECOMM')</t>
  </si>
  <si>
    <t>Button: Generate Material DescriptionRule: Add Repack to Description</t>
  </si>
  <si>
    <t>if (Setup_Typecontains"Repack" )</t>
  </si>
  <si>
    <t>Set a Field Value:Draft_Material_Desc= concat($form.getValue('/my:myFields/my:Form_Only_Fields/my:Draft_Material_Desc'), ' RPK')</t>
  </si>
  <si>
    <t>Button: Generate Material DescriptionRule: Add Rainbow to Description</t>
  </si>
  <si>
    <t>if (Setup_Typecontains"Rainbow" )</t>
  </si>
  <si>
    <t>Set a Field Value:Draft_Material_Desc= concat($form.getValue('/my:myFields/my:Form_Only_Fields/my:Draft_Material_Desc'), ' RNBW')</t>
  </si>
  <si>
    <t>Button: Generate Material DescriptionRule: Add WIP CS to Description</t>
  </si>
  <si>
    <t>if (Setup_Typecontains"WIP Case" )</t>
  </si>
  <si>
    <t>Set a Field Value:Draft_Material_Desc= concat($form.getValue('/my:myFields/my:Form_Only_Fields/my:Draft_Material_Desc'), ' WIP CS')</t>
  </si>
  <si>
    <t>Button: Generate Material DescriptionRule: WIP Tote</t>
  </si>
  <si>
    <t>if (Setup_Typebegins with'WIP Tote' )</t>
  </si>
  <si>
    <t>Set a Field Value:Draft_Material_Desc= concat($form.getValue('/my:myFields/my:Form_Only_Fields/my:Draft_Material_Desc'), ' TOTE')</t>
  </si>
  <si>
    <t>Button: Generate Material DescriptionRule: Add VRTY PK to Description</t>
  </si>
  <si>
    <t>if (Variety_Pack_Questionis equal to'Yes' )</t>
  </si>
  <si>
    <t>Set a Field Value:Draft_Material_Desc= concat($form.getValue('/my:myFields/my:Form_Only_Fields/my:Draft_Material_Desc'), ' VRTY PK')</t>
  </si>
  <si>
    <t>Button: Generate Material DescriptionRule: Add DTC to Description</t>
  </si>
  <si>
    <t>if (Setup_Typecontains'DTC Case' )</t>
  </si>
  <si>
    <t>Set a Field Value:Draft_Material_Desc= concat($form.getValue('/my:myFields/my:Form_Only_Fields/my:Draft_Material_Desc'), ' DTC')</t>
  </si>
  <si>
    <r>
      <t>UNIQUE FIELD #</t>
    </r>
    <r>
      <rPr>
        <b/>
        <sz val="10"/>
        <color rgb="FF000000"/>
        <rFont val="Arial Nova"/>
        <family val="2"/>
      </rPr>
      <t xml:space="preserve"> (order in Trng deck)</t>
    </r>
  </si>
  <si>
    <r>
      <t>field names</t>
    </r>
    <r>
      <rPr>
        <b/>
        <sz val="10"/>
        <color rgb="FF000000"/>
        <rFont val="Arial Nova"/>
        <family val="2"/>
      </rPr>
      <t xml:space="preserve"> in Trng deck</t>
    </r>
  </si>
  <si>
    <t>Definition</t>
  </si>
  <si>
    <t>Autopopulated with the name of the person who is initiatiing the NIF.</t>
  </si>
  <si>
    <t>Autopopulated with the email of the person who is initiatiing the NIF.</t>
  </si>
  <si>
    <t>Autopopulated with the date the form is initiated.</t>
  </si>
  <si>
    <t>Autopopulated with the current version of the NIF.</t>
  </si>
  <si>
    <t>Autopopulated with the name of the person who is initiating the NIF, and used in the workflow of the form.</t>
  </si>
  <si>
    <t>Select the name of the Logistics Innovation Manager assigned to this project from the drop down.</t>
  </si>
  <si>
    <t>Select Kellanova.</t>
  </si>
  <si>
    <t xml:space="preserve">There are three form types: Case, Display (Mod or Shipper) or WIP (Work In Progress/not sold to customers). This will drive the values that will appear in the Product Type dropdown.  </t>
  </si>
  <si>
    <t xml:space="preserve">This field represents the country that will own the new item being created. </t>
  </si>
  <si>
    <t>This is the primary type of the new item that is being created. Based off the Form Type selected. Determines what setup type should be used.</t>
  </si>
  <si>
    <t>Based off the Product Type selected. For example; Product Type Straight Case, the Product Sub Type will only display choices that are relevant to that product type: Package with UPC or Package and pouch/inner item with UPCs</t>
  </si>
  <si>
    <t>If Pringles, answer yes. This drives logic around description and displays the Pringles Can Size field.</t>
  </si>
  <si>
    <t>Will this item be sold at the package level, direct to consumer - RX PRODUCT/ will kick off DTC form at end of process</t>
  </si>
  <si>
    <t>Internal Kellanova # Assigned by MasterFiles</t>
  </si>
  <si>
    <t>KUBIC, PDR (Product Development Request), PWR (Packaging Work Request), or SCR (Supply Chain Request)</t>
  </si>
  <si>
    <t>PDR and SCR is text (ex Tasty), PWR is numeric (ex 2020-123) and KUBIC can be either -  If KUBIC, the product like/reference SKU field is required</t>
  </si>
  <si>
    <t>Bars, Crackers, Other Convenience, Salty Snacks, Frozen, Toaster Pastries, Veggies</t>
  </si>
  <si>
    <t>This will be used in the description of the form. Do not use details that might change (such as net weight, flavor, etc.)  Ex. POP-TARTS WALMART VARIETY PK</t>
  </si>
  <si>
    <t>Be as detailed as possible, and provide the flavor, package size and case size if known. There is opportunity to update this later if details change.</t>
  </si>
  <si>
    <t>This field is meant to convey the level for the rest of the information that you will be communicating as estimated or finalized.  It can be at the package or inner item/pouch level.</t>
  </si>
  <si>
    <t>This field is used to indicate if the weight information is estimated or finalized.</t>
  </si>
  <si>
    <t>This field is where you would enter the stated net weight that is printed on the packaging.</t>
  </si>
  <si>
    <t xml:space="preserve">This field is the net weight unit of measure that is printed on the packaging; OZ, LB, G, KG. </t>
  </si>
  <si>
    <t>This field is used to indicate if the case count for the level selected earlier is estimated or finalized.</t>
  </si>
  <si>
    <t>This field is the total number of items in the case for the level selected earlier.</t>
  </si>
  <si>
    <t>This is very useful for Masterfiles as well as other teams to understand the setup requirements. Only required if the Project Type is KUBIC, otherwise it is informational only. - Dependent on PROJECT TYPE KUBIC (required)</t>
  </si>
  <si>
    <t>US only, Canada should always answer NO. Answering yes will automatically apply the “Online” Trade Channel for Data Sync purposes. Answering yes to the “Approved to sell via Ecommerce?” question on the Requestor Initiate task means the item is approved for sale on our CUSTOMERS' ecommerce platform, or is DTC/Direct To Consumer, where the item is intended for sale on Kellanova's ecommerce platform.</t>
  </si>
  <si>
    <t>Answer yes if the new item is meant for sale to one customer (i.e. Walmart). This information will be used by the Data Sync team for item publication to customers - (CUSTOMER_SPECIFIC)</t>
  </si>
  <si>
    <t>If the answer to "Is product designated to one customer?" is Yes, this field will open up for population. Provide the name of the customer using the drop down. This information is required if the product is designated to one customer, and will be used by the Data Sync team for item publication. If it is not populated with the customer name, the item will be published out to all customers, vs just (as an example) Walmart. Required for Data Sync in order to ensure the item is published only to this customer, versus all customers.</t>
  </si>
  <si>
    <t>Answer yes if the customer's name should appear in the product description in SAP.</t>
  </si>
  <si>
    <t>Is the new item considered a variety pack? For example, a carton that has different flavors inside.</t>
  </si>
  <si>
    <t xml:space="preserve">Do the items inside the variety pack have UPC codes printed on them? If so, you will need to provide the BOM details on the Requestor Update task for what is inside for Data Sync purposes - Yes or No.  If answered Yes to Variety Pack? this field will open up for population.  If yes, provide BOM details for Data Sync purposes (CASE Form Type) - Drives the 0200 BOM </t>
  </si>
  <si>
    <t>Should be No, unless the Setup Type is Repack/RCP - This field should be locked and defaulted based on the setup type chosen. Should be no, unless the Setup Type is Repack/RCP - Provide the existing export UPC's and K numbers that will be used for this new item</t>
  </si>
  <si>
    <t>Yes or No.  If Yes, the External Material Group dropdown is restricted to only AFH choices - If the new item being set up is owned by Away From Home (AFH), the External Material Group dropdown is restricted to only AFH (Away From Home) choices</t>
  </si>
  <si>
    <t>Yes or No. If the item is produced in the US or CA, but sold in another country, select Yes, otherwise, select no.</t>
  </si>
  <si>
    <t>If you answer "Is this an Export product?" as yes, this field will open up for population. If the new item you are creating uses existing Export UPC's, select yes. If it will need newly assigned UPC's, select no</t>
  </si>
  <si>
    <t>If you answer "Build SKU Using Existing Export UPC’s?" as yes, this field will open up for population. Provide the existing export UPC's that will be used for this new item</t>
  </si>
  <si>
    <t>Will the new item be produced under a Private Label? Ex. Sysco - Select from drop down</t>
  </si>
  <si>
    <t>If you answer "Private Label?" as Yes, this field will open up for population. Select the name of the Private Label Customer from the drop down</t>
  </si>
  <si>
    <t>If you answer "Private Label?" as Yes, this field will open up for population. Select Yes if this item will use existing Private Label UPC's. If not, select No</t>
  </si>
  <si>
    <t>If you answer "Build SKU Using Existing Private Label UPC’s?" with a Yes, this field will open up for population. You will need to provide the existing Private Label UPC's that will be used for this new item</t>
  </si>
  <si>
    <t>Should stay as yes unless there are special circumstances as to why you would not want the item to go out to Customers via Data Sync</t>
  </si>
  <si>
    <t xml:space="preserve">A Non Sellable FERT WIP is an item that needs to be setup in SAP as a Finished Good (FERT) Material Type as opposed to a Semi-Finished Good or (HALB) </t>
  </si>
  <si>
    <t>Select the appropriate Material Prefix, taking into consideration whether or not existing codes are being used (Private Label or Export) - Manufacturer ID used to determine UPCs.</t>
  </si>
  <si>
    <t>Material Prefix Number</t>
  </si>
  <si>
    <t xml:space="preserve">Auto-populated from selected Material Prefix Desription </t>
  </si>
  <si>
    <t>This is only needed when there are space constraints on the packaging. This will drive the way the UPC is assigned, and is also needed for Data Synchronization</t>
  </si>
  <si>
    <t xml:space="preserve">This field will open up for Repack/RCP Setup Types only.  It should be populated with the existing Package UPC from the parent or base material.  </t>
  </si>
  <si>
    <t xml:space="preserve">This field will open up for Repack/RCP Setup Types only.  It should be populated with the existing Package K Number from the parent or base material.  </t>
  </si>
  <si>
    <t>This field will open up for any setup type that has a pouch level in addition to the package level.  If the setup type is Repack/RCP, then you would use the existing Pouch UPC from the parent or base material.  Otherwise, you can use an existing Pouch UPC with a new Package UPC.</t>
  </si>
  <si>
    <t>This field will open up for any setup type that has a pouch level in addition to the package level.  If the setup type is Repack/RCP, then you would use the existing Pouch K Number from the parent or base material.  Otherwise, you can use an existing Pouch K Number with a new Package UPC.</t>
  </si>
  <si>
    <t xml:space="preserve">This field will open up for Repack/RCP Setup Types only. </t>
  </si>
  <si>
    <t>This will drive the way the UPC is assigned. Indicate if the existing Pouch or Package (or both) codes are compressed. Only used when there are space constraints on the packaging (e.g., small packages or pouches) / drives specific fields in the classification tab; Package Bar Code Type &amp; Pouch Bar Code Type fields</t>
  </si>
  <si>
    <t>If Sales Samples are needed, this will pre-populate the additional packaging for launch field with Sales Sample Package K number 999 variant (KXXXXXX999) this will ensure that Data Operations will assign the Sales Sample K Number.</t>
  </si>
  <si>
    <t>The Product Setup Type that is chosen will determine the UPC requirements for each level. The UPC Table displays these for review</t>
  </si>
  <si>
    <t>Enter any existing Knumbers that will be used</t>
  </si>
  <si>
    <t>Make a selection if your project has special packaging requirements, and Masterfiles will assign an additional Knumber for it. Can add as many lines as needed, using the "+ Add new item" field on the right</t>
  </si>
  <si>
    <t>ADD</t>
  </si>
  <si>
    <t>BRAND / HIERARCHY QUESTIONS</t>
  </si>
  <si>
    <t>These are the questions that Marketing has on their end around Brand and Type:
Is this a new Brand, requiring a separate Profit Center and separate P&amp;L from existing Brands?
Yes - If so, it requires a different or new Brand, which could take 3 weeks to create. - contact Finance
No - Will this be planned in TPM separately from existing products?
Yes - If so, it requires a different or new Type, which could take 3 weeks to create. - contact Data Operations
No - Is this a new Food Form?
Yes - It requires a different or new Type, which could take 3 weeks to create. - contact Data Operations
No - Is this a new Size?
Yes - It may require a different or new Type, which could take 3 weeks to create. - contact Commercial Enablement
No - Is this a new package price?
Yes - It may require new Type. - contact Commercial Enablement
No - Is this a new Sub Brand?
Yes - submit a KNA Request Product Value form in Evolve
No - OTG (On The Go) is usually in a different Brand hierarchy than core. Is this an OTG item?
Yes - Ensure selection of Brand name during Requestor Update task includes OTG (example: Caddies Cheez-It OTG)
No - Ensure selection of Brand name during Requestor Update task does not include OTG</t>
  </si>
  <si>
    <t>Normal, CBP or Urgent - this helps others understand the level of urgency associated with the item so they can prioritize accordingly</t>
  </si>
  <si>
    <t>BPS, Menasha/12 Associates (US VAS) or Canada VAS</t>
  </si>
  <si>
    <t>Select the individual responsible</t>
  </si>
  <si>
    <t>Yes or No. If you answer Yes, your setup will become a Forecast SKU setup, and will have a different workflow routing. It will not be considered a “final” SAP setup</t>
  </si>
  <si>
    <t>At LIM Initial Review, the only return that is available is to Requestor Initiate.  Returns can only go one level back.  If the form has made it past LIM Initial Review, and the set-up type is incorrect, the form will have to be started over.  Please be as descriptive as possible and provide the necessary reasons/details as to why you are returning the NIF.</t>
  </si>
  <si>
    <t xml:space="preserve">The LIM REPORT task does not affect the workflow of the NIF at all. It is only a reportthat gives the LIM an opportunity to download project information into an Excel spreadsheet. The task is created after the LIM Initial Review, and as the NIF progresses, more data will be available in this report. It is best to run the report after the Packaging group has entered their data </t>
  </si>
  <si>
    <t>Alphanumeric key uniquely identifying the material. This is considered an internal number (internal to Kellogg). Assigned by Masterfiles in SAP via the GPRS transaction. Assign the material number via GPRS, referencing the Material Prefix provided by the Requestor</t>
  </si>
  <si>
    <t>In SAP Material Master, Alternative Unit of Measure (UoM) fields are used to define additional units in which a material can be measured, besides its base unit of measure.</t>
  </si>
  <si>
    <t>Refer to the List Any Existing Knumbers That Will Be Used section, and either copy/paste those into the corresponding fields or assign new as appropriate</t>
  </si>
  <si>
    <t>These fields will show up on Get Codes and ZNIF Dashboard tasks / NIF Admin</t>
  </si>
  <si>
    <t>auto-populated from selected Material Type &amp; Sub Type</t>
  </si>
  <si>
    <t>Assign the appropriate UPC’s according to the Setup Type that has been chosen (see ‘Unique or Same UPC?’ Column), using the Prefix provided by the Requestor. Be sure to refer to the Product DeterminationQuestions, Existing Printed Material Codes, and Other UPC Requirementssections to assist. Also refer to the Check Digit Calculator document - UPC's are always 12 digits  (Symbology = UPC-A in the check digit calculator). GTIN's are always 14 digits (Symbology = ITF-14 in the check digit calculator). Drop the "Z" but keep the zeros when entering into the form.</t>
  </si>
  <si>
    <t>SAP UPC#</t>
  </si>
  <si>
    <t xml:space="preserve">This is the 12 digit UPC </t>
  </si>
  <si>
    <t>Assign the appropriate UPC’s according to the Setup Type that has been chosen (see ‘Unique or Same UPC?’ Column), using the Prefix provided by the Requestor. Be sure to refer to the Product Determination Questions, Existing Printed Material Codes, and Other UPC Requirementssections to assist. Also refer to the Check Digit Calculator document</t>
  </si>
  <si>
    <t>SAP GTIN</t>
  </si>
  <si>
    <t>This is the GTIN number with the leading "Z"</t>
  </si>
  <si>
    <t>Assign additional K#’s as requested.</t>
  </si>
  <si>
    <t>At MasterFiles Get Codes, the only return that is available is to Requestor Initiate.  Returns can only go one level back.  If the form has made it past LIM Initial Review, and the set-up type is incorrect, the form will have to be started over.  Please be as descriptive as possible and provide the necessary reasons/details as to why you are returning the NIF.</t>
  </si>
  <si>
    <t>The MFG Company is determined by Brand.</t>
  </si>
  <si>
    <t>General category of the item you are setting up, used to group together items with the same attributes.</t>
  </si>
  <si>
    <t>This is the Channel owner of the item being created.</t>
  </si>
  <si>
    <t>This is the Estimated Standard Cost of item being create.</t>
  </si>
  <si>
    <t>This is the base price for all retail customers - based on case quantity</t>
  </si>
  <si>
    <t>Manufacturer ID Used to determine UPCs</t>
  </si>
  <si>
    <t>A grouping of materials thatshare the same route and transportation requirements. Identifies how product will be transported and stored within the Kellanova network – Dry or Frozen</t>
  </si>
  <si>
    <t>The total case weight of the food only.  It does not include any packaging.</t>
  </si>
  <si>
    <t>This is the metric value for the stated net package weight typically indicated in Grams.</t>
  </si>
  <si>
    <t>This is the imperial value for the stated net package weight typically indicated in Ounces.</t>
  </si>
  <si>
    <t>Country that the item will be sold in.</t>
  </si>
  <si>
    <t>Manufacturing Location / Producing Plant(s) is the location where the food is processed.  The packing location should be completed if the SKU has been packaged at a location other than the processing location.  Repacked should be completed if item is repacked at another location to produce the SKU(fert) that is requested.  Please provide all line numbers even when processed and packaged in one location.  If an allergen is introduced, please indicate where in the next line item or populate NA.  If externally produced, choose Kellogg Owned if there is an SAP BOM, or Non Kellogg Owned Materials if there is not.</t>
  </si>
  <si>
    <t>Description of the manufacturing location.</t>
  </si>
  <si>
    <t xml:space="preserve">Inbound or Outbound refers to how items are extended to locations; primarily plants &amp; Comans/CoPackers. Inbound means the item is produced at a different location, but shipped into this location for use in another item. Outbound means that the item is produced at the location. Ex. a case of product that is produced at a plant (Outbound), but shipped into a Coman (Inbound) to create a Club Pack. </t>
  </si>
  <si>
    <t>Kellogg Owned/Not Owned is needed for Coman/CoPacker locations only.  Kellogg owned means we are using Kellogg owned materials to produce the item, and there will be a BOM created in SAP.  Not Owned means the Coman is using their own materials and there will be no BOM in SAP.</t>
  </si>
  <si>
    <t>Enter the flavor of the item you are requesting</t>
  </si>
  <si>
    <t>If CA, value will be validated by Nutrition Labeling. Identifies the form of the food (i.e. cereal, crackers, bars, etc.) Used in the product description.</t>
  </si>
  <si>
    <t>Additional way to further define the form of the food (i.e. bites, buds, cup, etc.) Used in the product description.</t>
  </si>
  <si>
    <t>The Material Segment refers to the portion of the product hierarchy that is defined at the material level, allowing you to categorize products for reporting, pricing, and analytics. Ex. Convenience Foods.</t>
  </si>
  <si>
    <t>The numerical representation of the Material Segment.</t>
  </si>
  <si>
    <t>The Category description is the way to describe what a product group or type is. Ex. Frozen Breakfast</t>
  </si>
  <si>
    <t>The numerical representation of the Category.</t>
  </si>
  <si>
    <t>The Sub-Category is the second level in the product hierarchy that further classifies a product within a broader category. Ex. Waffles.</t>
  </si>
  <si>
    <t>The numerical representation of the Sub-Category.</t>
  </si>
  <si>
    <t>The Brand is a level in the product hierarchy that identifies the specific brand name under which a product is marketed or sold.  EX Eggo, Nutri-Grain, Townhouse, Pringles.</t>
  </si>
  <si>
    <t>The numerical representation of the Brand.</t>
  </si>
  <si>
    <t>The Type is the most detailed level of the product hierarchy that specifies the exact kind or variation of a product. It helps distinguish between similar products within the same brand or category—such as flavor, size, or packaging. For example, under the brand "Pringles," the type might be "Sour Cream &amp; Onion – 5 oz can." This level supports precise reporting, pricing, and product management.</t>
  </si>
  <si>
    <t>The numerical representation of the Type.</t>
  </si>
  <si>
    <t>The Sub-Type is the most specific level of the product hierarchy that identifies detailed variations of a product, such as flavor, size, packaging style, or regional version. It allows us to track and manage products with fine granularity, which is useful for targeted pricing, promotions, and reporting.</t>
  </si>
  <si>
    <t>The numerical representation of the Sub-Type.</t>
  </si>
  <si>
    <t>Entry Options: Defaults, Estimated or Actuals.  Defaults will automatically load default values (X=1 Y=1 Length=1 Width=1 Height=1 Enter Gross Weights which are more than the Net Weights.  Estimated: User will enter estimate values and Packaging Tech will need to confirm.  Actuals: User will enter the actual values</t>
  </si>
  <si>
    <t>Denominator of the quotient that specifies the ratio of the alternative unit of measure to the base unit of measure.</t>
  </si>
  <si>
    <t>Represents the conversion factor.</t>
  </si>
  <si>
    <r>
      <t xml:space="preserve">Numerator of the quotient that specifies the ratio of the </t>
    </r>
    <r>
      <rPr>
        <b/>
        <sz val="10"/>
        <color theme="1"/>
        <rFont val="Arial Nova"/>
        <family val="2"/>
      </rPr>
      <t>alternative unit of measure</t>
    </r>
    <r>
      <rPr>
        <sz val="10"/>
        <color theme="1"/>
        <rFont val="Arial Nova"/>
        <family val="2"/>
      </rPr>
      <t xml:space="preserve"> to the </t>
    </r>
    <r>
      <rPr>
        <b/>
        <sz val="10"/>
        <color theme="1"/>
        <rFont val="Arial Nova"/>
        <family val="2"/>
      </rPr>
      <t>base unit of measure</t>
    </r>
    <r>
      <rPr>
        <sz val="10"/>
        <color theme="1"/>
        <rFont val="Arial Nova"/>
        <family val="2"/>
      </rPr>
      <t>.</t>
    </r>
  </si>
  <si>
    <t>Base Unit of Measure is the unit of measure in which stocks of the material are managed. The system converts all the quantities you enter in other units of measure (alternative units of measure) to the base unit of measure.</t>
  </si>
  <si>
    <t>Length is the length of the material or its packaging, measured in the unit of dimension.</t>
  </si>
  <si>
    <t>Width is the breadth of the material or its packaging, measured in the unit of dimension.</t>
  </si>
  <si>
    <t>Height is the height of the material or its packaging, measured in the unit of dimension.</t>
  </si>
  <si>
    <t>Unit in which the dimensions of length, breadth, and height of a material or its packaging are measured. Typically " or Inch.</t>
  </si>
  <si>
    <t>Space that the material occupies per unit of volume. The volume refers to the unit specified in the "Volume unit" field. The volume and its unit always refer to the base unit of measure.</t>
  </si>
  <si>
    <t>Unit referring to the volume of the material. Typcially FT3 or Cubic foot.</t>
  </si>
  <si>
    <r>
      <t>Gross weight expressed in the unit of weight specified by you in the </t>
    </r>
    <r>
      <rPr>
        <i/>
        <sz val="10"/>
        <color rgb="FF000000"/>
        <rFont val="Arial Nova"/>
        <family val="2"/>
      </rPr>
      <t>Unit of weight</t>
    </r>
    <r>
      <rPr>
        <sz val="10"/>
        <color rgb="FF000000"/>
        <rFont val="Arial Nova"/>
        <family val="2"/>
      </rPr>
      <t> field.</t>
    </r>
  </si>
  <si>
    <t>Unit referring to the gross weight or net weight of the material.</t>
  </si>
  <si>
    <t>The language key indicates: The language in which texts are displayed, the language in which you enter texts, and the language in which the system prints texts.</t>
  </si>
  <si>
    <t>Ensure that the material description that has been provided by the LIM is following ourstandard nomenclature: FCST + Brand + Flavor + Food Form + OZ + X + PKG per Case</t>
  </si>
  <si>
    <t>Must be 40 characters or less</t>
  </si>
  <si>
    <t>Pressing this button should generate at least a starting point for the Material Description</t>
  </si>
  <si>
    <t>This section is meant to provide the LIM with a way to provide input into the final material description. However, the final description must follow ourstandard nomenclature rules - Brand + Flavor + Food Form + Count + CT + Stated Net Weight + OZ or GM X the number of packages + (if applicable) one or more of the following: Customer Name + Royalty + Promo + Special Pack Type. EX: PT PMKN PIE TSTP 8CT 13.5OZX12.  Descriptions for Forecast SKU's must begin with "FCST." Max length = 40 characters.</t>
  </si>
  <si>
    <t>Max length = 40 characters</t>
  </si>
  <si>
    <t>Departure country (country from which the goods are sent) Identifies the country in which the delivery originates.</t>
  </si>
  <si>
    <t>Identifies the condition that the system uses to automatically determine country-specific taxes during pricing.</t>
  </si>
  <si>
    <t>The indicator with which the system determines output tax for the material when processing sales and distribution-specific documents.</t>
  </si>
  <si>
    <t>This button will execute the creation of the Forecast Material</t>
  </si>
  <si>
    <t>Manual button to execute Winshuttle Scripts in the background</t>
  </si>
  <si>
    <t>If yes, there will be a BOM requirement in the form, and the Material Group will be set to REPACK if Case or DISPMOD or SHIPPER if Display</t>
  </si>
  <si>
    <t>At LIM Launch, the only return that is available is to MasterFiles Get Codes.  Returns can only go one level back.  If the form has made it past LIM Initial Review, and the set-up type is incorrect, the form will have to be started over.  Please be as descriptive as possible and provide the necessary reasons/details as to why you are returning the NIF.</t>
  </si>
  <si>
    <t>Dashboard Legend: X = Task in Process, C = Task Complete/Approved, R = Task Returned</t>
  </si>
  <si>
    <t>This is the base price for all retail customers - based on case quantity.  This is the proposed initial Red K Price. It is not the final Red K Price.</t>
  </si>
  <si>
    <t>Select USD or CAD</t>
  </si>
  <si>
    <t>Business Unit auto-populated by Brand selection. All N&amp;I/Natural and Insurgent Brands = KASHI (RX, Pure, etc.)</t>
  </si>
  <si>
    <t>Auto populated based on other selections like Brand, Product Type, or Setup Type &amp; is used to identify the Commercial Category.</t>
  </si>
  <si>
    <t>For Canada, First Arrival Date = Thursday, First Ship &amp; Pricing Dates are Sunday Prior (First Arrival - 11 days) - Required Field for Canada SKU's only. Date which product arrives at the customer, which is one week past First Ship Date and a Thursday.</t>
  </si>
  <si>
    <t>Autopopulated based on 1st Arrival Date selected - Should be Thursday</t>
  </si>
  <si>
    <t>US - Must be Monday; CA - Must be Sunday.  Date when product is first shipped to customers.</t>
  </si>
  <si>
    <t>Autopopulated based on 1st Ship Date selected - Should be Monday (US) or Sunday (CA)</t>
  </si>
  <si>
    <t>Required for all FERTs, this field is used in the Inventory Write Off process. It identifies what type of FERT the record is.</t>
  </si>
  <si>
    <t>Always a Sunday (one day before First Ship). This is the date from which the ZBAS/Red K pricing condition is valid.</t>
  </si>
  <si>
    <t>This field is located in the Classification View in the Material Master, and is used by the AFH (Away From Home, formerly Specialty Channels) team. There are a variety of choices, but Retail items will always be set up as GROCERY, Club items will always use CLUB PACK, Single Serve items will always use SINGLE SERVE, Bulk items will always use BULK and AFH owned items will use all others - should default to Grocery if it is not an AFH SKU - exception might be for Displays, you may see it default as Shipper</t>
  </si>
  <si>
    <t>EDI references this to find which item is considered the Base Material. If items share package UPC’s, there can only be one that is considered the Base Material. The Planning Variant field is where this is indicated within SAP. Other items(children sku’s) that use the same package UPC as the Base (most often seen with Repack/RCP’s and Promo Codes), will use National, Customer or Limited. Therefore, if your setup type IS NOT Repack/RCP that is using an existing package UPC, your Planning Variantshould always be Base Material. If your 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t>
  </si>
  <si>
    <t>The SKU Type Indicates whether a SKU is Permanent or Limited - Indicates whether a SKU is permanent, limited, non-SKU or Internal/WIP. Provides product life cycle data for different reporting purposes, but heavily used within the SKU Rationalization process.</t>
  </si>
  <si>
    <t xml:space="preserve">If SKU TYPE is LIMITED then the Promo End Date field it will open up for population. This date is an estimation for when the promotional period will end.  It drives the Remarketing and Stop Ship Dates. </t>
  </si>
  <si>
    <t>If SKU TYPE is LIMITED then the Remarket Date will autocalculate based off the promo end date. It is the date used to trigger when items should be added to the remarketing workstream which is 14 days after the promo end date.</t>
  </si>
  <si>
    <t xml:space="preserve">If SKU TYPE is LIMITED, the Stop Ship/Target Discontinuance date will autocalculate based off the promo end date. It is the date when the item is targeted for discontinuance which is 42 days after the promo end date.  </t>
  </si>
  <si>
    <t>This is the KSC Field Category field that is found in the Classification View.  It is used by AFH (Away From Home) for reporting purposes.</t>
  </si>
  <si>
    <t xml:space="preserve">Yes or No. If the new item is going to replace an existing item, this field would be = Yes - Can be used if converting from an older item. If yes, the Conversion Case Code and Conversion Date fields open up for population </t>
  </si>
  <si>
    <t>This field will open up for population if the answer to "Is this a SKU to SKU Transition" question is Yes. Used in reporting.</t>
  </si>
  <si>
    <t>OTG (On the Go) items only. Used for reporting purposes</t>
  </si>
  <si>
    <t>Additional descriptor to define the type of single serve item. Used for reporting purposes only.</t>
  </si>
  <si>
    <t xml:space="preserve">The Pack Size Field in the Classification View is used in EDI Logic to determine how an item is handled on orders. There are three choices: Retail, Club Pack and Single Serve.  This field is autopoulated based on the set-up type. For more details, see the NIF Training Deck.  </t>
  </si>
  <si>
    <t>Total days of product life until expiration</t>
  </si>
  <si>
    <t xml:space="preserve">This field will be locked unless the item is a Retail RX Straight Case.  DTC set-ups are only valid for RX.  Answer Yes, if this is the first time that the item will be sold on the RXBAR.com website. The NIF will automatically kick off the KNA DTC Simple Bundle 1ct Create form at the end of the setup for the Retail Straight Case. </t>
  </si>
  <si>
    <t>Aligns with Product Hierarchy, but alternate verbiage than Market Segment in Product Hierarchy. Used for reporting only.</t>
  </si>
  <si>
    <t>Aligns with Product Hierarchy, but alternate verbiage than Category in Product Hierarchy. Used for reporting only.</t>
  </si>
  <si>
    <t>Aligns with Product Hierarchy, but alternate verbiage than Sub Category in Product Hierarchy. Used for reporting only.</t>
  </si>
  <si>
    <t xml:space="preserve">Listing of possible trade channels the product will be sold in. Hover on "TRADE CHANNEL HELP" for more information. More than one selection can be made.  Populate all that apply .  </t>
  </si>
  <si>
    <t xml:space="preserve">Answer Yes if associated with Promo or Limited Time Offer, such as Back to School.  </t>
  </si>
  <si>
    <t>This is only required if the item will have promotional packaging (ex. Back to School, Halloween or winter). Used in the product description.</t>
  </si>
  <si>
    <t>Abbreviated version of the Promotion or LTO which is used in the product description.</t>
  </si>
  <si>
    <t>Will open up for population if a Promotion is selected. Should correspond to the Business Unit.</t>
  </si>
  <si>
    <t>Required for all FERTs with Licensing Agreements.</t>
  </si>
  <si>
    <t>This field is no longer available.</t>
  </si>
  <si>
    <t>Name of licenser for licensed products. Used in the product description.</t>
  </si>
  <si>
    <t>Autopopulated abbreviation of the name of the royalty licenser</t>
  </si>
  <si>
    <t>Used to indicate &amp; define the number of the innter items in a package food count for Bars, Waffles, Pop Tarts and Rice Krispies Treats - It is used in the description and populated into the Food Count field in the Classification View</t>
  </si>
  <si>
    <t>Used to provide a way to describe a special type of packaging. It is used in the description if populated</t>
  </si>
  <si>
    <t>Provides a method to indicate in the material description, which Country the item will be sold in. Used for Pringles items only.</t>
  </si>
  <si>
    <t>This BOM is required if the item is built by VAS, because Masterfiles sets these up in SAP. Otherwise, used as informational only.  This is the material number for the component that will be used to create the new item (not the UPC).</t>
  </si>
  <si>
    <t>This is the description for the component.</t>
  </si>
  <si>
    <t>Populate this field with the material number of the component unless the component is a promo code.  If promo code, populate this field with the base material number of the promo code.</t>
  </si>
  <si>
    <t>This is the Package Gross Weight of the component.</t>
  </si>
  <si>
    <t>This is the Imperial or Metric unit of measurement for the Package Gross Weight in OZ or GM</t>
  </si>
  <si>
    <t>This is the Package Net Weight of the component.</t>
  </si>
  <si>
    <t>This is the Imperial or Metric unit of measurement for the Package Net Weight in OZ or GM</t>
  </si>
  <si>
    <t>The “Component Pkgs Per Case” refers to how many packages or pouches are in that specific component SKU.  </t>
  </si>
  <si>
    <t xml:space="preserve">The “Packages Per Mod Assortment” refers to how many packages or pouches are needed for the SKU that we are setting up in the NIF.  </t>
  </si>
  <si>
    <t xml:space="preserve">The “Number of Cases Required” field is auto-calculated (do not update value) and calculates each component’s case quantity needed for the total package or pouch count in the new SKU we are setting up.  For Club SKUs produced at VAS, the “Number of Cases Required” field should reflect one Club Pack, not the full UL of the Club Pack (see 3800028677 as an example).  </t>
  </si>
  <si>
    <t>Only required for Canada.  Indicate if the component is taxable; Yes or No</t>
  </si>
  <si>
    <t xml:space="preserve">This is the SAP Material Numberof each component in the Variety Pack that is being created. It is NOT the UPC. </t>
  </si>
  <si>
    <t>This is the number of packages or pouches per case of the component (always use the lowest level, but never tray).</t>
  </si>
  <si>
    <t xml:space="preserve">This information pertains to the new Variety Pack that is being set up in SAP. It is the number of packages or pouches of each component that are needed to create one Variety Pack (always use the lowest level - never tray). </t>
  </si>
  <si>
    <t>This information pertains to the new Variety Pack that is being set up in SAP.  Number of packages per case for the Variety Pack that is being set up</t>
  </si>
  <si>
    <t>This field is autocalculated and is the # of packages or pouches needed per variety pack / # of packages or pouches per case for the component x # of packages per case for the Variety Pack that is being set up</t>
  </si>
  <si>
    <t>Dependant on Form Type Display - Additional way to further define the type of Display that is being set up (i.e. Short Mod, Display Tray). Used in the product description.</t>
  </si>
  <si>
    <t xml:space="preserve">Material Freight Group Label </t>
  </si>
  <si>
    <t xml:space="preserve">Used to group materials so that they can be classified according to freight code and class. The freight code set is used to determine freight costs and for communication with service agents. (Mat Frgt Grp should be the same for all locations) </t>
  </si>
  <si>
    <t>Used to identify items that need to be stored in the warehouse away from heat.  This field does not drive transportation settings. If Yes, 05 (keep from heat) is populated. If RX, 03 (refrigerated at 38 degrees) is populated</t>
  </si>
  <si>
    <t>This information pulls from the Nutrition Labeling task. If the new product has a pouch, this represents the stated net weight of the pouch.</t>
  </si>
  <si>
    <t>This information pulls from the Nutrition Labeling task. WIll be displayed as OZ (US) or GM (CA)</t>
  </si>
  <si>
    <t>This information pulls from the Nutrition Labeling task. This represents the stated net weight of the package.</t>
  </si>
  <si>
    <t>The Country of Origin field should always reflect the country where the food itself is produced. Don’t be misled by where the final product is packaged. For example, if food is produced in Canada and then shipped to the U.S. for packaging into cracker boxes (ie Cheez-It), the Country of Origin is still Canada. Why? Because the origin is based on where the food was made—not where it was packaged.</t>
  </si>
  <si>
    <t>Comans and Copackers have additional details that must be provided (i.e. do the items use Kellogg owned materials or non-Kellogg owned materials?)</t>
  </si>
  <si>
    <t xml:space="preserve">At LIM Update, the only return that is available is to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t>
  </si>
  <si>
    <t>Category for the type of VAS item being set up, which has all the appropriate DC's listed within it.</t>
  </si>
  <si>
    <t>Requestor Update - Update</t>
  </si>
  <si>
    <t>A more granular determination of brand which allows for more detailed reporting.</t>
  </si>
  <si>
    <t xml:space="preserve">At DI Review, the only return that is available is to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t>
  </si>
  <si>
    <t>This is the Ship Life, or the Maximum/longest amount of time allowed for storing the material.</t>
  </si>
  <si>
    <t>This field identifies if the Finished Good will be reviewed using the Product Evaluation System (PES).</t>
  </si>
  <si>
    <t>This field identifies which list of defects the Finished Good should be compared against.</t>
  </si>
  <si>
    <t>This field indicates if the material can have multiple defects.</t>
  </si>
  <si>
    <t>This is an informational field only and indicates the total number of grams per individual unit.</t>
  </si>
  <si>
    <t>This field indiciates the weight measure.  Imperial (US) or Metric (CA).</t>
  </si>
  <si>
    <t>The metric stated net pouch weight is the declared weight that is printed on the pouch and is the weight of the food product alone, excluding the packaging (EX film or corrugate).</t>
  </si>
  <si>
    <t>The metric stated net pouch size unit of measure in Grams or Kilograms</t>
  </si>
  <si>
    <t>The metric stated net package weight is the declared weight that is printed on the package and is the weight of the food product alone, excluding the packaging (EX film or corrugate).</t>
  </si>
  <si>
    <t>The metric stated net package size unit of measure in Grams or Kilograms</t>
  </si>
  <si>
    <t>The Metric Package Net Weight for SAP is meant to provide an alternate more accurate weight to use for the net case weight calculation. Used for items like Pop Tarts and Bars, but not for items like Crackers or Cereal.</t>
  </si>
  <si>
    <t>The imperial stated net pouch weight is the declared weight that is printed on the pouch and is the weight of the food product alone, excluding the packaging (EX film or corrugate).</t>
  </si>
  <si>
    <t>The imperial stated net pouch size unit of measure in Ounces or Pounds.</t>
  </si>
  <si>
    <t>The imperial stated net package weight is the declared weight that is printed on the package and is the weight of the food product alone, excluding the packaging (EX film or corrugate).</t>
  </si>
  <si>
    <t>The imperial stated net package size unit of measure in Ounces or Pounds.</t>
  </si>
  <si>
    <t>The Package Net Weight for SAP is meant to provide an alternate more accurate weight to use for the net case weight calculation. Used for items like Pop Tarts and Bars, but not for items like Crackers or Cereal.</t>
  </si>
  <si>
    <t>The stated net pouch weight in Grams</t>
  </si>
  <si>
    <t>The stated net package weight in Grams</t>
  </si>
  <si>
    <t>The stated net pouch weight in Ounces</t>
  </si>
  <si>
    <t>The stated net package weight in Ounces</t>
  </si>
  <si>
    <t>INDIVIDUAL UNIT SIZE = auto-formatted as "160.00" or "160.25" the individual unit size is the stated net weight, for bulk it would be printed on the brown corrugate case.</t>
  </si>
  <si>
    <t>INDIVIDUAL UNIT SIZE UOM = OZ or LB</t>
  </si>
  <si>
    <t>INNER PACK QUANTITY = whole number.  the inner pack qty would be how many are in the case such as how many patties or individually wrapped crackers</t>
  </si>
  <si>
    <t>This section will only show for Canada forms. Please ensure the food form is populated correctly. This is part of the “Safe Food for Canadians” regulatory requirement. If incorrect, return to the Requestor and ask them to populate the field with the correct value</t>
  </si>
  <si>
    <r>
      <t xml:space="preserve">The net weight statement on a </t>
    </r>
    <r>
      <rPr>
        <b/>
        <sz val="10"/>
        <color rgb="FF000000"/>
        <rFont val="Arial Nova"/>
        <family val="2"/>
      </rPr>
      <t>pouch</t>
    </r>
    <r>
      <rPr>
        <sz val="10"/>
        <color rgb="FF000000"/>
        <rFont val="Arial Nova"/>
        <family val="2"/>
      </rPr>
      <t xml:space="preserve">, the </t>
    </r>
    <r>
      <rPr>
        <b/>
        <sz val="10"/>
        <color rgb="FF000000"/>
        <rFont val="Arial Nova"/>
        <family val="2"/>
      </rPr>
      <t>net weight statement</t>
    </r>
    <r>
      <rPr>
        <sz val="10"/>
        <color rgb="FF000000"/>
        <rFont val="Arial Nova"/>
        <family val="2"/>
      </rPr>
      <t xml:space="preserve"> is typically printed on the </t>
    </r>
    <r>
      <rPr>
        <b/>
        <sz val="10"/>
        <color rgb="FF000000"/>
        <rFont val="Arial Nova"/>
        <family val="2"/>
      </rPr>
      <t>front panel</t>
    </r>
    <r>
      <rPr>
        <sz val="10"/>
        <color rgb="FF000000"/>
        <rFont val="Arial Nova"/>
        <family val="2"/>
      </rPr>
      <t xml:space="preserve"> (also called the principal display panel), and it indicates the weight of the contents inside the pouch—not including the pouch itself. EX Net Wt. 7 oz (198 g) – for a single-serve ready-to-eat meal</t>
    </r>
  </si>
  <si>
    <r>
      <t xml:space="preserve">The net weight statement on packaging refers to the </t>
    </r>
    <r>
      <rPr>
        <b/>
        <sz val="10"/>
        <color rgb="FF000000"/>
        <rFont val="Arial Nova"/>
        <family val="2"/>
      </rPr>
      <t>total weight of the product itself</t>
    </r>
    <r>
      <rPr>
        <sz val="10"/>
        <color rgb="FF000000"/>
        <rFont val="Arial Nova"/>
        <family val="2"/>
      </rPr>
      <t xml:space="preserve">, excluding the weight of any packaging materials like boxes, wrappers, or containers. It’s typically displayed on the front of consumer goods and is required by regulatory agencies such as the FDA (Food and Drug Administration) or FTC (Federal Trade Commission) in the U.S. EX Net Wt. 12 oz (340 g) </t>
    </r>
  </si>
  <si>
    <t>The net weight statement on a case refers to the total weight of the product contents inside the case, excluding the weight of the outer packaging (the case itself). This is especially relevant in bulk packaging or multi-pack shipments used in supply chain, retail, and distribution. EX Net Wt. 96 oz (6 lb) [2.72 kg]</t>
  </si>
  <si>
    <t xml:space="preserve">At Nutrition Labeling, the only return that is available is to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t>
  </si>
  <si>
    <t>This field is the Classification of what type of can, i.e. snack stack, mega, etc. Used for PIM for website syndication.</t>
  </si>
  <si>
    <t>This field is the maximum number of unit loads that can be stacked in the warehouse without anticipated damage.</t>
  </si>
  <si>
    <t>This categorizes package into one of 16 different package groups.</t>
  </si>
  <si>
    <t>This dictates which shipping platform is used within Kellogg network (i.e. pallet, slipsheet, etc.)</t>
  </si>
  <si>
    <t>This field is populated for Pringles and it is the Can size.</t>
  </si>
  <si>
    <t>Appropriate pressure to be applied if pallets are clamped using clamp trucks in plants and DCs.</t>
  </si>
  <si>
    <t>This is populated as Y (Yes) or N (No).  It is intended to provide packaging with some guidelines on how to populate the Alternate Units of Measure table. Yes means a value should be populated and No means it is not needed.</t>
  </si>
  <si>
    <t>This is populated as None, Same, or Unique.  It is intended to provide packaging with some guidelines on how to populate the Alternate Units of Measure table. None means dimensions &amp; gross weights are not required.  Same means the values entered should match.  Unique means the values are unique from each other.</t>
  </si>
  <si>
    <t>This is populated as Pounds, Ounces or None.  It is intended to provide packaging with some guidelines on how to populate the Alternate Units of Measure table. It is the unit of measure for the gross weight.</t>
  </si>
  <si>
    <t xml:space="preserve">This is the K number for additional packaging components above and beyond the K #'s that were provided Data Operations. </t>
  </si>
  <si>
    <t>This is the description of the component K number.</t>
  </si>
  <si>
    <t>Case, Hutch or Unit Load.  This is the unit of measure for the component K number.</t>
  </si>
  <si>
    <t>Number of component K numbers needed per unit of measure previously identified.</t>
  </si>
  <si>
    <t>A dieline in packaging refers to a template or blueprint used to design the layout of a package before it's printed and cut. It shows the cut lines, fold lines, bleed areas, and safe zones for artwork placement.</t>
  </si>
  <si>
    <t>The component K number vendor/supplier.</t>
  </si>
  <si>
    <t>Indicates whether the component is print or plain. On displays for example; fillers are not printed, but trays and shrouds are printed with graphics.</t>
  </si>
  <si>
    <t>Populate with the packaging components. For Repacks and Displays, populate the Add to BOM? column with Yes or No.</t>
  </si>
  <si>
    <t>This is the Base Unit of Measure Net Weight for items that do not route through Nutrition Labeling. EX Displays (Mods, Shippers).</t>
  </si>
  <si>
    <t xml:space="preserve">At Packaging Tech, if VAS; the retun goes to Requestor Update, if not VAS the return goes to Nutrition Labeling.  Returns can only go one level back.  If the form has made it past LIM Initial Review, and the set-up type is incorrect, the form will have to be started over.  Please be as descriptive as possible and provide the necessary reasons/details as to why you are returning the NIF.  </t>
  </si>
  <si>
    <t>Material Group 5 Canada only used to further classify the item in SAP. It helps to drive tax decisions on customers’ invoices.</t>
  </si>
  <si>
    <t>There is no return process for this task.</t>
  </si>
  <si>
    <t xml:space="preserve">At Data Integrity Hierarchy, there are two return options; one to Category Finance and the other to Packaging.  Returns can only go one level back.  If the form has made it past LIM Initial Review, and the set-up type is incorrect, the form will have to be started over.  Please be as descriptive as possible and provide the necessary reasons/details as to why you are returning the NIF.  </t>
  </si>
  <si>
    <t xml:space="preserve">At LIM Dashboard, there are five return options; Requestor Update, Nutrition Labeling, Packaging, Data Integrity &amp; Category Finance.  Returns can only go one level back.  If the form has made it past LIM Initial Review, and the set-up type is incorrect, the form will have to be started over.  Please be as descriptive as possible and provide the necessary reasons/details as to why you are returning the NIF.  </t>
  </si>
  <si>
    <t>The Z1 description is used by the Away From Home team. It has its own standards around how the descriptions must be built.  Z1 Descriptions: Capitalize the first letter of each word in the Z1 descriptions
Brand + Flavor + Pack Type Use + Case Count + Size + Display Vehicle. EX:  Rkt Squares Orig 6 Ct 12.4Oz.</t>
  </si>
  <si>
    <t xml:space="preserve">The ZF Description is the description that goes into Stay In Front for the Retail Sales Reps. It is automatically populated into the NIF when the brand and flavor are populated. </t>
  </si>
  <si>
    <t>It is autopopulated as DC unless its Direct To Consumer, then it is populated as D2C.</t>
  </si>
  <si>
    <t>This field will populate with the material number of the new item that is being created.</t>
  </si>
  <si>
    <t>This field will populate with all the appropriate sales orgs for the new item that is being created.</t>
  </si>
  <si>
    <t>This field will populate with the "01" distribution channel.</t>
  </si>
  <si>
    <t>Refer to the Tax Data section.  Update the tax code field with the value shown in the Tax Classification field.  Values are 0 - Exempt or 1 - Taxable.  US is always 0 - Exempt. Canada will either be 0 - Exempt or 1 - Taxable.</t>
  </si>
  <si>
    <t>This field will populate with the appropriate Tax Code.</t>
  </si>
  <si>
    <t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t>
  </si>
  <si>
    <t>Create the new item (this will create all views in 0300 or 0400, except the Classification View); Return the form to a team member for corrections; Save the form to update later; Cancel (close the form)</t>
  </si>
  <si>
    <t>The ZMMU_Plant Query is not in use.</t>
  </si>
  <si>
    <t>The Plant Extension Selection is not in use.</t>
  </si>
  <si>
    <t xml:space="preserve">This is the location that you will create the BOM in. Type in the Original BOM Plant and press enter. This is the location that you typically create the BOM in for the item type you are setting up (i.e.Canada vs Pringles vs Frozen vs Dry/all others). Check in the VAS BOM Plant Assignment (CS07) section to ensure the corresponding locations are listed.  </t>
  </si>
  <si>
    <t>This is the VAS BOM Component.</t>
  </si>
  <si>
    <t>This is the VAS BOM Component quantity.</t>
  </si>
  <si>
    <t>Check the Assign Plant boxes, to create the BOM, if you run into an error you can uncheck the assign plant box.</t>
  </si>
  <si>
    <t>This is the material number of the item that is being created.</t>
  </si>
  <si>
    <t xml:space="preserve">This is the location listed in the Original BOM Plant field.  </t>
  </si>
  <si>
    <t xml:space="preserve">These are the additional VAS locations based on the item type you are setting up (i.e.Canada vs Pringles vs Frozen vs Dry/all others). </t>
  </si>
  <si>
    <t>This is no longer a question on the NIF</t>
  </si>
  <si>
    <t xml:space="preserve">If the item that you are setting up is DTC, then this field would be populated.  </t>
  </si>
  <si>
    <t>checkboxes</t>
  </si>
  <si>
    <t>Each one must be completed MANUALLY at this time, and then checked off in the form before completing</t>
  </si>
  <si>
    <t>Updates Complete - click here once you have finished the setup and reviewed the item in SAP, Save For Later - save the form and exit, Cancel - exit the form.</t>
  </si>
  <si>
    <t>Choose US or CANADA</t>
  </si>
  <si>
    <t>Enter the number which is in the upper section of the form</t>
  </si>
  <si>
    <t>This is a completely different form and is the KNA DTC Simple Bundle 1CT Create KNV</t>
  </si>
  <si>
    <t>This pulls the retail material data from SAP (i.e. Descriptions, Plant, Storage Location, Sales Organization, Distribution Channel, Hierarchy, and Brand)</t>
  </si>
  <si>
    <t>This pulls retail material alt uom details from SAP. This also reveals the SAVE AND ROUTE button below Sales Org Extensions section</t>
  </si>
  <si>
    <t>Select this button to send request through workflow</t>
  </si>
  <si>
    <t>Add any files which are helpful</t>
  </si>
  <si>
    <t>Click YES after SAVE AND ROUTE, which will show section: DTC Launch Buttons.</t>
  </si>
  <si>
    <t>Click when DTC form has been launched</t>
  </si>
  <si>
    <t>This button allows the form to be cancelled and available to launch later.</t>
  </si>
  <si>
    <r>
      <t>Definition -</t>
    </r>
    <r>
      <rPr>
        <b/>
        <sz val="10"/>
        <color rgb="FFFF00FF"/>
        <rFont val="Arial Nova"/>
        <family val="2"/>
      </rPr>
      <t xml:space="preserve"> copied from Tamaras deck</t>
    </r>
  </si>
  <si>
    <t>Field Name</t>
  </si>
  <si>
    <t>Field Number</t>
  </si>
  <si>
    <t>Field Type</t>
  </si>
  <si>
    <t>Field Section</t>
  </si>
  <si>
    <t>Responsible Party</t>
  </si>
  <si>
    <t>General Definition</t>
  </si>
  <si>
    <t>Business Rule</t>
  </si>
  <si>
    <t>Term</t>
  </si>
  <si>
    <t>0200 BOM</t>
  </si>
  <si>
    <t xml:space="preserve"> This BOM setup is required for US Variety Packs where the inner items have UPC’s on them. The Data Synchronization process requires that the inner items in the package be sent to customers. This however does not apply to Canada at this time.</t>
  </si>
  <si>
    <t>AB</t>
  </si>
  <si>
    <t>All Bran</t>
  </si>
  <si>
    <t>AFH, or Away From Home</t>
  </si>
  <si>
    <t>Away From Home represents businesses where Kellanova sells food that doesn't sell for at-home consumption. (EX: Restaurants, Convenience stores, Vending machines).  Sales team formerly referred to as "Specialty".</t>
  </si>
  <si>
    <t>ASTN</t>
  </si>
  <si>
    <t>Austin</t>
  </si>
  <si>
    <t>Base Material, Base SKU, or Base item</t>
  </si>
  <si>
    <t xml:space="preserve"> “Base” is used to refer to an item that is considered the Base Material. It is typically the everyday item that most customers order. The components inside the Base item are used for “child” items, which are repacked items or reduced case pack items.</t>
  </si>
  <si>
    <t>BNKD</t>
  </si>
  <si>
    <t>Bear Naked</t>
  </si>
  <si>
    <t>BOM</t>
  </si>
  <si>
    <t>Bill of Material</t>
  </si>
  <si>
    <t>BPS</t>
  </si>
  <si>
    <t>Business Process &amp; Systems (Packaging)</t>
  </si>
  <si>
    <t>If this item is On The Go (OTG)/Convenience Snack Packs (CSP), then ensure selection of Brand name during Requestor Update task includes OTG (EX: Caddies Cheez-It OTG).</t>
  </si>
  <si>
    <t>CA</t>
  </si>
  <si>
    <t>Canada</t>
  </si>
  <si>
    <t>CARMEL</t>
  </si>
  <si>
    <t>Caramel</t>
  </si>
  <si>
    <t>CS</t>
  </si>
  <si>
    <t>CAT Status</t>
  </si>
  <si>
    <t xml:space="preserve">Canada Tax / Canada Finance Tax - Status whether this team is (--) Not Assigned;  (X) In Process;  (C) Complete/Approved;  (R) Returned </t>
  </si>
  <si>
    <t>CBP</t>
  </si>
  <si>
    <t>Customer Business Plans</t>
  </si>
  <si>
    <t>CF Status</t>
  </si>
  <si>
    <t xml:space="preserve">Category Finance - Status whether this team is (--) Not Assigned;  (X) In Process;  (C) Complete/Approved;  (R) Returned </t>
  </si>
  <si>
    <t>Child</t>
  </si>
  <si>
    <t xml:space="preserve"> This term is used to refer to an item that is dependent on a Base item for it’s components. An example of a child item is a Repacked item, or a Reduced Case Pack item. They get a new Case UPC assigned, but use the existing Package UPC of the Base (Parent) item.</t>
  </si>
  <si>
    <t>CHZIT</t>
  </si>
  <si>
    <t>Cheez-IT</t>
  </si>
  <si>
    <t>Coman</t>
  </si>
  <si>
    <t>A Coman or Co-manufacturer produces products based on the brand owner's specifications, which can include sourcing raw materials, processing, manufacturing and sometimes packaging. Typically has specialized equipment or processes for making the product.</t>
  </si>
  <si>
    <t>Copacker</t>
  </si>
  <si>
    <t>A Co-packer is considered a contract packager. They package products that are already manufactured.</t>
  </si>
  <si>
    <t>CRML</t>
  </si>
  <si>
    <t>Data Synchronization or GDSN (Global Data Synchronization Network)</t>
  </si>
  <si>
    <t xml:space="preserve"> GDSN is a registry that enables trading partners to globally share trusted product data. It supports accurate, real-time data sharing and trade item updates among subscribed trading partners.</t>
  </si>
  <si>
    <t>DB Status</t>
  </si>
  <si>
    <t xml:space="preserve">Dashboard (will be X until LIM submits to Masterfiles for setup) - Status whether this team is (--) Not Assigned;  (X) In Process;  (C) Complete/Approved;  (R) Returned </t>
  </si>
  <si>
    <t>DC</t>
  </si>
  <si>
    <t>Digital Concierge</t>
  </si>
  <si>
    <t>DI</t>
  </si>
  <si>
    <t>DIH Status</t>
  </si>
  <si>
    <t xml:space="preserve">Data Integrity Hierarchy - Status whether this team is (--) Not Assigned;  (X) In Process;  (C) Complete/Approved;  (R) Returned </t>
  </si>
  <si>
    <t>DIR Status</t>
  </si>
  <si>
    <t xml:space="preserve">Data Integrity Review - Status whether this team is (--) Not Assigned;  (X) In Process;  (C) Complete/Approved;  (R) Returned </t>
  </si>
  <si>
    <t xml:space="preserve"> Term used to describe a type of setup that contains a full unit load of product. Variations of Displays are Mod, Half Mod and Quarter Mod (all three are built using trays), Rainbow Mod (built using full cases of product) and Shippers (built using printed corrugate).</t>
  </si>
  <si>
    <t>Display Variant</t>
  </si>
  <si>
    <t xml:space="preserve"> These are promotional variants of Base, Every Day Displays (Mods, Half Mods, Shippers, etc). They share UPC’s with the Parent or Base item. They do not have pricing loaded, but instead, have a pricing reference which is the Parent or Base item. Customers continue to order the Parent or Base item, and substitution tables are entered into SAP to move it to the Promo Code. This setup type has its own form, separate from the New Item Form Workflow. See also, Promo Code.</t>
  </si>
  <si>
    <t>Product sold Direct to Consumer (ie: John Doe), not through the standard Customer base (ie: Walmart, Target, Sysco)</t>
  </si>
  <si>
    <t>Dump Bin</t>
  </si>
  <si>
    <t xml:space="preserve"> Used to describe a variation of a Display setup that has loose items inside (ex. cereal cups) that the customer can pick. Usually set up as a Mod, Half Mod or Quarter Mod (see 3800012603).</t>
  </si>
  <si>
    <t>Ecomm</t>
  </si>
  <si>
    <t>Product sold through an Ecommerce platform (ie: Amazon)</t>
  </si>
  <si>
    <t>EDI (Electronic Data Interchange)</t>
  </si>
  <si>
    <t xml:space="preserve"> The computer-to-computer exchange of business documents between trading companies, using a public standard format like UCS or X12.</t>
  </si>
  <si>
    <t>EF Status</t>
  </si>
  <si>
    <t xml:space="preserve">EPM Finance - Status whether this team is (--) Not Assigned;  (X) In Process;  (C) Complete/Approved;  (R) Returned </t>
  </si>
  <si>
    <t>EG</t>
  </si>
  <si>
    <t>Eggo</t>
  </si>
  <si>
    <t>EXP or EXPT</t>
  </si>
  <si>
    <t>Export refers to products that are produced in the US, but sold in another country.</t>
  </si>
  <si>
    <t>FCST</t>
  </si>
  <si>
    <t>Forecast</t>
  </si>
  <si>
    <t>FERT</t>
  </si>
  <si>
    <t xml:space="preserve"> Finished Goods Material type. This includes all setup types that are sold, which would all fall under the Case and Display setup types.</t>
  </si>
  <si>
    <t>FLAV</t>
  </si>
  <si>
    <t>Gram</t>
  </si>
  <si>
    <t>GM</t>
  </si>
  <si>
    <t>GS1</t>
  </si>
  <si>
    <t>GS1 stands for Global Standards 1. It is a not-for-profit, international organization that develops and maintains standards for barcodes and other data standards, helping businesses identify, capture, and share trusted data.</t>
  </si>
  <si>
    <t>GTIN</t>
  </si>
  <si>
    <t>Global Trade Item Number, which is always 14 digits.</t>
  </si>
  <si>
    <t>HALB</t>
  </si>
  <si>
    <t xml:space="preserve"> Semi Finished Goods Material type. These are the WIP Cases and WIP Totes/Kones.</t>
  </si>
  <si>
    <t>HUL</t>
  </si>
  <si>
    <t>Half Unit Load. Refers to the base unit of measure for half mod displays.</t>
  </si>
  <si>
    <t>K #, K number, or K#</t>
  </si>
  <si>
    <t>Knumbers (corrugate, packaging) or VERP material type</t>
  </si>
  <si>
    <t>K1</t>
  </si>
  <si>
    <t>Retail sales district or business unit. Retail grocery stores encompassing any brick and mortar grocers focused on consuming food "at home".</t>
  </si>
  <si>
    <t>KLA</t>
  </si>
  <si>
    <t>Kellanova Latin America</t>
  </si>
  <si>
    <t>KNA</t>
  </si>
  <si>
    <t>Kellanova North America</t>
  </si>
  <si>
    <t>KOM</t>
  </si>
  <si>
    <t>Kellogg Owned Materials refers to the Comanufacturing process. It is a way to indicate that the location will use Kellanova owned materials to produce the item, and there will be a BOM created in SAP. This drives the way that the item is extended by Data Operations using the ZMMU table, ensuring that the correct values are applied.</t>
  </si>
  <si>
    <t>KSC</t>
  </si>
  <si>
    <t>Kellanova Specialty Channels (Away From Home (AFH))</t>
  </si>
  <si>
    <t>Procedure to streamline and automate the display processes that fall outside of the PWR/PDR workflow.  Graphic/structure (configuration) must be based off an existing display.</t>
  </si>
  <si>
    <t>LB</t>
  </si>
  <si>
    <t>Pound</t>
  </si>
  <si>
    <t>Logistics Innovation Manager / Supply Chain Innovation Project Manager</t>
  </si>
  <si>
    <t>LM Status</t>
  </si>
  <si>
    <t xml:space="preserve">LIM Update - Status whether this team is (--) Not Assigned;  (X) In Process;  (C) Complete/Approved;  (R) Returned </t>
  </si>
  <si>
    <t>Magento</t>
  </si>
  <si>
    <t>Magento is an ecommerce platform built on open source technology which provides online merchants with a flexible shopping cart system, as well as control over the look, content and functionality of their online store. This is the platform that Kellogg is using for DTC or Direct to Consumer sales</t>
  </si>
  <si>
    <t>Manufacturer identification used to determine UPC prefix</t>
  </si>
  <si>
    <t>MF</t>
  </si>
  <si>
    <t>Masterfiles / Data Operations</t>
  </si>
  <si>
    <t>MF Status</t>
  </si>
  <si>
    <t xml:space="preserve">Masterfiles Setup - Status whether this team is (--) Not Assigned;  (X) In Process;  (C) Complete/Approved;  (R) Returned </t>
  </si>
  <si>
    <t>MSF</t>
  </si>
  <si>
    <t>Morning Star Farms</t>
  </si>
  <si>
    <r>
      <rPr>
        <sz val="11"/>
        <color rgb="FF000000"/>
        <rFont val="Aptos"/>
        <family val="2"/>
      </rPr>
      <t>If</t>
    </r>
    <r>
      <rPr>
        <sz val="11"/>
        <color rgb="FF000000"/>
        <rFont val="Calibri"/>
        <family val="2"/>
      </rPr>
      <t xml:space="preserve"> this is a new </t>
    </r>
    <r>
      <rPr>
        <b/>
        <sz val="11"/>
        <color rgb="FF000000"/>
        <rFont val="Calibri"/>
        <family val="2"/>
      </rPr>
      <t>Brand</t>
    </r>
    <r>
      <rPr>
        <sz val="11"/>
        <color rgb="FF000000"/>
        <rFont val="Calibri"/>
        <family val="2"/>
      </rPr>
      <t xml:space="preserve"> requiring a separate Profit Center and separate P&amp;L from existing Brands, then it requires a new </t>
    </r>
    <r>
      <rPr>
        <b/>
        <sz val="11"/>
        <color rgb="FF000000"/>
        <rFont val="Calibri"/>
        <family val="2"/>
      </rPr>
      <t>Brand</t>
    </r>
    <r>
      <rPr>
        <sz val="11"/>
        <color rgb="FF000000"/>
        <rFont val="Calibri"/>
        <family val="2"/>
      </rPr>
      <t>, which could take 3 weeks to create. Contact Juliana Hurtado and Christa Clapper.</t>
    </r>
  </si>
  <si>
    <r>
      <rPr>
        <sz val="11"/>
        <color rgb="FF000000"/>
        <rFont val="Calibri"/>
        <family val="2"/>
      </rPr>
      <t xml:space="preserve">If this item is a new </t>
    </r>
    <r>
      <rPr>
        <b/>
        <sz val="11"/>
        <color rgb="FF000000"/>
        <rFont val="Calibri"/>
        <family val="2"/>
      </rPr>
      <t xml:space="preserve">Food Form </t>
    </r>
    <r>
      <rPr>
        <sz val="11"/>
        <color rgb="FF000000"/>
        <rFont val="Calibri"/>
        <family val="2"/>
      </rPr>
      <t>(ie: bites instead of bars, or new texture such as pops, snaps, or crunch)</t>
    </r>
    <r>
      <rPr>
        <b/>
        <sz val="11"/>
        <color rgb="FF000000"/>
        <rFont val="Calibri"/>
        <family val="2"/>
      </rPr>
      <t xml:space="preserve"> </t>
    </r>
    <r>
      <rPr>
        <sz val="11"/>
        <color rgb="FF000000"/>
        <rFont val="Calibri"/>
        <family val="2"/>
      </rPr>
      <t>that will fall under an existing Brand</t>
    </r>
    <r>
      <rPr>
        <b/>
        <sz val="11"/>
        <color rgb="FF000000"/>
        <rFont val="Calibri"/>
        <family val="2"/>
      </rPr>
      <t xml:space="preserve">, </t>
    </r>
    <r>
      <rPr>
        <sz val="11"/>
        <color rgb="FF000000"/>
        <rFont val="Calibri"/>
        <family val="2"/>
      </rPr>
      <t xml:space="preserve">then it </t>
    </r>
    <r>
      <rPr>
        <u/>
        <sz val="11"/>
        <color rgb="FF000000"/>
        <rFont val="Calibri"/>
        <family val="2"/>
      </rPr>
      <t>may</t>
    </r>
    <r>
      <rPr>
        <sz val="11"/>
        <color rgb="FF000000"/>
        <rFont val="Calibri"/>
        <family val="2"/>
      </rPr>
      <t xml:space="preserve"> require a new </t>
    </r>
    <r>
      <rPr>
        <b/>
        <sz val="11"/>
        <color rgb="FF000000"/>
        <rFont val="Calibri"/>
        <family val="2"/>
      </rPr>
      <t>Type</t>
    </r>
    <r>
      <rPr>
        <sz val="11"/>
        <color rgb="FF000000"/>
        <rFont val="Calibri"/>
        <family val="2"/>
      </rPr>
      <t>, which could take 3 weeks to create. Contact Supply Chain Data Governance at SCDataGov@kellanova.com.</t>
    </r>
  </si>
  <si>
    <r>
      <rPr>
        <sz val="11"/>
        <color rgb="FF000000"/>
        <rFont val="Calibri"/>
        <family val="2"/>
      </rPr>
      <t xml:space="preserve">If this item is a new </t>
    </r>
    <r>
      <rPr>
        <b/>
        <sz val="11"/>
        <color rgb="FF000000"/>
        <rFont val="Calibri"/>
        <family val="2"/>
      </rPr>
      <t>Package Price</t>
    </r>
    <r>
      <rPr>
        <sz val="11"/>
        <color rgb="FF000000"/>
        <rFont val="Calibri"/>
        <family val="2"/>
      </rPr>
      <t xml:space="preserve">, then it </t>
    </r>
    <r>
      <rPr>
        <u/>
        <sz val="11"/>
        <color rgb="FF000000"/>
        <rFont val="Calibri"/>
        <family val="2"/>
      </rPr>
      <t>may</t>
    </r>
    <r>
      <rPr>
        <sz val="11"/>
        <color rgb="FF000000"/>
        <rFont val="Calibri"/>
        <family val="2"/>
      </rPr>
      <t xml:space="preserve"> require a new </t>
    </r>
    <r>
      <rPr>
        <b/>
        <sz val="11"/>
        <color rgb="FF000000"/>
        <rFont val="Calibri"/>
        <family val="2"/>
      </rPr>
      <t>Type</t>
    </r>
    <r>
      <rPr>
        <sz val="11"/>
        <color rgb="FF000000"/>
        <rFont val="Calibri"/>
        <family val="2"/>
      </rPr>
      <t>, which could take 3 weeks to create. Contact Supply Chain Data Governance at SCDataGov@kellanova.com.</t>
    </r>
  </si>
  <si>
    <r>
      <rPr>
        <sz val="11"/>
        <color rgb="FF000000"/>
        <rFont val="Calibri"/>
        <family val="2"/>
      </rPr>
      <t xml:space="preserve">If this item will be </t>
    </r>
    <r>
      <rPr>
        <b/>
        <sz val="11"/>
        <color rgb="FF000000"/>
        <rFont val="Calibri"/>
        <family val="2"/>
      </rPr>
      <t>planned </t>
    </r>
    <r>
      <rPr>
        <sz val="11"/>
        <color rgb="FF000000"/>
        <rFont val="Calibri"/>
        <family val="2"/>
      </rPr>
      <t xml:space="preserve">in TPM (or forecasted) separately from existing products, then it requires a new </t>
    </r>
    <r>
      <rPr>
        <b/>
        <sz val="11"/>
        <color rgb="FF000000"/>
        <rFont val="Calibri"/>
        <family val="2"/>
      </rPr>
      <t>Type</t>
    </r>
    <r>
      <rPr>
        <sz val="11"/>
        <color rgb="FF000000"/>
        <rFont val="Calibri"/>
        <family val="2"/>
      </rPr>
      <t>, which could take 3 weeks to create. Contact Supply Chain Data Governance at SCDataGov@kellanova.com.</t>
    </r>
  </si>
  <si>
    <r>
      <rPr>
        <sz val="11"/>
        <color rgb="FF000000"/>
        <rFont val="Calibri"/>
        <family val="2"/>
      </rPr>
      <t xml:space="preserve">If this item is a new </t>
    </r>
    <r>
      <rPr>
        <b/>
        <sz val="11"/>
        <color rgb="FF000000"/>
        <rFont val="Calibri"/>
        <family val="2"/>
      </rPr>
      <t>Size</t>
    </r>
    <r>
      <rPr>
        <sz val="11"/>
        <color rgb="FF000000"/>
        <rFont val="Calibri"/>
        <family val="2"/>
      </rPr>
      <t xml:space="preserve">, then it </t>
    </r>
    <r>
      <rPr>
        <u/>
        <sz val="11"/>
        <color rgb="FF000000"/>
        <rFont val="Calibri"/>
        <family val="2"/>
      </rPr>
      <t>may</t>
    </r>
    <r>
      <rPr>
        <sz val="11"/>
        <color rgb="FF000000"/>
        <rFont val="Calibri"/>
        <family val="2"/>
      </rPr>
      <t xml:space="preserve"> require a new </t>
    </r>
    <r>
      <rPr>
        <b/>
        <sz val="11"/>
        <color rgb="FF000000"/>
        <rFont val="Calibri"/>
        <family val="2"/>
      </rPr>
      <t>Type</t>
    </r>
    <r>
      <rPr>
        <sz val="11"/>
        <color rgb="FF000000"/>
        <rFont val="Calibri"/>
        <family val="2"/>
      </rPr>
      <t>, which could take 3 weeks to create. Contact Supply Chain Data Governance at SCDataGov@kellanova.com.</t>
    </r>
  </si>
  <si>
    <r>
      <rPr>
        <sz val="11"/>
        <color rgb="FF000000"/>
        <rFont val="Calibri"/>
        <family val="2"/>
      </rPr>
      <t xml:space="preserve">If this item is a new </t>
    </r>
    <r>
      <rPr>
        <b/>
        <sz val="11"/>
        <color rgb="FF000000"/>
        <rFont val="Calibri"/>
        <family val="2"/>
      </rPr>
      <t>Sub Brand</t>
    </r>
    <r>
      <rPr>
        <sz val="11"/>
        <color rgb="FF000000"/>
        <rFont val="Calibri"/>
        <family val="2"/>
      </rPr>
      <t xml:space="preserve">, then submit a </t>
    </r>
    <r>
      <rPr>
        <u/>
        <sz val="11"/>
        <color rgb="FF000000"/>
        <rFont val="Calibri"/>
        <family val="2"/>
      </rPr>
      <t>KNA Request Product Value</t>
    </r>
    <r>
      <rPr>
        <sz val="11"/>
        <color rgb="FF000000"/>
        <rFont val="Calibri"/>
        <family val="2"/>
      </rPr>
      <t xml:space="preserve"> form in Evolve.</t>
    </r>
  </si>
  <si>
    <t>NG</t>
  </si>
  <si>
    <t>Nutri-Grain</t>
  </si>
  <si>
    <t>NKOM</t>
  </si>
  <si>
    <t>No Kellogg Owned Materials refers to the Comanufacturing process. It is a way to indicate that the location will use their own materials to produce the item, and there will be no BOM in SAP. This drives the way that the item is extended by Data Operations using the ZMMU table, ensuring that the correct values are applied.</t>
  </si>
  <si>
    <t>NL Status</t>
  </si>
  <si>
    <t xml:space="preserve">Nutrition Labeling - Status whether this team is (--) Not Assigned;  (X) In Process;  (C) Complete/Approved;  (R) Returned </t>
  </si>
  <si>
    <t>Non-Traditional Club or Retail Club</t>
  </si>
  <si>
    <t xml:space="preserve"> This refers to a type of Club setup, that resembles a retail straight case with package UPC setup type.</t>
  </si>
  <si>
    <t>OTG or CSP</t>
  </si>
  <si>
    <t>On The Go / Convenience Snack Packs</t>
  </si>
  <si>
    <t>Ounce</t>
  </si>
  <si>
    <t xml:space="preserve"> This field is located in the Classification View in the Material Master, and is used by EDI to determine how an item is handled on orders. There are three choices, RETAIL, CLUB PACK and SINGLE SERVE. CLUB PACK and SINGLE SERVE have logic built around them, and RETAIL has none. See EDI Logic Club Pack and EDI Logic Single Serve for more details.</t>
  </si>
  <si>
    <t xml:space="preserve"> This field is located in the Classification View in the Material Master, and is used by the AFH (Away From Home, formerly Specialty Channels) team. There are a variety of choices, but Retail items will always be set up as GROCERY, Club items will always use CLUB PACK, Single Serve items will always use SINGLE SERVE, Bulk items will always use BULK and AFH owned items will use all others.</t>
  </si>
  <si>
    <t>PKG</t>
  </si>
  <si>
    <t xml:space="preserve"> The Packaging Profile is used in the Data Synchronization (GS1) process, and provides specific details on the type of item that is being sold to the end consumer.</t>
  </si>
  <si>
    <t>Parent</t>
  </si>
  <si>
    <t xml:space="preserve"> This term is used to refer to a item that is considered a Base item. It is typically the everyday item that most customers order. The components inside the parent item are used for “child” items, which are repacked items or reduced case pack items.</t>
  </si>
  <si>
    <t>PCH</t>
  </si>
  <si>
    <t>Product Development Request includes food innovation, product line extentions, food in/outs, and new brands.</t>
  </si>
  <si>
    <t>PES</t>
  </si>
  <si>
    <t>Product Evaluation System. Quality rates the packages and food that are produced against a known list of defects.</t>
  </si>
  <si>
    <t>PH</t>
  </si>
  <si>
    <t>Product Hierarchy. It is a multi-level structure that categorizes products based on attributes such as brand, category, and subcategory, enabling efficient material management, pricing, and reporting.</t>
  </si>
  <si>
    <t>PL</t>
  </si>
  <si>
    <t xml:space="preserve"> This is a field within the Material Master that EDI references to find which item is considered the Base Material. If items share package UPC’s, there can only be one that is considered the Base Material. The Planning Variant field is where this is indicated within SAP. Other items (children items) that use the same package UPC as the Base, will use National, Customer or Limited. A good example of children items would be Reduced Case Packs or Promo Codes.</t>
  </si>
  <si>
    <t>PopTart</t>
  </si>
  <si>
    <t>Pop Tarts</t>
  </si>
  <si>
    <t>PopTarts</t>
  </si>
  <si>
    <t>Pop-Tarts</t>
  </si>
  <si>
    <t>Pouch/Inner Item or Pouch/Inner Package</t>
  </si>
  <si>
    <t>Material which is packaged in separate inner packaging to keep servings individualized.  It may have graphics allowing the item to be sold individually.</t>
  </si>
  <si>
    <t>PRG</t>
  </si>
  <si>
    <t>Pringles</t>
  </si>
  <si>
    <t>Product Subtype</t>
  </si>
  <si>
    <t>Material Setup Sub Type.  Further classifies the Product Type to apply business rules and gather proper data for the material.  These are some examples: Package with UPC, Package &amp; Pouch/Inner item with UPCs.</t>
  </si>
  <si>
    <t>Material Setup Type. Classifies the type of setup needed by the material so the proper data can be gathered. These are some examples:  Straight Case, Bulk Case, Ecomm, Club.</t>
  </si>
  <si>
    <t>Promo Code</t>
  </si>
  <si>
    <t xml:space="preserve"> These are promotional variants of Base, Every Day items. They share UPC’s with the Parent or Base item. They do not have pricing loaded, but instead, have a pricing reference which is the Parent or Base item. Customers continue to order the Parent or Base item, and substitution tables are entered into SAP to move it to the Promo Code. This setup type has its own form, separate from the New Item Form Workflow. See also, Display Variant.</t>
  </si>
  <si>
    <t>PT</t>
  </si>
  <si>
    <t>P-T</t>
  </si>
  <si>
    <t>PT Status</t>
  </si>
  <si>
    <t xml:space="preserve">Packaging BPS/Menasha - Status whether this team is (--) Not Assigned;  (X) In Process;  (C) Complete/Approved;  (R) Returned </t>
  </si>
  <si>
    <t>Packaging Work Requests. The request for commercialization of a unique offering that creates new packaging or alters existing packaging, without altering food.  Specific packaging or displays that need to be at a certain place at a certain time.</t>
  </si>
  <si>
    <t>PWS</t>
  </si>
  <si>
    <t>Portable Wholesome Snacks</t>
  </si>
  <si>
    <t>QUL</t>
  </si>
  <si>
    <t>Quarter Unit Load. Refers to the base unit of measure for quarter mod displays.</t>
  </si>
  <si>
    <t>R&amp;D</t>
  </si>
  <si>
    <t>Research and Development</t>
  </si>
  <si>
    <t>Rainbow Mod</t>
  </si>
  <si>
    <t xml:space="preserve"> Refers to a type of Display Full Mod setup type that is built using full cases of product, vs trays of product.</t>
  </si>
  <si>
    <t>RD Status</t>
  </si>
  <si>
    <t xml:space="preserve">R/D Quality - Status whether this team is (--) Not Assigned;  (X) In Process;  (C) Complete/Approved;  (R) Returned </t>
  </si>
  <si>
    <t>Repack/RCP, Repack, RPK, RCP, or Reduced Case Pack</t>
  </si>
  <si>
    <t xml:space="preserve"> An item that is created using an existing Package UPC. It is considered a “child” item. RCP means Reduced Case Pack.</t>
  </si>
  <si>
    <t>Marketing, Commercial Enablement, Brand Manager, Commercial Strategy</t>
  </si>
  <si>
    <t>RK</t>
  </si>
  <si>
    <t>Rice Krispies</t>
  </si>
  <si>
    <t>RK TREATS</t>
  </si>
  <si>
    <t>Rice Krispie Treats</t>
  </si>
  <si>
    <t>RKT</t>
  </si>
  <si>
    <t>RKT Squares</t>
  </si>
  <si>
    <t>Rice Krispie Treat Squares</t>
  </si>
  <si>
    <t>RKT Squares SS</t>
  </si>
  <si>
    <t>Rice Krispie Treat Squares Single Serve</t>
  </si>
  <si>
    <t>RQ Status</t>
  </si>
  <si>
    <t xml:space="preserve">Requestor Initiate - Status whether this team is (--) Not Assigned;  (X) In Process;  (C) Complete/Approved;  (R) Returned </t>
  </si>
  <si>
    <t>RU Status</t>
  </si>
  <si>
    <t xml:space="preserve">Requestor Update - Status whether this team is (--) Not Assigned;  (X) In Process;  (C) Complete/Approved;  (R) Returned </t>
  </si>
  <si>
    <t>SAP</t>
  </si>
  <si>
    <t>SAP stands for "Systems, Applications, and Products in Data Processing." Originally, it was known in German as "Systemanalyse und Programmentwicklung," which translates to "System Analysis and Program Development." SAP is a leading producer of enterprise resource planning (ERP) software, helping businesses manage their operations more efficiently.</t>
  </si>
  <si>
    <t>Supply Chain Request. Projects that are initiated by Supply Chain or the business unit, for the purpose to improve supply chain capabilities, efficiencies, and cost savings.  These projects require wide supply chain integration. Must be integrated with all the PDR and PWR projects to avoid execution conflicts.</t>
  </si>
  <si>
    <t xml:space="preserve"> Term used to describe an item that can be found (for example) at the checkout, where the consumer can purchase just one “single serve” vs an entire package or carton.</t>
  </si>
  <si>
    <t>SKU, Item, Material, or Product</t>
  </si>
  <si>
    <t xml:space="preserve"> Often used to describe the same thing.</t>
  </si>
  <si>
    <t>SLA</t>
  </si>
  <si>
    <t>Service Level Agreement. Each role in the workflow has a designated number of days to perform their task, which is called an SLA.  Most tasks have 2 days. Some tasks have as many as 7 days.</t>
  </si>
  <si>
    <t>SPCLTY</t>
  </si>
  <si>
    <t>Away From Home sales district or business unit. Businesses where Kellanova sells food that doesn't sell for at-home consumption. (EX: Restaurants, Convenience stores, Vending machines).</t>
  </si>
  <si>
    <t>SPK</t>
  </si>
  <si>
    <t>Special K</t>
  </si>
  <si>
    <t>SS</t>
  </si>
  <si>
    <t>Single-serve items are products packaged in individual units designed for one-time use or consumption by a single end user. These items support portion control, convenience, and are commonly used in retail, foodservice, and hospitality settings. In terms of the Single Serve Product Type these items have special considerations for how they need to be setup in SAP for TPM planning and EDI logic.</t>
  </si>
  <si>
    <t xml:space="preserve"> Term used to describe an item that is a basic setup type. It consists of a case and a package, or a case, package and a pouch level.</t>
  </si>
  <si>
    <t>SUL/TUL, SUL TUL, SUL, or TUL</t>
  </si>
  <si>
    <t>Shipping Unit Load / Trailer Unit Load. SUL is the Shipping Unit Load (maximum inventory that can be fit into the trailer if NOT tiered), TUL is the Trailer Unit Load (maximum inventory that can be fit into the trailer if tiered).</t>
  </si>
  <si>
    <t>TH</t>
  </si>
  <si>
    <t>Town House</t>
  </si>
  <si>
    <t>TOASTER PASTRY</t>
  </si>
  <si>
    <t>TPM (Trade Promotion Planning)</t>
  </si>
  <si>
    <t xml:space="preserve"> System used by Sales to do short-term trade promotion planning. EDLP (Every Day Low Price) planning in done in Foundations, but it flows to TPM and then to E1P for the OI allowances.</t>
  </si>
  <si>
    <t xml:space="preserve"> Description of base unit or a packaging item's intended trade channel.</t>
  </si>
  <si>
    <t>Traditional Club</t>
  </si>
  <si>
    <t xml:space="preserve"> This refers to a type of Club setup where the case and the package are considered the same thing (there is no case). These setup types require the customer to order them in full pallet quantities.</t>
  </si>
  <si>
    <t>TSTD</t>
  </si>
  <si>
    <t>Toasted</t>
  </si>
  <si>
    <t>UL</t>
  </si>
  <si>
    <t>Unit Load or sometimes referred to as Pallet. It is the base unit of measure for a full mod display, and is typically used to define a full pallet of product.</t>
  </si>
  <si>
    <t>UOM</t>
  </si>
  <si>
    <t>UPC</t>
  </si>
  <si>
    <t>Universal Product Code, which is always 12 digits.</t>
  </si>
  <si>
    <t>VAS (Value Added Services)</t>
  </si>
  <si>
    <t xml:space="preserve"> Refers to the process used to create Displays and Repacks.</t>
  </si>
  <si>
    <t>VERP</t>
  </si>
  <si>
    <t xml:space="preserve"> Material type for Knumbers (corrugate, packaging)</t>
  </si>
  <si>
    <t>WHLMSNACKS</t>
  </si>
  <si>
    <t>Wholesome Snacks</t>
  </si>
  <si>
    <t>WIP (Work In Progress)</t>
  </si>
  <si>
    <t xml:space="preserve"> Term used to describe a type of setup for product that is not sold to customers, but used to transfer food within and between plants. There are two kinds of WIP’s, one is finished product in cases (WIP Case), and the other is large totes of food, cereal flakes for example (WIP Tote). Both are set up with the Material Type of HALB.</t>
  </si>
  <si>
    <t>WS</t>
  </si>
  <si>
    <t>XREF</t>
  </si>
  <si>
    <t>The EDI_MATERIAL_XREF table is a customer exception based table that is customer (Trading Partner in EDI verbiage) and material specific.  It is a table where the EDI Team puts in the UPC or GTIN that is ordered by the customer and points it directly to a Kellanova material.  There is no logic behind it.  If the Trading Partnership and UPC or GTIN is present in the table, SAP will post to the material that is populated in the table.  It is primarily used for Dollar customers that order with package UPC code and that need to receive the Reduced Case Pack (RCP) material. This is because RCP materials and Base Materials often share the same package UPC. When a customer orders using a package UPC that is shared among many items, SAP can only post to materials marked as Base Materials, and RCP materials are not marked as Base Materials.  This table overrides that material determination logic to ensure that the Dollar customers can receive the correct RCP materials. </t>
  </si>
  <si>
    <t>Z1</t>
  </si>
  <si>
    <t>Material Status in SAP which means New. At this point the item is visible in SAP and plannable, but not yet in production.</t>
  </si>
  <si>
    <t>Z2</t>
  </si>
  <si>
    <t>Material Status in SAP which means Active. At this point the item has been costed by Finance, and is nearing or in production.</t>
  </si>
  <si>
    <t>ZBAS</t>
  </si>
  <si>
    <t>Selling price / Red K price condition record</t>
  </si>
  <si>
    <t>ZMMU</t>
  </si>
  <si>
    <t>Material Master Update table in SAP. This is a transaction used by Data Operations to extend items to different locations based on item setup type.</t>
  </si>
  <si>
    <t>Kellanova to send to NIFTY?</t>
  </si>
  <si>
    <t>file name</t>
  </si>
  <si>
    <t>contains</t>
  </si>
  <si>
    <t># pages / tabs</t>
  </si>
  <si>
    <t># columns</t>
  </si>
  <si>
    <t># rows</t>
  </si>
  <si>
    <t>Company where link is pointing</t>
  </si>
  <si>
    <t>link</t>
  </si>
  <si>
    <t xml:space="preserve">one time?  </t>
  </si>
  <si>
    <t>maintain file?</t>
  </si>
  <si>
    <t>Data-Ops-NIF-Create-a-CASE-Training-Deck---11.24.pdf</t>
  </si>
  <si>
    <t>Data Operations CASE NIF - 2024</t>
  </si>
  <si>
    <t>DCAI</t>
  </si>
  <si>
    <t>x</t>
  </si>
  <si>
    <t>NIF Value Stream Catalog.docx</t>
  </si>
  <si>
    <t>details of NIF workflow steps</t>
  </si>
  <si>
    <t>NIF-Value-Stream-Drawing (1).pdf</t>
  </si>
  <si>
    <t>details of NIF workflow steps - drawing</t>
  </si>
  <si>
    <t>KNA NIF Create KNV Document Report.xlsx</t>
  </si>
  <si>
    <t>download from Winshuttle/Evolve database</t>
  </si>
  <si>
    <t>recommend a daily download</t>
  </si>
  <si>
    <t>NIF_Example.xlsx</t>
  </si>
  <si>
    <t>Kellanova</t>
  </si>
  <si>
    <t>(same as another file)</t>
  </si>
  <si>
    <t>New - Guide on Creating an NIF for RX BAR and RX WIP 1.28.25.pptx</t>
  </si>
  <si>
    <t>DTC Setup Types in the NIF</t>
  </si>
  <si>
    <t>New - Guide on Creating an NIF for RX BAR 1.28.25.pptx</t>
  </si>
  <si>
    <t>add</t>
  </si>
  <si>
    <t>New - Guide on Creating an NIF for RX BAR and RX WIP 5.8.25.pptx</t>
  </si>
  <si>
    <t>RX Guide on Creating an NIF for RX BAR and RX WIP 5.8.25.pptx</t>
  </si>
  <si>
    <t>RX DTC Simple Bundle vs Static Bundle.docx</t>
  </si>
  <si>
    <t>DTC Simple Bundle vs Static Bundle</t>
  </si>
  <si>
    <t>review</t>
  </si>
  <si>
    <t>Description Generator with NIF Key - KNV.xlsm</t>
  </si>
  <si>
    <t>generator of material descriptions</t>
  </si>
  <si>
    <t>GS1 Rules.pdf</t>
  </si>
  <si>
    <t>GS 1 GTIN Management Rules - US and Canada</t>
  </si>
  <si>
    <t>Sample questions using co pilot.docx</t>
  </si>
  <si>
    <t>illustrative only questions for NIFTY</t>
  </si>
  <si>
    <t>Kellanova Powerpoint Template.pptx</t>
  </si>
  <si>
    <t>Kellanova standards for Powerpoint</t>
  </si>
  <si>
    <t>One-Pager-Case-Setup-Guide.pptx</t>
  </si>
  <si>
    <t>NIF Case Setup Types Examples</t>
  </si>
  <si>
    <t>NIF Training Deck v4 (1).pdf</t>
  </si>
  <si>
    <t>NIF Training Deck</t>
  </si>
  <si>
    <t>DCAI used during POC</t>
  </si>
  <si>
    <t>** 20 various NIF PDF files - non-RX</t>
  </si>
  <si>
    <t>PDF reports generated at end of NIF process-non RX</t>
  </si>
  <si>
    <t>NIFs</t>
  </si>
  <si>
    <t>repository</t>
  </si>
  <si>
    <t>** 13 various NIF PDF files - RX related</t>
  </si>
  <si>
    <t>PDF reports generated at end of NIF process-RX</t>
  </si>
  <si>
    <t>RX NIFs</t>
  </si>
  <si>
    <t>Product Hierarchy Guide.pptx</t>
  </si>
  <si>
    <t>Product Hierarchy Guide</t>
  </si>
  <si>
    <t>Product-Hierarchy-Quick-Reference-Guide.pptx</t>
  </si>
  <si>
    <t>Product Hierarchy Quick Reference Guide</t>
  </si>
  <si>
    <t>Project Nifty.pptx</t>
  </si>
  <si>
    <t>Project Nifty POC: background, problem, solution</t>
  </si>
  <si>
    <t>Business Requirements (Tamara) v2.xlsx</t>
  </si>
  <si>
    <t>Requestor Initiate steps of the NIF field by field</t>
  </si>
  <si>
    <t>RX WIP Set-up Process Quick Reference Guide.pptx</t>
  </si>
  <si>
    <t>RX WIP Set-up Process / How-To</t>
  </si>
  <si>
    <t>Project Nifty Questions.xlsx</t>
  </si>
  <si>
    <t>sample questions for NIFTY</t>
  </si>
  <si>
    <t>19+55</t>
  </si>
  <si>
    <t>KNV Active Brands 07-24-2024.xlsx</t>
  </si>
  <si>
    <t>SAP download of Materials</t>
  </si>
  <si>
    <t>DCAI planning on incorporating</t>
  </si>
  <si>
    <t>Material_Master.xlsx</t>
  </si>
  <si>
    <t>(same as another file)??</t>
  </si>
  <si>
    <t>SAP AI Fields.docx</t>
  </si>
  <si>
    <t>SAP ECC &amp; Winshuttle Data Extraction Guide for AI Training – Product Configuration (e.g., Pop-Tarts)</t>
  </si>
  <si>
    <t>Pre-Ini NIF Checklist 03.26.25.xlsx</t>
  </si>
  <si>
    <t>things you need to know to setup a NIF</t>
  </si>
  <si>
    <t>Setup Type Guide.pdf</t>
  </si>
  <si>
    <t>Visual Guide to Setup Types</t>
  </si>
  <si>
    <t>Testing questions?</t>
  </si>
  <si>
    <t>From doc:</t>
  </si>
  <si>
    <t>Question</t>
  </si>
  <si>
    <t>Answer</t>
  </si>
  <si>
    <t>How do I create a NIF if I have never created one before?</t>
  </si>
  <si>
    <t>Answer:  1. Training materials on sharepoint site, 2. Join training session 3.Make sure you have access 4. Contact Support 5. Give step by step overview of the first few steps and than reference the guides that are step by step</t>
  </si>
  <si>
    <t>I have a new brand that I want to put into a NIF</t>
  </si>
  <si>
    <t>Answer:  1. Confirm you have a new brand by giving examples of existing brands and giving a definition of what a new brand is.  2 Submit a product hierarchy maintenance request and how (that is item #4), 3. Attend training session if you have questions 4. Contact support.</t>
  </si>
  <si>
    <t>How do I complete the product type and sub type on the NIF</t>
  </si>
  <si>
    <t>Answer:  1. Give definition and description of those fields, 2. Sharepoint training site setup type quick reference guide 3. Ask questions to get information on the product and give the answer using the guide on sharepoint that has the answers</t>
  </si>
  <si>
    <t>Give me the NIF information for material number 2410012414</t>
  </si>
  <si>
    <t>Answer:   see [2410012414] tab</t>
  </si>
  <si>
    <t xml:space="preserve">How do I setup apple flavored pringles in the NIF? </t>
  </si>
  <si>
    <t>Answer:  I would have expected it to walk you through how to create it step by step, and referenced various training guides, training sessions etc.</t>
  </si>
  <si>
    <t xml:space="preserve">How would I setup a apple flavored pringle in the NIF at Kellanova.  </t>
  </si>
  <si>
    <t>The answer was still pretty sub-par</t>
  </si>
  <si>
    <t>Who do I contact for help with the NIF</t>
  </si>
  <si>
    <t>Answer:  Nice answer but it should have said to contact the LIM as #1, the LIM launch innovation managers are who manage the NIF we just administer it.</t>
  </si>
  <si>
    <t>I have a product with a upc on the package which selection should I put on the NIF</t>
  </si>
  <si>
    <t>[long answer - but includes 4 common setup types for products with UPCs]</t>
  </si>
  <si>
    <t>I am developing a Halloween cheese its product, how should I complete the NIF</t>
  </si>
  <si>
    <t>no answer in copilot</t>
  </si>
  <si>
    <t>What is the status of my NIF that I just created?</t>
  </si>
  <si>
    <t>How many NIFs do I currently have in flight? In progress?  Completed?</t>
  </si>
  <si>
    <t>What is the material number for poptarts protein</t>
  </si>
  <si>
    <t>What is the product type of rice Krispies apple carmel?</t>
  </si>
  <si>
    <t>How do I select the correct sub-brand?</t>
  </si>
  <si>
    <t>How do I select the correct product type and subtype</t>
  </si>
  <si>
    <t>What does subtype mean?  What does product type mean?  What does brand name mean?  How do I know what the brand is?</t>
  </si>
  <si>
    <t>What is the difference between straight case and (insert any other)?</t>
  </si>
  <si>
    <t>What is the difference between packing type X and packing type y?</t>
  </si>
  <si>
    <t>My product has a tray what should I select?</t>
  </si>
  <si>
    <t>How long does it take to complete a NIF?</t>
  </si>
  <si>
    <t xml:space="preserve">Where is my NIF currently sitting?  What is the status of my NIF?  </t>
  </si>
  <si>
    <t>Who is accountable for my NIF? Who is the point of contact for the NIF (insert description of NIF)</t>
  </si>
  <si>
    <t>Why was my NIF rejected?  Who rejected it?</t>
  </si>
  <si>
    <t>I want to edit NIF fields, what can I edit?  Can I edit my (insert field) on my NIF?</t>
  </si>
  <si>
    <t>Project Nifty Questions.xlsx - [SAP Questions with tables]</t>
  </si>
  <si>
    <t>What is the material ID?</t>
  </si>
  <si>
    <t>What is the product?</t>
  </si>
  <si>
    <t>Is this a finished product or a display unit?</t>
  </si>
  <si>
    <t>Is this a base material or variant?</t>
  </si>
  <si>
    <t>Item Category Group</t>
  </si>
  <si>
    <t>What is the base unit of sale?</t>
  </si>
  <si>
    <t>Base Unit of Measure</t>
  </si>
  <si>
    <t>What is the intended sales region or org?</t>
  </si>
  <si>
    <t>Sales Org</t>
  </si>
  <si>
    <t>Is this sold through convenience or grocery?</t>
  </si>
  <si>
    <t>Distribution Channel</t>
  </si>
  <si>
    <t>What is the selling unit?</t>
  </si>
  <si>
    <t>Sales UoM</t>
  </si>
  <si>
    <t>How many units per pack/case?</t>
  </si>
  <si>
    <t>Conversion Factor</t>
  </si>
  <si>
    <t>Are there multiple packaging formats?</t>
  </si>
  <si>
    <t>Alternate UoM</t>
  </si>
  <si>
    <t>What is the UPC?</t>
  </si>
  <si>
    <t>UPC / GTIN</t>
  </si>
  <si>
    <t>Is this UPC tied to base unit, box, or case?</t>
  </si>
  <si>
    <t>UPC Level</t>
  </si>
  <si>
    <t>Is it sold in a display tray or bin?</t>
  </si>
  <si>
    <t>What kind of pack type is it (shelf, tray, case)?</t>
  </si>
  <si>
    <t>What brand is associated?</t>
  </si>
  <si>
    <t>What is the sub-brand?</t>
  </si>
  <si>
    <t>What category or classification is it in?</t>
  </si>
  <si>
    <t>Product Hierarchy (Full)</t>
  </si>
  <si>
    <t>Is this a display-ready unit or a component/base material?</t>
  </si>
  <si>
    <t>Finished/Base Material Flag</t>
  </si>
  <si>
    <t>Project Nifty Questions.xlsx - [User Base Questions]</t>
  </si>
  <si>
    <t>Where is the UPC located  for material number 3800018461 ?</t>
  </si>
  <si>
    <t>On the indivdual package</t>
  </si>
  <si>
    <t>Does this have a display tray  for material number 3800018461 ?</t>
  </si>
  <si>
    <t>No, it is sold in a bulk case</t>
  </si>
  <si>
    <t>Is there nutritional information on the package  for material number 3800018461 ?</t>
  </si>
  <si>
    <t>No, the packaging is too small for a nutrition label</t>
  </si>
  <si>
    <t>Is this product sold in individual packages at a convience store  for material number 3800018461 ?</t>
  </si>
  <si>
    <t>Not at a convience store but perhaps for food service customer</t>
  </si>
  <si>
    <t>What type of box does this come in  for material number 3800018461 ?</t>
  </si>
  <si>
    <t>It is in a brown packaging box with just the brand and upc on it, it doesn't have any color or marketing</t>
  </si>
  <si>
    <t>How many items are typically in a box  for material number 3800018461 ?</t>
  </si>
  <si>
    <t>The box is filled with the product in bulk so there is not a set number of items that come in the case.</t>
  </si>
  <si>
    <t>Describe your packaging for material number 1862747192 ?</t>
  </si>
  <si>
    <t>I am in a cardboard box with a upc and no branding on the box with 4 bags of clear plastic cereal inside</t>
  </si>
  <si>
    <t>My product will be in a clear plastic bag without a upc or nutrion label on it for material number 1862747192 ?</t>
  </si>
  <si>
    <t>That sounds like a bulk case, is this material sold in bulk like in a hotel or restaurant</t>
  </si>
  <si>
    <t>My NIF is for hotels and restaurants for material number 1862747192 ?</t>
  </si>
  <si>
    <t>This item can be sold in theconvience stores as 1 unit or 1 packaged item for material number 3010010623 ?</t>
  </si>
  <si>
    <t>When it is sold to the store is it sold as one single item or is it sold as a bulk cade with individual products inside of the case?</t>
  </si>
  <si>
    <t>Do you have to buy a full pallet quantity for material number 2898910305 ?</t>
  </si>
  <si>
    <t>No, it can be sold in smaller than pallet orders that come in a cardboard box with a unique upc that doesn't match the product</t>
  </si>
  <si>
    <t>My product is sold at a convience store, store end cap or whereever individual single serving items are sold for material number 3800019740 ?</t>
  </si>
  <si>
    <t>Does the product sit in a tray or come with a tray that could be utilized?</t>
  </si>
  <si>
    <t>Describe the original packaging for material number 3800019740 ?</t>
  </si>
  <si>
    <t>In a cardboard box with individual trays inside that house the products for sale</t>
  </si>
  <si>
    <t>What occasion would I buy this  for material number 3800019740 ?</t>
  </si>
  <si>
    <t>As a consumer you would buy this for 1 person to eat while on the go or away from home</t>
  </si>
  <si>
    <t>How would a consumer buy this product  for material number 3800019740 ?</t>
  </si>
  <si>
    <t>They would scan a unique upc and buy 1 individual single serving item</t>
  </si>
  <si>
    <t>Do you have to open a cardboard box and setup a tray or display  for material number 3800019740 ?</t>
  </si>
  <si>
    <t>Yes, the item is sold individually to the consumer</t>
  </si>
  <si>
    <t>My product is sold at a convience store, store end cap or whereever individual single serving items are sold for material number 3800018567 ?</t>
  </si>
  <si>
    <t>Describe the original packaging for material number 3800018567 ?</t>
  </si>
  <si>
    <t>What occasion would I buy this  for material number 3800018567 ?</t>
  </si>
  <si>
    <t>How would a consumer buy this product  for material number 3800018567 ?</t>
  </si>
  <si>
    <t>Do you have to open a cardboard box and setup a tray or display  for material number 3800018567 ?</t>
  </si>
  <si>
    <t>Does the product, tray and package share a upc for material number 3800018567 ?</t>
  </si>
  <si>
    <t>Yes there is only one upc for the entire item</t>
  </si>
  <si>
    <t>How many unique upcs will be on the product for Rice Krispies Treats ?</t>
  </si>
  <si>
    <t>3, on the case, package and product</t>
  </si>
  <si>
    <t>Describe the product for Rice Krispies Treats ?</t>
  </si>
  <si>
    <t>A cardboard case with a package of products inside the case that has colors and branding and inside that package are individually wrapped products</t>
  </si>
  <si>
    <t>Is this a seasonal item for Rice Krispies Treats ?</t>
  </si>
  <si>
    <t>It can be a seasonal item where the individual products contain a barcode inside of a larger package of products</t>
  </si>
  <si>
    <t xml:space="preserve">What is the product description in SAP </t>
  </si>
  <si>
    <t>MAKTX</t>
  </si>
  <si>
    <t>What is the product hierachy</t>
  </si>
  <si>
    <t>PRODH</t>
  </si>
  <si>
    <t>What is the sales org for my product</t>
  </si>
  <si>
    <t>VKORG</t>
  </si>
  <si>
    <t>What is the selling unit of my product or like sku #</t>
  </si>
  <si>
    <t>VRKME</t>
  </si>
  <si>
    <t>What is the UPC for this product</t>
  </si>
  <si>
    <t>sap field EAN11 and the UPC levels are sap fields NUMTP</t>
  </si>
  <si>
    <t>Display variant</t>
  </si>
  <si>
    <t>ZVARIANT</t>
  </si>
  <si>
    <t>Does this have a tray</t>
  </si>
  <si>
    <t>What brand is associated with this product</t>
  </si>
  <si>
    <t>BRAND</t>
  </si>
  <si>
    <t>What is the sub brand associated with this product</t>
  </si>
  <si>
    <t>SUBBRAND</t>
  </si>
  <si>
    <t>Can you give me the details of the following SKU</t>
  </si>
  <si>
    <t>MAKTX, PRODH, VKORG, VRKME, EAN11, NUMTP, ZVARIANT, BRAND, SUBBRAND</t>
  </si>
  <si>
    <t>What type of product hierachy do you recommend</t>
  </si>
  <si>
    <t>How is this product sold</t>
  </si>
  <si>
    <t>I need my product to be expedited</t>
  </si>
  <si>
    <t>How long will it take to get my product into SAP</t>
  </si>
  <si>
    <t>two weeks</t>
  </si>
  <si>
    <t>This is a brand new product and packaging form</t>
  </si>
  <si>
    <t>I don't see my product options in the drop down</t>
  </si>
  <si>
    <t>Is this a new new packaging form or product category</t>
  </si>
  <si>
    <t>What fields can be edited after I submit this form</t>
  </si>
  <si>
    <t>Refer to training documents</t>
  </si>
  <si>
    <t xml:space="preserve">What stage is my NIF at </t>
  </si>
  <si>
    <t>Why was the NIF rejected</t>
  </si>
  <si>
    <t>I need my product to be in a tray</t>
  </si>
  <si>
    <t>refer to setup types that only have a tray</t>
  </si>
  <si>
    <t>My product is sold in bulk by weight or pallet</t>
  </si>
  <si>
    <t>refer to setup types that are only sold in bulk without an independent package upc</t>
  </si>
  <si>
    <t>My product is seasonal</t>
  </si>
  <si>
    <t>Ask whether or not the individual packages that are consumed have a upc on them</t>
  </si>
  <si>
    <t>My product is for a holiday</t>
  </si>
  <si>
    <t>The brand we need is brand new and never been used before</t>
  </si>
  <si>
    <t>Give me some examples so I can double check</t>
  </si>
  <si>
    <t>The brand is new</t>
  </si>
  <si>
    <t>You will need to submit an IT request to get the brand added in as a value</t>
  </si>
  <si>
    <t>My food form is brand new</t>
  </si>
  <si>
    <t>You will need to submit an IT request to get the new food form added in as a value</t>
  </si>
  <si>
    <t>I don't know how to use this form</t>
  </si>
  <si>
    <t>Refer to training guides or I can guide you through a series of questions to help guide you</t>
  </si>
  <si>
    <t>Where do I locate help documents</t>
  </si>
  <si>
    <t>Refer to the sharepoint site here is the link or I can guide you through a series of questions to help you</t>
  </si>
  <si>
    <t>Are there trainings available</t>
  </si>
  <si>
    <t>Yes, there is a biweekly training hosted see Tommy Jones at Kellanova to get added to the distrubution list</t>
  </si>
  <si>
    <t>Mtgs-Kellanova Nifty-Bev.docx</t>
  </si>
  <si>
    <t>What is Alternate Units of Measure?</t>
  </si>
  <si>
    <t>Populate with all the appropriate values. If this setup type is a Repack, ensure you are using the exact weights and dimensions of the existing package (and pouches if applicable). If the weights or dimensions differ, it will cause issues for Data Synchronization to our customers, possibly resulting in fines. Note: the UL (unit load) Gross Weight will auto- populate if you enter the dimensions first, then the cases per unit load. Use the last three columns to guide you with the data population, and refer to the following slide for assistance: Visual Guide to Setup Types. *Please note: the Length, Width, Height and Gross Weights are not marked as required (*) in the form, but they are required for setup.</t>
  </si>
  <si>
    <t>What is the Product Sub type?</t>
  </si>
  <si>
    <t>Do a test with Product Subtype, and see if it pulls in both the “field definition” and the “glossary definition”</t>
  </si>
  <si>
    <t>What is the Product Subtype?</t>
  </si>
  <si>
    <t xml:space="preserve">Answer to question:  </t>
  </si>
  <si>
    <r>
      <t xml:space="preserve">Here is the NIF information for material number </t>
    </r>
    <r>
      <rPr>
        <b/>
        <sz val="12"/>
        <color theme="1"/>
        <rFont val="Aptos"/>
        <family val="2"/>
      </rPr>
      <t>2410012414</t>
    </r>
    <r>
      <rPr>
        <sz val="12"/>
        <color theme="1"/>
        <rFont val="Aptos"/>
        <family val="2"/>
      </rPr>
      <t>:</t>
    </r>
  </si>
  <si>
    <t>General Information</t>
  </si>
  <si>
    <r>
      <t>Material Number</t>
    </r>
    <r>
      <rPr>
        <sz val="12"/>
        <color theme="1"/>
        <rFont val="Aptos"/>
        <family val="2"/>
      </rPr>
      <t>: 2410012414 [1] [2]</t>
    </r>
  </si>
  <si>
    <t>Base Material Number: 2410012414 [1]</t>
  </si>
  <si>
    <t>Material Segment Description: CONVENIENCE FOODS PH1 [1]</t>
  </si>
  <si>
    <t>Packaging Information</t>
  </si>
  <si>
    <t>Package UPC Code: 24100124121 [1]</t>
  </si>
  <si>
    <t>Package K Number: K233571000 [1]</t>
  </si>
  <si>
    <t>Pouch UPC Code: 24100121472 [1]</t>
  </si>
  <si>
    <t>Pouch K Number: K226979001 [1]</t>
  </si>
  <si>
    <t>Compressed UPC: Existing [1]</t>
  </si>
  <si>
    <t>Additional Details</t>
  </si>
  <si>
    <t>Product Type: Case [1]</t>
  </si>
  <si>
    <t>Product Sub Type: Package and pouch [2]</t>
  </si>
  <si>
    <t>Form Type: Straight Case Repack/RCP [2]</t>
  </si>
  <si>
    <t>Country: United States [2]</t>
  </si>
  <si>
    <t>Business Area: Kellanova [3]</t>
  </si>
  <si>
    <t>Project Information</t>
  </si>
  <si>
    <r>
      <t>Project Name</t>
    </r>
    <r>
      <rPr>
        <sz val="12"/>
        <color theme="1"/>
        <rFont val="Aptos"/>
        <family val="2"/>
      </rPr>
      <t>: CHEEZ-IT 30CT VALENTINE'S [1] [2]</t>
    </r>
  </si>
  <si>
    <r>
      <t>Project Type</t>
    </r>
    <r>
      <rPr>
        <sz val="12"/>
        <color theme="1"/>
        <rFont val="Aptos"/>
        <family val="2"/>
      </rPr>
      <t>: SALTY SNK [1] [2]</t>
    </r>
  </si>
  <si>
    <r>
      <t>Requestor</t>
    </r>
    <r>
      <rPr>
        <sz val="12"/>
        <color theme="1"/>
        <rFont val="Aptos"/>
        <family val="2"/>
      </rPr>
      <t>: Lindauer, Christina [1] [2]</t>
    </r>
  </si>
  <si>
    <t>Specific Instructions</t>
  </si>
  <si>
    <t>Special Launch K Number: 000000002410012414 [2]</t>
  </si>
  <si>
    <t>Graphics Requirements: Need Valentine's graphics on outer packaging and inner pouches [2]</t>
  </si>
  <si>
    <t>Dimensions, Codes, and Pricing: Required by mid-late February [2]</t>
  </si>
  <si>
    <t>Author and Last Modified</t>
  </si>
  <si>
    <r>
      <t>Author</t>
    </r>
    <r>
      <rPr>
        <sz val="12"/>
        <color theme="1"/>
        <rFont val="Aptos"/>
        <family val="2"/>
      </rPr>
      <t>: Youngs, Bobbi [1] [2]</t>
    </r>
  </si>
  <si>
    <r>
      <t>Last Modified Time</t>
    </r>
    <r>
      <rPr>
        <sz val="12"/>
        <color theme="1"/>
        <rFont val="Aptos"/>
        <family val="2"/>
      </rPr>
      <t>: May 16th, 2024 [1] [2]</t>
    </r>
  </si>
  <si>
    <t>If you need more detailed information or have any specific questions, feel free to ask!</t>
  </si>
  <si>
    <r>
      <t>[1]: 2410012414-NIF Normal Straight Case Repack RCP - US - PWR</t>
    </r>
    <r>
      <rPr>
        <i/>
        <sz val="12"/>
        <color theme="1"/>
        <rFont val="Aptos"/>
        <family val="2"/>
      </rPr>
      <t>2024-338 - SALTY SNK - Lindauer, Christina - CHEEZ-IT 30CT VALENTINE'S.pdf [2]: 2410012414-NIF Normal Straight Case Repack RCP - US - PWR</t>
    </r>
    <r>
      <rPr>
        <sz val="12"/>
        <color theme="1"/>
        <rFont val="Aptos"/>
        <family val="2"/>
      </rPr>
      <t>2024-338 - SALTY SNK - Lindauer, Christina - CHEEZ-IT 30CT VALENTINE'S-Price Audit.pdf [3]: Data Ops NIF Create a CASE Training Deck - 11.24 1.pdf</t>
    </r>
  </si>
  <si>
    <t>References</t>
  </si>
  <si>
    <t>[1] 2410012414-NIF Normal Straight Case Repack RCP - US - PWR_2024-338 - SALTY SNK - Lindauer, Christina - CHEEZ-IT 30CT VALENTINE'S</t>
  </si>
  <si>
    <t>[2] 2410012414-NIF Normal Straight Case Repack RCP - US - PWR_2024-338 - SALTY SNK - Lindauer, Christina - CHEEZ-IT 30CT VALENTINE'S-Price Audit</t>
  </si>
  <si>
    <t>[3] Data Ops NIF Create a CASE Training Deck - 11.24 1</t>
  </si>
  <si>
    <t>Scenarios to go down all the Flowchart levels for Product Country / Form Type / Product Type / Product Subtype</t>
  </si>
  <si>
    <t>NIFTY should return these values:</t>
  </si>
  <si>
    <t>Answers to the questions (using the Flowchart.pptx file)</t>
  </si>
  <si>
    <t>US</t>
  </si>
  <si>
    <t>DISPLAY</t>
  </si>
  <si>
    <t>&lt;not required&gt;</t>
  </si>
  <si>
    <t>Mod</t>
  </si>
  <si>
    <t>Full</t>
  </si>
  <si>
    <t>Half</t>
  </si>
  <si>
    <t>Quarter</t>
  </si>
  <si>
    <t>Rainbow</t>
  </si>
  <si>
    <t>Club Stores</t>
  </si>
  <si>
    <t>new</t>
  </si>
  <si>
    <t>full unit load</t>
  </si>
  <si>
    <t>Traditional 1PKG=1CS</t>
  </si>
  <si>
    <t>case level</t>
  </si>
  <si>
    <t>Non-Traditional</t>
  </si>
  <si>
    <t>existing</t>
  </si>
  <si>
    <t>Traditional Retailers</t>
  </si>
  <si>
    <t>straight case</t>
  </si>
  <si>
    <t>Package and pouch/inner item with UPCs</t>
  </si>
  <si>
    <t>Package with UPC</t>
  </si>
  <si>
    <t>bulk case</t>
  </si>
  <si>
    <t>Bulk Repack/RCP</t>
  </si>
  <si>
    <t>No Package UPC</t>
  </si>
  <si>
    <t>single serve tray</t>
  </si>
  <si>
    <t>With Tray</t>
  </si>
  <si>
    <t>E-commerce Retailer</t>
  </si>
  <si>
    <t>brown corrugate box</t>
  </si>
  <si>
    <t>ECOMM</t>
  </si>
  <si>
    <t>CASE (Brown Box)</t>
  </si>
  <si>
    <t>printed box</t>
  </si>
  <si>
    <t>CASE (Printed Box)</t>
  </si>
  <si>
    <t>RX DTC</t>
  </si>
  <si>
    <t>Static (Pre-Determined Mix of Products)</t>
  </si>
  <si>
    <t>Tote/Kone</t>
  </si>
  <si>
    <t>Unit Load</t>
  </si>
  <si>
    <t>Canada Straight Case Repack/RCP – existing PKG UPC</t>
  </si>
  <si>
    <t>LA</t>
  </si>
  <si>
    <t>LA - Latin America</t>
  </si>
  <si>
    <t>EU</t>
  </si>
  <si>
    <t>EU - Europe</t>
  </si>
  <si>
    <t>AMEA</t>
  </si>
  <si>
    <t>AMEA - Asia-Pacific, Middle East, Africa</t>
  </si>
  <si>
    <t>possible answers from different users; do these need to be tested?</t>
  </si>
  <si>
    <t>Case type store?</t>
  </si>
  <si>
    <t>Display types?</t>
  </si>
  <si>
    <t>Mod types?</t>
  </si>
  <si>
    <t>Latin America</t>
  </si>
  <si>
    <t>Ship</t>
  </si>
  <si>
    <t>Shpr</t>
  </si>
  <si>
    <t>Europe</t>
  </si>
  <si>
    <t>Traditional</t>
  </si>
  <si>
    <t>AP</t>
  </si>
  <si>
    <t>Trad</t>
  </si>
  <si>
    <t>Module?</t>
  </si>
  <si>
    <t>Asia Pacific</t>
  </si>
  <si>
    <t>W</t>
  </si>
  <si>
    <t>ME</t>
  </si>
  <si>
    <t>Disp</t>
  </si>
  <si>
    <t>Q</t>
  </si>
  <si>
    <t>Middle East</t>
  </si>
  <si>
    <t>E-comm</t>
  </si>
  <si>
    <t>R</t>
  </si>
  <si>
    <t>AF</t>
  </si>
  <si>
    <t>Qtr</t>
  </si>
  <si>
    <t>Africa</t>
  </si>
  <si>
    <t>RX</t>
  </si>
  <si>
    <t>Rbw?</t>
  </si>
  <si>
    <t>Rain?</t>
  </si>
  <si>
    <t>Direct</t>
  </si>
  <si>
    <t>United States</t>
  </si>
  <si>
    <t>Direct to Consumer</t>
  </si>
  <si>
    <t>USA</t>
  </si>
  <si>
    <t>Review of NIF PDF format - Bev Tyler</t>
  </si>
  <si>
    <t>BR.xlsx file = https://demandchainai.sharepoint.com/:x:/s/KellanovaPOC/Ebpe4JJnLcJDsKN74E_FN2oBGy3SMnB3ieLdjMvL_nwzIg?e=VenuuF</t>
  </si>
  <si>
    <t>Trng_deck.ppt = https://demandchainai.sharepoint.com/:b:/s/KellanovaPOC/EUbYiN0y3vRHupu27Q5q6Q8BBsRldO5V1fX6na9le0eAuA?e=crBJEK</t>
  </si>
  <si>
    <t>order in Trng deck</t>
  </si>
  <si>
    <t>additional roles who can modify</t>
  </si>
  <si>
    <t>training needed?</t>
  </si>
  <si>
    <t>status</t>
  </si>
  <si>
    <t>verify</t>
  </si>
  <si>
    <t>dd: US, CA, MX</t>
  </si>
  <si>
    <t>Is this a Pringles product?</t>
  </si>
  <si>
    <t>Is this an RX Product?</t>
  </si>
  <si>
    <t>PDR and SCR is text (ex Tasty) PWR is numeric</t>
  </si>
  <si>
    <t>…not in Trng_deck.ppt</t>
  </si>
  <si>
    <t>(check name of field in NIF)</t>
  </si>
  <si>
    <t>Only Project Type:  KUBIC</t>
  </si>
  <si>
    <t>CASE Product Determination Questions - Case</t>
  </si>
  <si>
    <t>Variety Pack components have UPC codes?</t>
  </si>
  <si>
    <t>Build SKU Using Existing Export UPCs?</t>
  </si>
  <si>
    <t>DISPLAY Product Determination Questions - Display</t>
  </si>
  <si>
    <t>WIP Product Determination Questions - WIP</t>
  </si>
  <si>
    <t>NO for WIP</t>
  </si>
  <si>
    <t>This section corresponds to the Setup Type that has been chosen, and will show you the UPC requirements.</t>
  </si>
  <si>
    <t>col AT,BA??</t>
  </si>
  <si>
    <t>rows - multiple possible</t>
  </si>
  <si>
    <t>Packaging Tech(BPS)</t>
  </si>
  <si>
    <t>Packaging The(Canada VAS)</t>
  </si>
  <si>
    <t>Supply Chain Budget Forecast SKU?</t>
  </si>
  <si>
    <t>export (buttons)</t>
  </si>
  <si>
    <t>UPC#</t>
  </si>
  <si>
    <t>rows of data: 4 (CS, PKG, LYR, UL);  PCH??</t>
  </si>
  <si>
    <t>K#</t>
  </si>
  <si>
    <t>Unique or Same UPC?</t>
  </si>
  <si>
    <t>GTIN Required?</t>
  </si>
  <si>
    <t>Unique or Same GTIN?</t>
  </si>
  <si>
    <t>LIM approval to setup Forecast sku</t>
  </si>
  <si>
    <t>Inbound or Outbound?</t>
  </si>
  <si>
    <t>Category Descripotion</t>
  </si>
  <si>
    <t>(fields referenced previously)</t>
  </si>
  <si>
    <t>.</t>
  </si>
  <si>
    <t>VAS?</t>
  </si>
  <si>
    <t>Return to Team</t>
  </si>
  <si>
    <t>LIM Return Comments</t>
  </si>
  <si>
    <t>use this in the "return reason" (rejection reason)</t>
  </si>
  <si>
    <t>Is this a SKU to SKU Transition?</t>
  </si>
  <si>
    <t>Product Hierarchy - Brand</t>
  </si>
  <si>
    <t>75, 86</t>
  </si>
  <si>
    <t>Will this item be sold at the package level Direct To Consumer?</t>
  </si>
  <si>
    <t>BOM Setup</t>
  </si>
  <si>
    <t>Taxable?</t>
  </si>
  <si>
    <t>dependent on FORM TYPE: DISPLAY</t>
  </si>
  <si>
    <t>Suggested Material Description</t>
  </si>
  <si>
    <t>Is the Manufacturing Location a Co-Man or Co-Packer?</t>
  </si>
  <si>
    <t>Return button</t>
  </si>
  <si>
    <t>Package Net Weight for SAP</t>
  </si>
  <si>
    <t>Stated Net Package Weight(oz/lb)</t>
  </si>
  <si>
    <t>dependent on: Form Type=BULK w/pkg upc</t>
  </si>
  <si>
    <t>Did you check the Food Form?</t>
  </si>
  <si>
    <t>Component K#</t>
  </si>
  <si>
    <t>Print?(Y/N)</t>
  </si>
  <si>
    <t>Add to BOM?</t>
  </si>
  <si>
    <t>Return to</t>
  </si>
  <si>
    <t>Estimated Standard Cost (cs)</t>
  </si>
  <si>
    <t>Data Integrity (DI) Hierarchy - Update</t>
  </si>
  <si>
    <t>Product Hierarchy - Type and Sub-Type</t>
  </si>
  <si>
    <t>Step 1: Import Sales Orgs</t>
  </si>
  <si>
    <t>Step 2: Import Materials</t>
  </si>
  <si>
    <t>Sales Org Log</t>
  </si>
  <si>
    <t>script logfield</t>
  </si>
  <si>
    <t>Create New Material (button)</t>
  </si>
  <si>
    <t>BAPI MATERIAL SAVEDATA Log</t>
  </si>
  <si>
    <t>Script Execution Log</t>
  </si>
  <si>
    <t>Run Additional Material Scripts (button)</t>
  </si>
  <si>
    <t>Create Classification View Log</t>
  </si>
  <si>
    <t>MM02 Update Z Fields (Log)</t>
  </si>
  <si>
    <t>Country_Sold_in_Log</t>
  </si>
  <si>
    <t>Trade_Channel_Log</t>
  </si>
  <si>
    <t>Finished Goods Characteristic Log</t>
  </si>
  <si>
    <t>Non-Finished Goods Characteristics Log</t>
  </si>
  <si>
    <t>Country_of_Origin_LogField</t>
  </si>
  <si>
    <t>SUL_TUL_LogField</t>
  </si>
  <si>
    <t>MM02_NIF_Misc_Log</t>
  </si>
  <si>
    <t>ZMATTRANS_LogField</t>
  </si>
  <si>
    <t>MM02 Update Price Unit</t>
  </si>
  <si>
    <t>Distribution method Log</t>
  </si>
  <si>
    <t>DTC Characteristics Log</t>
  </si>
  <si>
    <t>Z1SYNC_LogField</t>
  </si>
  <si>
    <t>Set Future price to $1</t>
  </si>
  <si>
    <t>INDIVIDUAL SCRIPT RE-EXECUTION DASHBOARD</t>
  </si>
  <si>
    <t>Create Classification View (button)</t>
  </si>
  <si>
    <t>MM02 Update Z Fields (button)</t>
  </si>
  <si>
    <t>Country Sold In (button)</t>
  </si>
  <si>
    <t>Trade Channel (button)</t>
  </si>
  <si>
    <t>Country of Origin (button)</t>
  </si>
  <si>
    <t>ZMATTRANS (button)</t>
  </si>
  <si>
    <t>SUL TUL (button)</t>
  </si>
  <si>
    <t>MM02 NIF Misc (button)</t>
  </si>
  <si>
    <t>Ext Sales Org (buton)</t>
  </si>
  <si>
    <t>Update Price Unit (button)</t>
  </si>
  <si>
    <t>Distribution Method (button)</t>
  </si>
  <si>
    <t>DTC Characteristics (button)</t>
  </si>
  <si>
    <t>Z1SYNC (button)</t>
  </si>
  <si>
    <t>Update Future Price (button)</t>
  </si>
  <si>
    <t>Re-Execute Finished Goods Characteristics Script</t>
  </si>
  <si>
    <t>BUSINESS_UNIT</t>
  </si>
  <si>
    <t>script update field</t>
  </si>
  <si>
    <t>COUNT</t>
  </si>
  <si>
    <t>CUBE_SIZE</t>
  </si>
  <si>
    <t>DATA_SYNC</t>
  </si>
  <si>
    <t>FERT_PROJECT_DESCRIPTION</t>
  </si>
  <si>
    <t>FERT_TYPE</t>
  </si>
  <si>
    <t>MOD_DESCRIPTION</t>
  </si>
  <si>
    <t>PACK_TYPE_USE</t>
  </si>
  <si>
    <t>PACKAGE_SIZE</t>
  </si>
  <si>
    <t>PACKAGE_SIZE_UOM</t>
  </si>
  <si>
    <t>PCH_BAR_CODE_TYPE</t>
  </si>
  <si>
    <t>POUCH_SIZE</t>
  </si>
  <si>
    <t>POUCH_SIZE_UOM</t>
  </si>
  <si>
    <t>PRELIMINARY_FLAG</t>
  </si>
  <si>
    <t>SUB_TYPE</t>
  </si>
  <si>
    <t>SUB_BRAND</t>
  </si>
  <si>
    <t>SUB_FOOD_FORM</t>
  </si>
  <si>
    <t>TYPE</t>
  </si>
  <si>
    <t>FLAVOR</t>
  </si>
  <si>
    <t>FOOD_FORM</t>
  </si>
  <si>
    <t>MFG_COMPANY</t>
  </si>
  <si>
    <t>PACK_SIZE</t>
  </si>
  <si>
    <t>DISTRIBUTION_METHOD</t>
  </si>
  <si>
    <t>FG_Characteristic_Log</t>
  </si>
  <si>
    <t>PACKAGING_PROFILE</t>
  </si>
  <si>
    <t>Re-Executed Non-Finished Goods Characteristics Script</t>
  </si>
  <si>
    <t>ALT_CATEGORY</t>
  </si>
  <si>
    <t>ALT_MARKET_SEG</t>
  </si>
  <si>
    <t>ALT_SUB_CATEGORY</t>
  </si>
  <si>
    <t>BUSINESS_UNIT_PROMO</t>
  </si>
  <si>
    <t>CLAMP_PRESSURE</t>
  </si>
  <si>
    <t>CONV_CASE_CODE</t>
  </si>
  <si>
    <t>CONV_DATE</t>
  </si>
  <si>
    <t>FIRST_SHIP_DATE</t>
  </si>
  <si>
    <t>KSC_FIELD_CATEGORY</t>
  </si>
  <si>
    <t>LIKE_ITEM</t>
  </si>
  <si>
    <t>LONG_DESCRIPTION</t>
  </si>
  <si>
    <t>BASE_MATERIAL_NUMBER</t>
  </si>
  <si>
    <t>OTG_TYPE</t>
  </si>
  <si>
    <t>PALLET_IND</t>
  </si>
  <si>
    <t>PERCENT_BASE_ITEM</t>
  </si>
  <si>
    <t>PERCENT_MARGIN</t>
  </si>
  <si>
    <t>PLATFORM_TYPE</t>
  </si>
  <si>
    <t>PROMOTED_PRICE</t>
  </si>
  <si>
    <t>REMARKETING_DATE</t>
  </si>
  <si>
    <t>ROYALTY_LICENSER</t>
  </si>
  <si>
    <t>ROYALTY_PRODUCT_TYPE</t>
  </si>
  <si>
    <t>SINGLE_SERVE</t>
  </si>
  <si>
    <t>SKUTYPE</t>
  </si>
  <si>
    <t>SMARTOPS_SUPPLYCHAIN</t>
  </si>
  <si>
    <t>SNP_Relevant</t>
  </si>
  <si>
    <t>SRP</t>
  </si>
  <si>
    <t>VARIANT</t>
  </si>
  <si>
    <t>Manyclass_LogField</t>
  </si>
  <si>
    <t>Material Create OK (button)</t>
  </si>
  <si>
    <t>Requestor Update Return Comments</t>
  </si>
  <si>
    <t>Category Finance Return Comments</t>
  </si>
  <si>
    <t>Nutrition Labeling Return Comments</t>
  </si>
  <si>
    <t>LIM Update Return Comments</t>
  </si>
  <si>
    <t>Packagin Tech</t>
  </si>
  <si>
    <t>Packaging Tech Return Comments</t>
  </si>
  <si>
    <t>Retrive Plant List (button)</t>
  </si>
  <si>
    <t>Retrieve ZMMU_PLANT Data (button)</t>
  </si>
  <si>
    <t>Plant Extension Log</t>
  </si>
  <si>
    <t>Load Plant Extension Data (button)</t>
  </si>
  <si>
    <t>Create Plant Extension (button)</t>
  </si>
  <si>
    <t>DRY Pricing Conditions</t>
  </si>
  <si>
    <t>VK11_MF_Regular_1001_04_21_22_23</t>
  </si>
  <si>
    <t>VK11_MF_Regular_1001_27_28</t>
  </si>
  <si>
    <t>VK11_MF_Regular_ZBAS</t>
  </si>
  <si>
    <t>FROZEN Pricing Conditions</t>
  </si>
  <si>
    <t>VK11_FF_Bracket_Pricing</t>
  </si>
  <si>
    <t>VK11_FF_ZBAS</t>
  </si>
  <si>
    <t>CANADA Pricing Conditions</t>
  </si>
  <si>
    <t>VK11_Canada_1002_01_14</t>
  </si>
  <si>
    <t>VK11_Canada_LTL_1002_14</t>
  </si>
  <si>
    <t>VK11_Canada_OOH</t>
  </si>
  <si>
    <t>VK11_Canada_ZBAS</t>
  </si>
  <si>
    <t>PRINGLES Pricing Conditions</t>
  </si>
  <si>
    <t>VK11_PRG_ZBAS</t>
  </si>
  <si>
    <t>VK11_PRG_ZBCS_1001_27_28</t>
  </si>
  <si>
    <t>VK11_PRG_ZBCA_CustGrp5</t>
  </si>
  <si>
    <t>VK11_PRG_ZPRG_CustGrp5</t>
  </si>
  <si>
    <t>VK11_PRG_ZBCS_Military</t>
  </si>
  <si>
    <t>RX ZBAS PRICING</t>
  </si>
  <si>
    <t>RX Canada Pricing Conditions</t>
  </si>
  <si>
    <t>DISPLAY PRICING</t>
  </si>
  <si>
    <t>not functional at this time</t>
  </si>
  <si>
    <t>CS01-BOM_LogField</t>
  </si>
  <si>
    <t>Create BOM (button)</t>
  </si>
  <si>
    <t>CS07 Log</t>
  </si>
  <si>
    <t>Create BOM Plant Assignments (button)</t>
  </si>
  <si>
    <t>Will a full case of this product be sold Direct to Consumer?</t>
  </si>
  <si>
    <t>12 questions</t>
  </si>
  <si>
    <t>Did you submit DTC Form?</t>
  </si>
  <si>
    <t>Product Sub Types - found in NIFKEY doc</t>
  </si>
  <si>
    <t>CA DISPLAY, FULL MOD</t>
  </si>
  <si>
    <t>In Evolve NIF download, no Canada Displays appear</t>
  </si>
  <si>
    <t>CA DISPLAY, HALF MOD</t>
  </si>
  <si>
    <t>CA DISPLAY, SHIPPER</t>
  </si>
  <si>
    <t>DISPLAY, RAINBOW MOD</t>
  </si>
  <si>
    <t>Not sure if this one is used in the NIF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</si>
</sst>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b/>
      <sz val="11"/>
      <name val="Aptos Narrow"/>
      <family val="2"/>
      <scheme val="minor"/>
    </font>
    <font>
      <sz val="9"/>
      <color indexed="81"/>
      <name val="Tahoma"/>
      <family val="2"/>
    </font>
    <font>
      <b/>
      <sz val="9"/>
      <color indexed="81"/>
      <name val="Tahoma"/>
      <family val="2"/>
    </font>
    <font>
      <sz val="11"/>
      <color indexed="8"/>
      <name val="Aptos Narrow"/>
      <family val="2"/>
      <scheme val="minor"/>
    </font>
    <font>
      <sz val="8"/>
      <color theme="1"/>
      <name val="Aptos Narrow"/>
      <family val="2"/>
      <scheme val="minor"/>
    </font>
    <font>
      <b/>
      <sz val="10"/>
      <color theme="1"/>
      <name val="Aptos Narrow"/>
      <family val="2"/>
      <scheme val="minor"/>
    </font>
    <font>
      <sz val="8"/>
      <name val="Aptos Narrow"/>
      <family val="2"/>
      <scheme val="minor"/>
    </font>
    <font>
      <sz val="11"/>
      <name val="Aptos Narrow"/>
      <family val="2"/>
      <scheme val="minor"/>
    </font>
    <font>
      <sz val="11"/>
      <color rgb="FF006100"/>
      <name val="Aptos Narrow"/>
      <family val="2"/>
      <scheme val="minor"/>
    </font>
    <font>
      <sz val="11"/>
      <color theme="1"/>
      <name val="Aptos Narrow"/>
      <family val="2"/>
      <scheme val="minor"/>
    </font>
    <font>
      <sz val="10"/>
      <color theme="1"/>
      <name val="Aptos Narrow"/>
      <family val="2"/>
      <scheme val="minor"/>
    </font>
    <font>
      <sz val="11"/>
      <color theme="1"/>
      <name val="Calibri"/>
      <family val="2"/>
    </font>
    <font>
      <sz val="12"/>
      <color theme="1"/>
      <name val="Aptos"/>
      <family val="2"/>
    </font>
    <font>
      <u/>
      <sz val="11"/>
      <color theme="10"/>
      <name val="Aptos Narrow"/>
      <family val="2"/>
      <scheme val="minor"/>
    </font>
    <font>
      <b/>
      <sz val="10"/>
      <color rgb="FFFF0000"/>
      <name val="Aptos Narrow"/>
      <family val="2"/>
      <scheme val="minor"/>
    </font>
    <font>
      <b/>
      <sz val="10"/>
      <color rgb="FFFF00FF"/>
      <name val="Arial Nova"/>
      <family val="2"/>
    </font>
    <font>
      <b/>
      <sz val="10"/>
      <color rgb="FF000000"/>
      <name val="Arial Nova"/>
      <family val="2"/>
    </font>
    <font>
      <sz val="11"/>
      <color theme="1"/>
      <name val="Aptos"/>
      <family val="2"/>
    </font>
    <font>
      <sz val="7"/>
      <color theme="1"/>
      <name val="Times New Roman"/>
      <family val="1"/>
    </font>
    <font>
      <b/>
      <sz val="11"/>
      <color theme="1"/>
      <name val="Calibri"/>
      <family val="2"/>
    </font>
    <font>
      <sz val="11"/>
      <color theme="1"/>
      <name val="Courier New"/>
      <family val="3"/>
    </font>
    <font>
      <sz val="10"/>
      <color theme="1"/>
      <name val="Courier New"/>
      <family val="3"/>
    </font>
    <font>
      <sz val="10"/>
      <color theme="1"/>
      <name val="Wingdings"/>
      <charset val="2"/>
    </font>
    <font>
      <sz val="8"/>
      <color theme="1"/>
      <name val="Calibri"/>
      <family val="2"/>
    </font>
    <font>
      <sz val="10"/>
      <color theme="1"/>
      <name val="Arial Nova"/>
      <family val="2"/>
    </font>
    <font>
      <sz val="10"/>
      <name val="Arial Nova"/>
      <family val="2"/>
    </font>
    <font>
      <strike/>
      <sz val="10"/>
      <color theme="1"/>
      <name val="Arial Nova"/>
      <family val="2"/>
    </font>
    <font>
      <strike/>
      <sz val="11"/>
      <color theme="1"/>
      <name val="Aptos Narrow"/>
      <family val="2"/>
      <scheme val="minor"/>
    </font>
    <font>
      <sz val="10"/>
      <color rgb="FFFF0000"/>
      <name val="Arial Nova"/>
      <family val="2"/>
    </font>
    <font>
      <b/>
      <sz val="12"/>
      <color theme="1"/>
      <name val="Aptos"/>
      <family val="2"/>
    </font>
    <font>
      <sz val="12"/>
      <color rgb="FF0070C0"/>
      <name val="Aptos"/>
      <family val="2"/>
    </font>
    <font>
      <i/>
      <sz val="12"/>
      <color theme="1"/>
      <name val="Aptos"/>
      <family val="2"/>
    </font>
    <font>
      <sz val="11"/>
      <color rgb="FF0070C0"/>
      <name val="Aptos Narrow"/>
      <family val="2"/>
      <scheme val="minor"/>
    </font>
    <font>
      <strike/>
      <sz val="11"/>
      <color theme="1"/>
      <name val="Calibri"/>
      <family val="2"/>
    </font>
    <font>
      <sz val="11"/>
      <color rgb="FFFF0000"/>
      <name val="Calibri"/>
      <family val="2"/>
    </font>
    <font>
      <sz val="11"/>
      <color rgb="FFFF0000"/>
      <name val="Aptos"/>
      <family val="2"/>
    </font>
    <font>
      <b/>
      <sz val="11"/>
      <color rgb="FFFF0000"/>
      <name val="Calibri"/>
      <family val="2"/>
    </font>
    <font>
      <strike/>
      <sz val="11"/>
      <color rgb="FFFF0000"/>
      <name val="Calibri"/>
      <family val="2"/>
    </font>
    <font>
      <b/>
      <i/>
      <sz val="11"/>
      <color theme="1"/>
      <name val="Aptos Narrow"/>
      <family val="2"/>
      <scheme val="minor"/>
    </font>
    <font>
      <b/>
      <i/>
      <sz val="11"/>
      <color theme="1"/>
      <name val="Calibri"/>
      <family val="2"/>
    </font>
    <font>
      <b/>
      <sz val="10"/>
      <color rgb="FFFF0000"/>
      <name val="Arial Nova"/>
      <family val="2"/>
    </font>
    <font>
      <b/>
      <sz val="10"/>
      <color theme="1"/>
      <name val="Arial Nova"/>
      <family val="2"/>
    </font>
    <font>
      <sz val="10"/>
      <color theme="1"/>
      <name val="Arial Nova"/>
      <family val="2"/>
    </font>
    <font>
      <sz val="10"/>
      <color rgb="FF000000"/>
      <name val="Arial Nova"/>
      <family val="2"/>
    </font>
    <font>
      <sz val="11"/>
      <color theme="1"/>
      <name val="Arial Nova"/>
      <family val="2"/>
    </font>
    <font>
      <i/>
      <sz val="10"/>
      <color rgb="FF000000"/>
      <name val="Arial Nova"/>
      <family val="2"/>
    </font>
    <font>
      <sz val="11"/>
      <color rgb="FF000000"/>
      <name val="Arial Nova"/>
      <family val="2"/>
    </font>
    <font>
      <strike/>
      <sz val="10"/>
      <color theme="1"/>
      <name val="Arial Nova"/>
      <family val="2"/>
    </font>
    <font>
      <strike/>
      <sz val="10"/>
      <color rgb="FF000000"/>
      <name val="Arial Nova"/>
      <family val="2"/>
    </font>
    <font>
      <sz val="11"/>
      <color rgb="FF000000"/>
      <name val="Aptos"/>
      <family val="2"/>
    </font>
    <font>
      <sz val="11"/>
      <color rgb="FF000000"/>
      <name val="Calibri"/>
      <family val="2"/>
    </font>
    <font>
      <b/>
      <sz val="11"/>
      <color rgb="FF000000"/>
      <name val="Calibri"/>
      <family val="2"/>
    </font>
    <font>
      <u/>
      <sz val="11"/>
      <color rgb="FF000000"/>
      <name val="Calibri"/>
      <family val="2"/>
    </font>
    <font>
      <b/>
      <u/>
      <sz val="11"/>
      <color theme="1"/>
      <name val="Aptos Narrow"/>
      <family val="2"/>
      <scheme val="minor"/>
    </font>
    <font>
      <sz val="9"/>
      <color indexed="81"/>
      <name val="Tahoma"/>
      <charset val="1"/>
    </font>
    <font>
      <b/>
      <sz val="9"/>
      <color indexed="81"/>
      <name val="Tahoma"/>
      <charset val="1"/>
    </font>
  </fonts>
  <fills count="20">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theme="6" tint="0.59999389629810485"/>
        <bgColor indexed="64"/>
      </patternFill>
    </fill>
    <fill>
      <patternFill patternType="solid">
        <fgColor rgb="FFC6EFCE"/>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CCFF"/>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0" tint="-0.249977111117893"/>
        <bgColor indexed="64"/>
      </patternFill>
    </fill>
  </fills>
  <borders count="11">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6">
    <xf numFmtId="0" fontId="0" fillId="0" borderId="0"/>
    <xf numFmtId="0" fontId="12" fillId="11" borderId="0" applyNumberFormat="0" applyBorder="0" applyAlignment="0" applyProtection="0"/>
    <xf numFmtId="0" fontId="13" fillId="5" borderId="0">
      <alignment wrapText="1"/>
      <protection locked="0"/>
    </xf>
    <xf numFmtId="0" fontId="13" fillId="8" borderId="0">
      <alignment wrapText="1"/>
      <protection locked="0"/>
    </xf>
    <xf numFmtId="0" fontId="13" fillId="0" borderId="0">
      <alignment wrapText="1"/>
      <protection locked="0"/>
    </xf>
    <xf numFmtId="0" fontId="17" fillId="0" borderId="0" applyNumberFormat="0" applyFill="0" applyBorder="0" applyAlignment="0" applyProtection="0"/>
  </cellStyleXfs>
  <cellXfs count="222">
    <xf numFmtId="0" fontId="0" fillId="0" borderId="0" xfId="0"/>
    <xf numFmtId="0" fontId="2" fillId="0" borderId="0" xfId="0" applyFont="1"/>
    <xf numFmtId="0" fontId="1" fillId="0" borderId="0" xfId="0" applyFont="1"/>
    <xf numFmtId="0" fontId="0" fillId="2" borderId="0" xfId="0" applyFill="1"/>
    <xf numFmtId="0" fontId="3" fillId="0" borderId="0" xfId="0" applyFont="1"/>
    <xf numFmtId="0" fontId="4" fillId="0" borderId="0" xfId="0" applyFont="1"/>
    <xf numFmtId="0" fontId="3" fillId="0" borderId="1" xfId="0" applyFont="1" applyBorder="1"/>
    <xf numFmtId="0" fontId="0" fillId="3" borderId="0" xfId="0" applyFill="1"/>
    <xf numFmtId="0" fontId="2" fillId="4" borderId="0" xfId="0" applyFont="1" applyFill="1"/>
    <xf numFmtId="0" fontId="2" fillId="0" borderId="1" xfId="0" applyFont="1" applyBorder="1"/>
    <xf numFmtId="0" fontId="7" fillId="0" borderId="0" xfId="0" applyFont="1"/>
    <xf numFmtId="0" fontId="0" fillId="0" borderId="0" xfId="0" applyAlignment="1">
      <alignment wrapText="1"/>
    </xf>
    <xf numFmtId="0" fontId="2" fillId="0" borderId="0" xfId="0" applyFont="1" applyAlignment="1">
      <alignment wrapText="1"/>
    </xf>
    <xf numFmtId="0" fontId="0" fillId="0" borderId="0" xfId="0" applyAlignment="1">
      <alignment horizontal="right"/>
    </xf>
    <xf numFmtId="0" fontId="0" fillId="0" borderId="0" xfId="0" applyAlignment="1">
      <alignment horizontal="right" vertical="top" wrapText="1"/>
    </xf>
    <xf numFmtId="0" fontId="0" fillId="6" borderId="0" xfId="0" applyFill="1"/>
    <xf numFmtId="0" fontId="0" fillId="7" borderId="0" xfId="0" applyFill="1" applyAlignment="1">
      <alignment vertical="top" wrapText="1"/>
    </xf>
    <xf numFmtId="0" fontId="0" fillId="0" borderId="0" xfId="0" pivotButton="1"/>
    <xf numFmtId="0" fontId="2" fillId="7" borderId="0" xfId="0" applyFont="1" applyFill="1"/>
    <xf numFmtId="0" fontId="8" fillId="0" borderId="0" xfId="0" applyFont="1"/>
    <xf numFmtId="0" fontId="8" fillId="0" borderId="0" xfId="0" applyFont="1" applyAlignment="1">
      <alignment wrapText="1"/>
    </xf>
    <xf numFmtId="0" fontId="0" fillId="8" borderId="0" xfId="0" applyFill="1"/>
    <xf numFmtId="0" fontId="8" fillId="8" borderId="0" xfId="0" applyFont="1" applyFill="1"/>
    <xf numFmtId="0" fontId="0" fillId="8" borderId="0" xfId="0" applyFill="1" applyAlignment="1">
      <alignment horizontal="right"/>
    </xf>
    <xf numFmtId="0" fontId="0" fillId="8" borderId="0" xfId="0" applyFill="1" applyAlignment="1">
      <alignment wrapText="1"/>
    </xf>
    <xf numFmtId="0" fontId="0" fillId="0" borderId="0" xfId="0" applyAlignment="1">
      <alignment vertical="top" wrapText="1"/>
    </xf>
    <xf numFmtId="0" fontId="10" fillId="0" borderId="0" xfId="0" applyFont="1"/>
    <xf numFmtId="0" fontId="0" fillId="5" borderId="0" xfId="0" applyFill="1"/>
    <xf numFmtId="49" fontId="0" fillId="0" borderId="0" xfId="0" quotePrefix="1" applyNumberFormat="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9" borderId="0" xfId="0" applyFill="1" applyAlignment="1">
      <alignment horizontal="center"/>
    </xf>
    <xf numFmtId="14" fontId="0" fillId="0" borderId="0" xfId="0" applyNumberFormat="1" applyAlignment="1">
      <alignment horizontal="center"/>
    </xf>
    <xf numFmtId="0" fontId="0" fillId="8" borderId="0" xfId="0" applyFill="1" applyAlignment="1">
      <alignment horizontal="center"/>
    </xf>
    <xf numFmtId="0" fontId="0" fillId="0" borderId="4" xfId="0" applyBorder="1" applyAlignment="1">
      <alignment horizontal="center"/>
    </xf>
    <xf numFmtId="0" fontId="0" fillId="0" borderId="7" xfId="0" applyBorder="1" applyAlignment="1">
      <alignment horizontal="center"/>
    </xf>
    <xf numFmtId="0" fontId="9" fillId="7" borderId="0" xfId="0" applyFont="1" applyFill="1" applyAlignment="1">
      <alignment horizontal="left" wrapText="1"/>
    </xf>
    <xf numFmtId="0" fontId="9" fillId="0" borderId="0" xfId="0" applyFont="1" applyAlignment="1">
      <alignment horizontal="left" wrapText="1"/>
    </xf>
    <xf numFmtId="0" fontId="2" fillId="0" borderId="0" xfId="0" applyFont="1" applyAlignment="1">
      <alignment horizontal="left"/>
    </xf>
    <xf numFmtId="0" fontId="2" fillId="7" borderId="0" xfId="0" applyFont="1" applyFill="1" applyAlignment="1">
      <alignment wrapText="1"/>
    </xf>
    <xf numFmtId="0" fontId="0" fillId="0" borderId="0" xfId="0" quotePrefix="1" applyAlignment="1">
      <alignment horizontal="right"/>
    </xf>
    <xf numFmtId="0" fontId="2" fillId="5" borderId="0" xfId="0" applyFont="1" applyFill="1"/>
    <xf numFmtId="0" fontId="0" fillId="0" borderId="0" xfId="0" applyProtection="1">
      <protection locked="0"/>
    </xf>
    <xf numFmtId="0" fontId="0" fillId="0" borderId="0" xfId="0" applyAlignment="1" applyProtection="1">
      <alignment horizontal="right"/>
      <protection locked="0"/>
    </xf>
    <xf numFmtId="0" fontId="0" fillId="0" borderId="0" xfId="0" applyAlignment="1" applyProtection="1">
      <alignment wrapText="1"/>
      <protection locked="0"/>
    </xf>
    <xf numFmtId="0" fontId="0" fillId="2" borderId="0" xfId="0" applyFill="1" applyProtection="1">
      <protection locked="0"/>
    </xf>
    <xf numFmtId="49" fontId="0" fillId="0" borderId="0" xfId="0" quotePrefix="1" applyNumberFormat="1" applyAlignment="1" applyProtection="1">
      <alignment horizontal="center"/>
      <protection locked="0"/>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4" xfId="0" applyBorder="1" applyAlignment="1" applyProtection="1">
      <alignment horizontal="center" wrapText="1"/>
      <protection locked="0"/>
    </xf>
    <xf numFmtId="0" fontId="0" fillId="0" borderId="0" xfId="0" applyAlignment="1" applyProtection="1">
      <alignment horizontal="center"/>
      <protection locked="0"/>
    </xf>
    <xf numFmtId="0" fontId="0" fillId="0" borderId="5" xfId="0" applyBorder="1" applyAlignment="1" applyProtection="1">
      <alignment horizontal="center"/>
      <protection locked="0"/>
    </xf>
    <xf numFmtId="0" fontId="0" fillId="0" borderId="6" xfId="0" applyBorder="1" applyAlignment="1" applyProtection="1">
      <alignment horizontal="center"/>
      <protection locked="0"/>
    </xf>
    <xf numFmtId="0" fontId="0" fillId="0" borderId="7" xfId="0" applyBorder="1" applyAlignment="1" applyProtection="1">
      <alignment horizontal="center" wrapText="1"/>
      <protection locked="0"/>
    </xf>
    <xf numFmtId="0" fontId="0" fillId="7" borderId="0" xfId="0" applyFill="1" applyAlignment="1" applyProtection="1">
      <alignment vertical="top" wrapText="1"/>
      <protection locked="0"/>
    </xf>
    <xf numFmtId="0" fontId="2" fillId="0" borderId="0" xfId="0" applyFont="1" applyAlignment="1" applyProtection="1">
      <alignment wrapText="1"/>
      <protection locked="0"/>
    </xf>
    <xf numFmtId="0" fontId="2" fillId="7" borderId="0" xfId="0" applyFont="1" applyFill="1" applyProtection="1">
      <protection locked="0"/>
    </xf>
    <xf numFmtId="0" fontId="2" fillId="7" borderId="0" xfId="0" applyFont="1" applyFill="1" applyAlignment="1" applyProtection="1">
      <alignment wrapText="1"/>
      <protection locked="0"/>
    </xf>
    <xf numFmtId="0" fontId="2" fillId="0" borderId="0" xfId="0" applyFont="1" applyProtection="1">
      <protection locked="0"/>
    </xf>
    <xf numFmtId="0" fontId="9" fillId="7" borderId="0" xfId="0" applyFont="1" applyFill="1" applyAlignment="1" applyProtection="1">
      <alignment horizontal="left" wrapText="1"/>
      <protection locked="0"/>
    </xf>
    <xf numFmtId="0" fontId="9" fillId="0" borderId="0" xfId="0" applyFont="1" applyAlignment="1" applyProtection="1">
      <alignment horizontal="left" wrapText="1"/>
      <protection locked="0"/>
    </xf>
    <xf numFmtId="0" fontId="2" fillId="0" borderId="0" xfId="0" applyFont="1" applyAlignment="1" applyProtection="1">
      <alignment horizontal="left"/>
      <protection locked="0"/>
    </xf>
    <xf numFmtId="0" fontId="0" fillId="9" borderId="0" xfId="0" applyFill="1" applyAlignment="1" applyProtection="1">
      <alignment horizontal="center"/>
      <protection locked="0"/>
    </xf>
    <xf numFmtId="14" fontId="0" fillId="0" borderId="0" xfId="0" applyNumberFormat="1" applyAlignment="1" applyProtection="1">
      <alignment horizontal="center"/>
      <protection locked="0"/>
    </xf>
    <xf numFmtId="14" fontId="0" fillId="0" borderId="0" xfId="0" applyNumberFormat="1" applyProtection="1">
      <protection locked="0"/>
    </xf>
    <xf numFmtId="0" fontId="0" fillId="5" borderId="0" xfId="0" applyFill="1" applyAlignment="1" applyProtection="1">
      <alignment wrapText="1"/>
      <protection locked="0"/>
    </xf>
    <xf numFmtId="0" fontId="8" fillId="0" borderId="0" xfId="0" applyFont="1" applyAlignment="1" applyProtection="1">
      <alignment wrapText="1"/>
      <protection locked="0"/>
    </xf>
    <xf numFmtId="0" fontId="0" fillId="0" borderId="0" xfId="0" applyAlignment="1" applyProtection="1">
      <alignment horizontal="right" wrapText="1"/>
      <protection locked="0"/>
    </xf>
    <xf numFmtId="0" fontId="0" fillId="6" borderId="0" xfId="0" applyFill="1" applyProtection="1">
      <protection locked="0"/>
    </xf>
    <xf numFmtId="0" fontId="10" fillId="0" borderId="0" xfId="0" applyFont="1" applyAlignment="1" applyProtection="1">
      <alignment wrapText="1"/>
      <protection locked="0"/>
    </xf>
    <xf numFmtId="0" fontId="0" fillId="7" borderId="0" xfId="0" applyFill="1"/>
    <xf numFmtId="0" fontId="2" fillId="5" borderId="0" xfId="0" applyFont="1" applyFill="1" applyAlignment="1" applyProtection="1">
      <alignment wrapText="1"/>
      <protection locked="0"/>
    </xf>
    <xf numFmtId="0" fontId="0" fillId="9" borderId="0" xfId="0" applyFill="1" applyProtection="1">
      <protection locked="0"/>
    </xf>
    <xf numFmtId="0" fontId="0" fillId="2" borderId="0" xfId="0" applyFill="1" applyAlignment="1" applyProtection="1">
      <alignment wrapText="1"/>
      <protection locked="0"/>
    </xf>
    <xf numFmtId="0" fontId="0" fillId="8" borderId="0" xfId="0" applyFill="1" applyAlignment="1" applyProtection="1">
      <alignment horizontal="center"/>
      <protection locked="0"/>
    </xf>
    <xf numFmtId="0" fontId="0" fillId="8" borderId="0" xfId="0" applyFill="1" applyAlignment="1" applyProtection="1">
      <alignment wrapText="1"/>
      <protection locked="0"/>
    </xf>
    <xf numFmtId="0" fontId="0" fillId="8" borderId="0" xfId="0" applyFill="1" applyProtection="1">
      <protection locked="0"/>
    </xf>
    <xf numFmtId="0" fontId="8" fillId="8" borderId="0" xfId="0" applyFont="1" applyFill="1" applyAlignment="1" applyProtection="1">
      <alignment wrapText="1"/>
      <protection locked="0"/>
    </xf>
    <xf numFmtId="14" fontId="0" fillId="0" borderId="0" xfId="0" applyNumberFormat="1"/>
    <xf numFmtId="0" fontId="0" fillId="0" borderId="0" xfId="0" applyAlignment="1" applyProtection="1">
      <alignment horizontal="center" wrapText="1"/>
      <protection locked="0"/>
    </xf>
    <xf numFmtId="0" fontId="2" fillId="0" borderId="0" xfId="0" applyFont="1" applyAlignment="1">
      <alignment horizontal="center"/>
    </xf>
    <xf numFmtId="0" fontId="0" fillId="0" borderId="9" xfId="0" applyBorder="1"/>
    <xf numFmtId="14" fontId="0" fillId="0" borderId="9" xfId="0" applyNumberFormat="1" applyBorder="1"/>
    <xf numFmtId="0" fontId="2" fillId="0" borderId="10" xfId="0" applyFont="1" applyBorder="1"/>
    <xf numFmtId="0" fontId="0" fillId="10" borderId="0" xfId="0" applyFill="1"/>
    <xf numFmtId="14" fontId="0" fillId="9" borderId="0" xfId="0" applyNumberFormat="1" applyFill="1" applyProtection="1">
      <protection locked="0"/>
    </xf>
    <xf numFmtId="14" fontId="12" fillId="11" borderId="0" xfId="1" applyNumberFormat="1"/>
    <xf numFmtId="0" fontId="2" fillId="2" borderId="0" xfId="0" applyFont="1" applyFill="1"/>
    <xf numFmtId="0" fontId="0" fillId="0" borderId="0" xfId="0" pivotButton="1" applyAlignment="1">
      <alignment wrapText="1"/>
    </xf>
    <xf numFmtId="0" fontId="0" fillId="6" borderId="0" xfId="0" applyFill="1" applyAlignment="1">
      <alignment wrapText="1"/>
    </xf>
    <xf numFmtId="0" fontId="2" fillId="12" borderId="0" xfId="0" applyFont="1" applyFill="1"/>
    <xf numFmtId="0" fontId="0" fillId="12" borderId="0" xfId="0" applyFill="1"/>
    <xf numFmtId="14" fontId="0" fillId="8" borderId="0" xfId="0" applyNumberFormat="1" applyFill="1" applyProtection="1">
      <protection locked="0"/>
    </xf>
    <xf numFmtId="0" fontId="11" fillId="0" borderId="0" xfId="0" applyFont="1" applyProtection="1">
      <protection locked="0"/>
    </xf>
    <xf numFmtId="0" fontId="0" fillId="0" borderId="8" xfId="0" applyBorder="1" applyAlignment="1" applyProtection="1">
      <alignment wrapText="1"/>
      <protection locked="0"/>
    </xf>
    <xf numFmtId="0" fontId="0" fillId="2" borderId="0" xfId="0" applyFill="1" applyAlignment="1" applyProtection="1">
      <alignment horizontal="center"/>
      <protection locked="0"/>
    </xf>
    <xf numFmtId="0" fontId="0" fillId="13" borderId="0" xfId="0" applyFill="1" applyAlignment="1" applyProtection="1">
      <alignment horizontal="center"/>
      <protection locked="0"/>
    </xf>
    <xf numFmtId="0" fontId="0" fillId="13" borderId="0" xfId="0" applyFill="1" applyAlignment="1" applyProtection="1">
      <alignment wrapText="1"/>
      <protection locked="0"/>
    </xf>
    <xf numFmtId="0" fontId="8" fillId="13" borderId="0" xfId="0" applyFont="1" applyFill="1" applyAlignment="1" applyProtection="1">
      <alignment wrapText="1"/>
      <protection locked="0"/>
    </xf>
    <xf numFmtId="0" fontId="13" fillId="0" borderId="0" xfId="4">
      <alignment wrapText="1"/>
      <protection locked="0"/>
    </xf>
    <xf numFmtId="0" fontId="1" fillId="0" borderId="0" xfId="0" applyFont="1" applyAlignment="1" applyProtection="1">
      <alignment wrapText="1"/>
      <protection locked="0"/>
    </xf>
    <xf numFmtId="0" fontId="17" fillId="0" borderId="0" xfId="5" applyAlignment="1">
      <alignment vertical="center"/>
    </xf>
    <xf numFmtId="0" fontId="16" fillId="0" borderId="0" xfId="0" applyFont="1" applyAlignment="1">
      <alignment vertical="center"/>
    </xf>
    <xf numFmtId="0" fontId="14" fillId="8" borderId="0" xfId="0" applyFont="1" applyFill="1" applyAlignment="1" applyProtection="1">
      <alignment wrapText="1"/>
      <protection locked="0"/>
    </xf>
    <xf numFmtId="0" fontId="0" fillId="14" borderId="0" xfId="0" applyFill="1" applyProtection="1">
      <protection locked="0"/>
    </xf>
    <xf numFmtId="0" fontId="2" fillId="8" borderId="0" xfId="0" applyFont="1" applyFill="1" applyAlignment="1" applyProtection="1">
      <alignment wrapText="1"/>
      <protection locked="0"/>
    </xf>
    <xf numFmtId="0" fontId="13" fillId="8" borderId="0" xfId="3">
      <alignment wrapText="1"/>
      <protection locked="0"/>
    </xf>
    <xf numFmtId="0" fontId="2" fillId="15" borderId="0" xfId="0" applyFont="1" applyFill="1"/>
    <xf numFmtId="0" fontId="0" fillId="15" borderId="0" xfId="0" applyFill="1"/>
    <xf numFmtId="0" fontId="20" fillId="0" borderId="0" xfId="0" applyFont="1" applyAlignment="1">
      <alignment wrapText="1"/>
    </xf>
    <xf numFmtId="0" fontId="25" fillId="0" borderId="0" xfId="0" applyFont="1" applyAlignment="1">
      <alignment horizontal="left" vertical="center" indent="15"/>
    </xf>
    <xf numFmtId="0" fontId="4" fillId="4" borderId="0" xfId="0" applyFont="1" applyFill="1" applyAlignment="1" applyProtection="1">
      <alignment wrapText="1"/>
      <protection locked="0"/>
    </xf>
    <xf numFmtId="0" fontId="21" fillId="0" borderId="0" xfId="0" applyFont="1" applyAlignment="1">
      <alignment horizontal="left" vertical="center" wrapText="1"/>
    </xf>
    <xf numFmtId="0" fontId="2" fillId="4" borderId="0" xfId="0" applyFont="1" applyFill="1" applyAlignment="1">
      <alignment wrapText="1"/>
    </xf>
    <xf numFmtId="0" fontId="0" fillId="9" borderId="0" xfId="0" applyFill="1" applyAlignment="1" applyProtection="1">
      <alignment wrapText="1"/>
      <protection locked="0"/>
    </xf>
    <xf numFmtId="0" fontId="27" fillId="8" borderId="0" xfId="0" applyFont="1" applyFill="1" applyAlignment="1">
      <alignment wrapText="1"/>
    </xf>
    <xf numFmtId="0" fontId="28" fillId="0" borderId="0" xfId="0" applyFont="1"/>
    <xf numFmtId="0" fontId="30" fillId="0" borderId="0" xfId="0" applyFont="1"/>
    <xf numFmtId="0" fontId="0" fillId="9" borderId="0" xfId="0" applyFill="1" applyAlignment="1">
      <alignment wrapText="1"/>
    </xf>
    <xf numFmtId="0" fontId="31" fillId="6" borderId="0" xfId="0" applyFont="1" applyFill="1" applyProtection="1">
      <protection locked="0"/>
    </xf>
    <xf numFmtId="0" fontId="32" fillId="0" borderId="0" xfId="0" applyFont="1" applyAlignment="1">
      <alignment wrapText="1"/>
    </xf>
    <xf numFmtId="0" fontId="13" fillId="5" borderId="0" xfId="2">
      <alignment wrapText="1"/>
      <protection locked="0"/>
    </xf>
    <xf numFmtId="0" fontId="21" fillId="0" borderId="0" xfId="0" applyFont="1" applyAlignment="1">
      <alignment horizontal="left" vertical="center" indent="3"/>
    </xf>
    <xf numFmtId="0" fontId="24" fillId="0" borderId="0" xfId="0" applyFont="1" applyAlignment="1">
      <alignment horizontal="left" vertical="center" indent="10"/>
    </xf>
    <xf numFmtId="0" fontId="25" fillId="0" borderId="0" xfId="0" applyFont="1" applyAlignment="1">
      <alignment horizontal="left" vertical="center" indent="10"/>
    </xf>
    <xf numFmtId="0" fontId="15" fillId="0" borderId="0" xfId="0" applyFont="1" applyAlignment="1">
      <alignment vertical="center"/>
    </xf>
    <xf numFmtId="0" fontId="26" fillId="0" borderId="0" xfId="0" applyFont="1" applyAlignment="1">
      <alignment horizontal="left" vertical="center" indent="19"/>
    </xf>
    <xf numFmtId="0" fontId="26" fillId="0" borderId="0" xfId="0" applyFont="1" applyAlignment="1">
      <alignment horizontal="left" vertical="center" indent="23"/>
    </xf>
    <xf numFmtId="0" fontId="26" fillId="0" borderId="0" xfId="0" applyFont="1" applyAlignment="1">
      <alignment horizontal="left" vertical="center" indent="27"/>
    </xf>
    <xf numFmtId="0" fontId="26" fillId="0" borderId="0" xfId="0" applyFont="1" applyAlignment="1">
      <alignment horizontal="left" vertical="center" indent="31"/>
    </xf>
    <xf numFmtId="0" fontId="26" fillId="0" borderId="0" xfId="0" applyFont="1" applyAlignment="1">
      <alignment horizontal="left" vertical="center" indent="35"/>
    </xf>
    <xf numFmtId="0" fontId="34" fillId="0" borderId="0" xfId="0" applyFont="1" applyAlignment="1">
      <alignment vertical="center"/>
    </xf>
    <xf numFmtId="0" fontId="16" fillId="0" borderId="0" xfId="0" applyFont="1" applyAlignment="1">
      <alignment vertical="center" wrapText="1"/>
    </xf>
    <xf numFmtId="0" fontId="33" fillId="0" borderId="0" xfId="0" applyFont="1" applyAlignment="1">
      <alignment vertical="center" wrapText="1"/>
    </xf>
    <xf numFmtId="0" fontId="33" fillId="0" borderId="0" xfId="0" applyFont="1" applyAlignment="1">
      <alignment horizontal="left" vertical="center" wrapText="1"/>
    </xf>
    <xf numFmtId="0" fontId="17" fillId="0" borderId="0" xfId="5" applyAlignment="1">
      <alignment horizontal="left" vertical="center" wrapText="1"/>
    </xf>
    <xf numFmtId="0" fontId="0" fillId="0" borderId="0" xfId="0" applyAlignment="1">
      <alignment vertical="center" wrapText="1"/>
    </xf>
    <xf numFmtId="0" fontId="17" fillId="0" borderId="0" xfId="5" applyAlignment="1">
      <alignment vertical="center" wrapText="1"/>
    </xf>
    <xf numFmtId="0" fontId="36" fillId="0" borderId="0" xfId="0" applyFont="1" applyAlignment="1">
      <alignment wrapText="1"/>
    </xf>
    <xf numFmtId="0" fontId="36" fillId="0" borderId="0" xfId="0" applyFont="1" applyAlignment="1">
      <alignment vertical="center" wrapText="1"/>
    </xf>
    <xf numFmtId="0" fontId="29" fillId="13" borderId="0" xfId="0" applyFont="1" applyFill="1" applyAlignment="1">
      <alignment wrapText="1"/>
    </xf>
    <xf numFmtId="0" fontId="2" fillId="16" borderId="0" xfId="0" applyFont="1" applyFill="1" applyAlignment="1">
      <alignment wrapText="1"/>
    </xf>
    <xf numFmtId="0" fontId="0" fillId="13" borderId="0" xfId="0" applyFill="1" applyAlignment="1">
      <alignment wrapText="1"/>
    </xf>
    <xf numFmtId="0" fontId="15" fillId="13" borderId="0" xfId="0" applyFont="1" applyFill="1" applyAlignment="1">
      <alignment vertical="center"/>
    </xf>
    <xf numFmtId="0" fontId="15" fillId="5" borderId="0" xfId="0" applyFont="1" applyFill="1" applyAlignment="1">
      <alignment horizontal="left" vertical="center" wrapText="1"/>
    </xf>
    <xf numFmtId="0" fontId="15" fillId="0" borderId="0" xfId="0" applyFont="1" applyAlignment="1">
      <alignment horizontal="left" vertical="center" wrapText="1"/>
    </xf>
    <xf numFmtId="0" fontId="30" fillId="0" borderId="0" xfId="0" applyFont="1" applyAlignment="1" applyProtection="1">
      <alignment horizontal="center"/>
      <protection locked="0"/>
    </xf>
    <xf numFmtId="0" fontId="30" fillId="6" borderId="0" xfId="0" applyFont="1" applyFill="1" applyProtection="1">
      <protection locked="0"/>
    </xf>
    <xf numFmtId="0" fontId="30" fillId="8" borderId="0" xfId="0" applyFont="1" applyFill="1" applyProtection="1">
      <protection locked="0"/>
    </xf>
    <xf numFmtId="0" fontId="30" fillId="8" borderId="0" xfId="0" applyFont="1" applyFill="1" applyAlignment="1" applyProtection="1">
      <alignment wrapText="1"/>
      <protection locked="0"/>
    </xf>
    <xf numFmtId="0" fontId="30" fillId="0" borderId="0" xfId="0" applyFont="1" applyAlignment="1">
      <alignment wrapText="1"/>
    </xf>
    <xf numFmtId="0" fontId="30" fillId="0" borderId="0" xfId="0" applyFont="1" applyAlignment="1">
      <alignment vertical="top"/>
    </xf>
    <xf numFmtId="0" fontId="17" fillId="0" borderId="0" xfId="5"/>
    <xf numFmtId="0" fontId="0" fillId="0" borderId="0" xfId="0" quotePrefix="1"/>
    <xf numFmtId="0" fontId="2" fillId="0" borderId="0" xfId="0" applyFont="1" applyAlignment="1">
      <alignment vertical="center" wrapText="1"/>
    </xf>
    <xf numFmtId="0" fontId="2" fillId="0" borderId="0" xfId="0" applyFont="1" applyAlignment="1">
      <alignment vertical="center"/>
    </xf>
    <xf numFmtId="0" fontId="2" fillId="5" borderId="0" xfId="0" applyFont="1" applyFill="1" applyAlignment="1">
      <alignment wrapText="1"/>
    </xf>
    <xf numFmtId="0" fontId="0" fillId="17" borderId="0" xfId="0" applyFill="1"/>
    <xf numFmtId="0" fontId="26" fillId="0" borderId="0" xfId="0" applyFont="1" applyAlignment="1">
      <alignment horizontal="left" vertical="center" indent="7"/>
    </xf>
    <xf numFmtId="0" fontId="39" fillId="0" borderId="0" xfId="0" applyFont="1" applyAlignment="1">
      <alignment horizontal="left" vertical="center" indent="3"/>
    </xf>
    <xf numFmtId="0" fontId="38" fillId="0" borderId="0" xfId="0" applyFont="1" applyAlignment="1">
      <alignment horizontal="left" vertical="center" indent="3"/>
    </xf>
    <xf numFmtId="0" fontId="42" fillId="0" borderId="0" xfId="0" applyFont="1" applyAlignment="1">
      <alignment vertical="center"/>
    </xf>
    <xf numFmtId="0" fontId="45" fillId="0" borderId="0" xfId="0" applyFont="1"/>
    <xf numFmtId="0" fontId="46" fillId="0" borderId="0" xfId="0" applyFont="1"/>
    <xf numFmtId="0" fontId="47" fillId="0" borderId="7" xfId="0" applyFont="1" applyBorder="1"/>
    <xf numFmtId="0" fontId="47" fillId="0" borderId="0" xfId="0" applyFont="1" applyAlignment="1">
      <alignment wrapText="1"/>
    </xf>
    <xf numFmtId="0" fontId="47" fillId="0" borderId="0" xfId="0" applyFont="1"/>
    <xf numFmtId="0" fontId="47" fillId="0" borderId="0" xfId="0" applyFont="1" applyAlignment="1">
      <alignment vertical="center" wrapText="1"/>
    </xf>
    <xf numFmtId="0" fontId="47" fillId="0" borderId="0" xfId="0" applyFont="1" applyAlignment="1">
      <alignment horizontal="left" vertical="top" wrapText="1"/>
    </xf>
    <xf numFmtId="0" fontId="46" fillId="0" borderId="0" xfId="0" applyFont="1" applyAlignment="1">
      <alignment horizontal="center" vertical="top" wrapText="1"/>
    </xf>
    <xf numFmtId="0" fontId="47" fillId="0" borderId="0" xfId="0" applyFont="1" applyAlignment="1">
      <alignment vertical="top" wrapText="1"/>
    </xf>
    <xf numFmtId="0" fontId="48" fillId="0" borderId="0" xfId="0" applyFont="1" applyAlignment="1">
      <alignment wrapText="1"/>
    </xf>
    <xf numFmtId="0" fontId="48" fillId="0" borderId="0" xfId="0" applyFont="1"/>
    <xf numFmtId="0" fontId="46" fillId="0" borderId="0" xfId="0" applyFont="1" applyAlignment="1">
      <alignment vertical="top"/>
    </xf>
    <xf numFmtId="0" fontId="50" fillId="0" borderId="0" xfId="0" applyFont="1" applyAlignment="1">
      <alignment wrapText="1"/>
    </xf>
    <xf numFmtId="0" fontId="51" fillId="0" borderId="0" xfId="0" applyFont="1"/>
    <xf numFmtId="0" fontId="52" fillId="0" borderId="0" xfId="0" applyFont="1"/>
    <xf numFmtId="0" fontId="52" fillId="0" borderId="0" xfId="0" applyFont="1" applyAlignment="1">
      <alignment wrapText="1"/>
    </xf>
    <xf numFmtId="0" fontId="52" fillId="0" borderId="0" xfId="0" applyFont="1" applyAlignment="1">
      <alignment vertical="top"/>
    </xf>
    <xf numFmtId="0" fontId="44" fillId="0" borderId="0" xfId="0" applyFont="1" applyAlignment="1">
      <alignment vertical="top"/>
    </xf>
    <xf numFmtId="0" fontId="45" fillId="8" borderId="0" xfId="0" applyFont="1" applyFill="1" applyAlignment="1" applyProtection="1">
      <alignment horizontal="center" vertical="top"/>
      <protection locked="0"/>
    </xf>
    <xf numFmtId="0" fontId="45" fillId="0" borderId="0" xfId="0" applyFont="1" applyAlignment="1" applyProtection="1">
      <alignment vertical="top"/>
      <protection locked="0"/>
    </xf>
    <xf numFmtId="0" fontId="45" fillId="5" borderId="0" xfId="0" applyFont="1" applyFill="1" applyAlignment="1" applyProtection="1">
      <alignment vertical="top" wrapText="1"/>
      <protection locked="0"/>
    </xf>
    <xf numFmtId="0" fontId="45" fillId="5" borderId="0" xfId="0" applyFont="1" applyFill="1" applyAlignment="1" applyProtection="1">
      <alignment horizontal="center" vertical="top"/>
      <protection locked="0"/>
    </xf>
    <xf numFmtId="0" fontId="47" fillId="0" borderId="0" xfId="0" applyFont="1" applyAlignment="1">
      <alignment horizontal="center" vertical="top"/>
    </xf>
    <xf numFmtId="0" fontId="47" fillId="0" borderId="0" xfId="0" applyFont="1" applyAlignment="1">
      <alignment vertical="top"/>
    </xf>
    <xf numFmtId="0" fontId="52" fillId="0" borderId="0" xfId="0" applyFont="1" applyAlignment="1">
      <alignment horizontal="center" vertical="top"/>
    </xf>
    <xf numFmtId="0" fontId="52" fillId="0" borderId="0" xfId="0" applyFont="1" applyAlignment="1">
      <alignment vertical="top" wrapText="1"/>
    </xf>
    <xf numFmtId="0" fontId="54" fillId="5" borderId="0" xfId="0" applyFont="1" applyFill="1" applyAlignment="1">
      <alignment horizontal="left" vertical="center" wrapText="1"/>
    </xf>
    <xf numFmtId="0" fontId="54" fillId="0" borderId="0" xfId="0" applyFont="1" applyAlignment="1">
      <alignment horizontal="left" vertical="center" wrapText="1"/>
    </xf>
    <xf numFmtId="0" fontId="2" fillId="5" borderId="0" xfId="2" applyFont="1" applyAlignment="1">
      <protection locked="0"/>
    </xf>
    <xf numFmtId="0" fontId="57" fillId="7" borderId="0" xfId="0" applyFont="1" applyFill="1"/>
    <xf numFmtId="0" fontId="2" fillId="19" borderId="0" xfId="0" applyFont="1" applyFill="1"/>
    <xf numFmtId="0" fontId="2" fillId="6" borderId="0" xfId="0" applyFont="1" applyFill="1"/>
    <xf numFmtId="0" fontId="20" fillId="0" borderId="0" xfId="0" applyFont="1" applyAlignment="1">
      <alignment vertical="top"/>
    </xf>
    <xf numFmtId="0" fontId="20" fillId="0" borderId="0" xfId="0" applyFont="1"/>
    <xf numFmtId="0" fontId="28" fillId="0" borderId="0" xfId="0" applyFont="1" applyAlignment="1" applyProtection="1">
      <alignment horizontal="center" vertical="top"/>
      <protection locked="0"/>
    </xf>
    <xf numFmtId="0" fontId="28" fillId="6" borderId="0" xfId="0" applyFont="1" applyFill="1" applyAlignment="1" applyProtection="1">
      <alignment vertical="top"/>
      <protection locked="0"/>
    </xf>
    <xf numFmtId="0" fontId="28" fillId="0" borderId="0" xfId="0" applyFont="1" applyAlignment="1" applyProtection="1">
      <alignment vertical="top"/>
      <protection locked="0"/>
    </xf>
    <xf numFmtId="0" fontId="28" fillId="0" borderId="0" xfId="0" applyFont="1" applyAlignment="1" applyProtection="1">
      <alignment vertical="top" wrapText="1"/>
      <protection locked="0"/>
    </xf>
    <xf numFmtId="0" fontId="28" fillId="0" borderId="0" xfId="0" applyFont="1" applyAlignment="1">
      <alignment vertical="center" wrapText="1"/>
    </xf>
    <xf numFmtId="0" fontId="28" fillId="0" borderId="0" xfId="0" applyFont="1" applyAlignment="1">
      <alignment wrapText="1"/>
    </xf>
    <xf numFmtId="0" fontId="28" fillId="0" borderId="8" xfId="0" applyFont="1" applyBorder="1" applyAlignment="1">
      <alignment horizontal="left" vertical="center" wrapText="1"/>
    </xf>
    <xf numFmtId="0" fontId="28" fillId="0" borderId="0" xfId="0" applyFont="1" applyAlignment="1" applyProtection="1">
      <alignment horizontal="center" vertical="top" wrapText="1"/>
      <protection locked="0"/>
    </xf>
    <xf numFmtId="0" fontId="28" fillId="6" borderId="0" xfId="0" applyFont="1" applyFill="1" applyAlignment="1" applyProtection="1">
      <alignment horizontal="left" vertical="top" wrapText="1"/>
      <protection locked="0"/>
    </xf>
    <xf numFmtId="0" fontId="28" fillId="0" borderId="0" xfId="0" applyFont="1" applyAlignment="1" applyProtection="1">
      <alignment horizontal="left" vertical="top" wrapText="1"/>
      <protection locked="0"/>
    </xf>
    <xf numFmtId="0" fontId="28" fillId="0" borderId="0" xfId="0" applyFont="1" applyAlignment="1" applyProtection="1">
      <alignment horizontal="left" wrapText="1"/>
      <protection locked="0"/>
    </xf>
    <xf numFmtId="0" fontId="29" fillId="0" borderId="0" xfId="0" applyFont="1" applyAlignment="1" applyProtection="1">
      <alignment vertical="top" wrapText="1"/>
      <protection locked="0"/>
    </xf>
    <xf numFmtId="0" fontId="28" fillId="0" borderId="0" xfId="0" applyFont="1" applyAlignment="1">
      <alignment vertical="top" wrapText="1"/>
    </xf>
    <xf numFmtId="0" fontId="28" fillId="17" borderId="0" xfId="0" applyFont="1" applyFill="1" applyAlignment="1" applyProtection="1">
      <alignment vertical="top"/>
      <protection locked="0"/>
    </xf>
    <xf numFmtId="0" fontId="28" fillId="0" borderId="0" xfId="0" applyFont="1" applyAlignment="1">
      <alignment vertical="top"/>
    </xf>
    <xf numFmtId="0" fontId="28" fillId="18" borderId="0" xfId="0" applyFont="1" applyFill="1" applyAlignment="1" applyProtection="1">
      <alignment vertical="top"/>
      <protection locked="0"/>
    </xf>
    <xf numFmtId="0" fontId="32" fillId="0" borderId="0" xfId="0" applyFont="1"/>
    <xf numFmtId="0" fontId="30" fillId="0" borderId="0" xfId="0" applyFont="1" applyAlignment="1" applyProtection="1">
      <alignment horizontal="center" vertical="top"/>
      <protection locked="0"/>
    </xf>
    <xf numFmtId="0" fontId="30" fillId="6" borderId="0" xfId="0" applyFont="1" applyFill="1" applyAlignment="1" applyProtection="1">
      <alignment vertical="top"/>
      <protection locked="0"/>
    </xf>
    <xf numFmtId="0" fontId="30" fillId="0" borderId="0" xfId="0" applyFont="1" applyAlignment="1" applyProtection="1">
      <alignment vertical="top"/>
      <protection locked="0"/>
    </xf>
    <xf numFmtId="0" fontId="30" fillId="0" borderId="0" xfId="0" applyFont="1" applyAlignment="1" applyProtection="1">
      <alignment vertical="top" wrapText="1"/>
      <protection locked="0"/>
    </xf>
    <xf numFmtId="0" fontId="53" fillId="0" borderId="0" xfId="0" applyFont="1" applyAlignment="1">
      <alignment horizontal="left" vertical="center" wrapText="1"/>
    </xf>
    <xf numFmtId="0" fontId="47" fillId="0" borderId="0" xfId="0" applyFont="1" applyAlignment="1">
      <alignment horizontal="center" vertical="center" wrapText="1"/>
    </xf>
  </cellXfs>
  <cellStyles count="6">
    <cellStyle name="Good" xfId="1" builtinId="26"/>
    <cellStyle name="Hyperlink" xfId="5" builtinId="8"/>
    <cellStyle name="NO COLOR" xfId="4" xr:uid="{B5F9648B-16A9-4B26-A4C3-52FA01F89439}"/>
    <cellStyle name="Normal" xfId="0" builtinId="0"/>
    <cellStyle name="PINK" xfId="3" xr:uid="{EFFF450C-EE21-47C5-AEC7-30404DBFDFDA}"/>
    <cellStyle name="YELLOW" xfId="2" xr:uid="{2F5BD319-99B9-4ADA-8FA4-10BFB6544DB8}"/>
  </cellStyles>
  <dxfs count="59">
    <dxf>
      <font>
        <color rgb="FF9C0006"/>
      </font>
      <fill>
        <patternFill>
          <bgColor rgb="FFFFC7CE"/>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ont>
        <color rgb="FF9C0006"/>
      </font>
      <fill>
        <patternFill>
          <bgColor rgb="FFFFC7CE"/>
        </patternFill>
      </fill>
    </dxf>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theme="2"/>
        </patternFill>
      </fill>
    </dxf>
    <dxf>
      <fill>
        <patternFill>
          <bgColor theme="2"/>
        </patternFill>
      </fill>
    </dxf>
    <dxf>
      <font>
        <color rgb="FF9C0006"/>
      </font>
      <fill>
        <patternFill>
          <bgColor rgb="FFFFC7CE"/>
        </patternFill>
      </fill>
    </dxf>
    <dxf>
      <fill>
        <patternFill patternType="solid">
          <bgColor theme="9" tint="0.79998168889431442"/>
        </patternFill>
      </fill>
    </dxf>
    <dxf>
      <fill>
        <patternFill patternType="solid">
          <bgColor theme="6" tint="0.59999389629810485"/>
        </patternFill>
      </fill>
    </dxf>
    <dxf>
      <fill>
        <patternFill patternType="solid">
          <bgColor theme="6" tint="0.59999389629810485"/>
        </patternFill>
      </fill>
    </dxf>
    <dxf>
      <alignment wrapText="1"/>
    </dxf>
    <dxf>
      <alignment wrapText="1"/>
    </dxf>
    <dxf>
      <alignment wrapText="1"/>
    </dxf>
    <dxf>
      <alignment wrapText="1"/>
    </dxf>
    <dxf>
      <alignment wrapText="1"/>
    </dxf>
    <dxf>
      <alignment wrapText="1"/>
    </dxf>
    <dxf>
      <alignment wrapText="1"/>
    </dxf>
    <dxf>
      <alignment wrapText="1"/>
    </dxf>
    <dxf>
      <fill>
        <patternFill patternType="solid">
          <bgColor theme="9" tint="0.79998168889431442"/>
        </patternFill>
      </fill>
    </dxf>
    <dxf>
      <alignment wrapText="1"/>
    </dxf>
    <dxf>
      <alignment wrapText="1"/>
    </dxf>
    <dxf>
      <alignment wrapText="1"/>
    </dxf>
    <dxf>
      <alignment wrapText="1"/>
    </dxf>
    <dxf>
      <alignment wrapText="1"/>
    </dxf>
    <dxf>
      <alignment wrapText="1"/>
    </dxf>
    <dxf>
      <alignment wrapText="1"/>
    </dxf>
    <dxf>
      <fill>
        <patternFill patternType="solid">
          <bgColor theme="9" tint="0.79998168889431442"/>
        </patternFill>
      </fill>
    </dxf>
    <dxf>
      <fill>
        <patternFill patternType="solid">
          <bgColor theme="9" tint="0.79998168889431442"/>
        </patternFill>
      </fill>
    </dxf>
    <dxf>
      <fill>
        <patternFill patternType="solid">
          <bgColor theme="6" tint="0.59999389629810485"/>
        </patternFill>
      </fill>
    </dxf>
    <dxf>
      <fill>
        <patternFill patternType="solid">
          <bgColor theme="6" tint="0.59999389629810485"/>
        </patternFill>
      </fill>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FFFF00"/>
        </patternFill>
      </fill>
      <alignment horizontal="general" vertical="bottom"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FFFF00"/>
        </patternFill>
      </fill>
      <alignment horizontal="general" vertical="bottom" textRotation="0" wrapText="1"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FFFF00"/>
        </patternFill>
      </fill>
      <alignment horizontal="general" vertical="bottom" textRotation="0" wrapText="1" indent="0" justifyLastLine="0" shrinkToFit="0" readingOrder="0"/>
      <border diagonalUp="0" diagonalDown="0" outline="0">
        <left/>
        <right/>
        <top/>
        <bottom/>
      </border>
      <protection locked="0" hidden="0"/>
    </dxf>
  </dxfs>
  <tableStyles count="0" defaultTableStyle="TableStyleMedium2" defaultPivotStyle="PivotStyleLight16"/>
  <colors>
    <mruColors>
      <color rgb="FFFF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v Tyler" refreshedDate="45931.525378587961" createdVersion="8" refreshedVersion="8" minRefreshableVersion="3" recordCount="307" xr:uid="{AB01B678-BBEB-421A-9CFE-085687D50F58}">
  <cacheSource type="worksheet">
    <worksheetSource ref="A3:AA315" sheet="All sections of NIF PDF"/>
  </cacheSource>
  <cacheFields count="27">
    <cacheField name="UNIQUE FIELD # (order in Trng deck)" numFmtId="0">
      <sharedItems containsSemiMixedTypes="0" containsString="0" containsNumber="1" containsInteger="1" minValue="1001" maxValue="1307" count="307">
        <n v="1001"/>
        <n v="1002"/>
        <n v="1003"/>
        <n v="1004"/>
        <n v="1005"/>
        <n v="1006"/>
        <n v="1305"/>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304"/>
        <n v="1042"/>
        <n v="1043"/>
        <n v="1044"/>
        <n v="1045"/>
        <n v="1046"/>
        <n v="1047"/>
        <n v="1048"/>
        <n v="1049"/>
        <n v="1050"/>
        <n v="1051"/>
        <n v="1052"/>
        <n v="1053"/>
        <n v="1054"/>
        <n v="1055"/>
        <n v="1056"/>
        <n v="1057"/>
        <n v="1058"/>
        <n v="1059"/>
        <n v="1060"/>
        <n v="1061"/>
        <n v="1062"/>
        <n v="1063"/>
        <n v="1064"/>
        <n v="1065"/>
        <n v="1066"/>
        <n v="1067"/>
        <n v="1068"/>
        <n v="1069"/>
        <n v="1070"/>
        <n v="1072"/>
        <n v="1073"/>
        <n v="1074"/>
        <n v="1075"/>
        <n v="1076"/>
        <n v="1077"/>
        <n v="1078"/>
        <n v="1079"/>
        <n v="1080"/>
        <n v="1081"/>
        <n v="1082"/>
        <n v="1083"/>
        <n v="1084"/>
        <n v="1085"/>
        <n v="1086"/>
        <n v="1155"/>
        <n v="1087"/>
        <n v="1088"/>
        <n v="1089"/>
        <n v="1090"/>
        <n v="1091"/>
        <n v="1092"/>
        <n v="1093"/>
        <n v="1094"/>
        <n v="1095"/>
        <n v="1096"/>
        <n v="1097"/>
        <n v="1098"/>
        <n v="1099"/>
        <n v="1100"/>
        <n v="1101"/>
        <n v="1102"/>
        <n v="1103"/>
        <n v="1104"/>
        <n v="1105"/>
        <n v="1106"/>
        <n v="1107"/>
        <n v="1108"/>
        <n v="1109"/>
        <n v="1110"/>
        <n v="1111"/>
        <n v="1112"/>
        <n v="1113"/>
        <n v="1114"/>
        <n v="1071"/>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306"/>
        <n v="1153"/>
        <n v="1154"/>
        <n v="1156"/>
        <n v="1157"/>
        <n v="1158"/>
        <n v="1159"/>
        <n v="1160"/>
        <n v="1307"/>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sharedItems>
    </cacheField>
    <cacheField name="Training Section" numFmtId="0">
      <sharedItems count="23">
        <s v="Requestor - Project Initiation"/>
        <s v="LIM - Initial Review"/>
        <s v="LIM - LIM REPORT"/>
        <s v="Masterfiles - Get Codes"/>
        <s v="LIM - Forecast Approval"/>
        <s v="Requestor Update"/>
        <s v="Masterfiles - Get Codes Forecast"/>
        <s v="LIM - Launch"/>
        <s v="LIM Launch - Update"/>
        <s v="ZNIF Dashboard - view only"/>
        <s v="LIM - Update"/>
        <s v="EPM Finance - Update"/>
        <s v="Data Integrity (DI) - Review"/>
        <s v="R&amp;D Quality - Update"/>
        <s v="Nutrition Labeling - Update"/>
        <s v="Packaging Tech - Update"/>
        <s v="CA Finance Tax"/>
        <s v="Category Finance - update"/>
        <s v="Data Integrity (DI) - Hierarchy"/>
        <s v="LIM - Approval/NIF Dashboard"/>
        <s v="Masterfiles - Approval"/>
        <s v="Masterfiles - Create Plant Extensions, pricing &amp; BOM's"/>
        <s v="Requestor - Req Launch DTC"/>
      </sharedItems>
    </cacheField>
    <cacheField name="section name" numFmtId="0">
      <sharedItems/>
    </cacheField>
    <cacheField name="field names in Trng deck" numFmtId="0">
      <sharedItems count="340">
        <s v="Requestor Name"/>
        <s v="Requestor Email"/>
        <s v="Requestor Date"/>
        <s v="Version"/>
        <s v="Requestor"/>
        <s v="LIM"/>
        <s v="Business Area"/>
        <s v="Form Type"/>
        <s v="Product Country"/>
        <s v="Product Type"/>
        <s v="Product Sub Type"/>
        <s v="Is this a Pringles product"/>
        <s v="Is this an RX Product"/>
        <s v="SAP Material Number"/>
        <s v="Project Type"/>
        <s v="Project Name or Number"/>
        <s v="Set Category"/>
        <s v="Brief Product Description"/>
        <s v="Brief Project Overview and Technical Notes"/>
        <s v="Stated Weight Applicable For"/>
        <s v="Stated Weight Status"/>
        <s v="Stated Net Weight"/>
        <s v="Stated Net Weight UOM"/>
        <s v="Case Count Status"/>
        <s v="Case Count"/>
        <s v="Like SKU / Reference Material Number"/>
        <s v="Approved to sell via Ecommerce"/>
        <s v="Is product designated to one customer"/>
        <s v="Designated Customer Name"/>
        <s v="Include Designated Cust In Material Desc"/>
        <s v="Variety Pack"/>
        <s v="Variety Pack components have UPC codes"/>
        <s v="Build SKU Using Existing Package UPCs"/>
        <s v="Is this item owned by Away From Home"/>
        <s v="Is this an Export Product"/>
        <s v="Build SKU Using Existing Export UPCs"/>
        <s v="List Existing Export UPC Codes"/>
        <s v="Private Label"/>
        <s v="Private Label Name"/>
        <s v="Build SKU Using Existing Private UPCs"/>
        <s v="List Existing Private UPCs"/>
        <s v="Data Sync(GDSN)"/>
        <s v="Is this Non Sellable FERT WIP"/>
        <s v="Material Prefix Description"/>
        <s v="Is a Compressed UPC Required for the Components"/>
        <s v="Package UPC Code"/>
        <s v="Package K Number"/>
        <s v="Pouch UPC Code"/>
        <s v="Pouch K Number"/>
        <s v="List UPC Codes If Already Assigned"/>
        <s v="Compressed UPC Existing"/>
        <s v="Sale Samples may be needed"/>
        <s v="Unique UPC"/>
        <s v="List Any Existing Knumbers That Will Be Used"/>
        <s v="Additional Packaging for Launch"/>
        <s v="Priority"/>
        <s v="Select Packaging Tech Assignment"/>
        <s v="Masterfiles"/>
        <s v="EPM Finance"/>
        <s v="Data Integrity"/>
        <s v="Data Integrity (CA)"/>
        <s v="R&amp;D Quality"/>
        <s v="Nutrition Labeling"/>
        <s v="Packaging Tech (Engineer)"/>
        <s v="Category Finance"/>
        <s v="Packaging Tech (BPS)"/>
        <s v="Packaging Tech (Menasha)"/>
        <s v="Packaging Tech (Canada VAS)"/>
        <s v="Supply Chain Budget Forecast SKU"/>
        <s v="(LIM Initial) Return Comments"/>
        <s v="5 export (buttons)"/>
        <s v="Material Number"/>
        <s v="UPC #"/>
        <s v="K #"/>
        <s v="Ct"/>
        <s v="UPC Required"/>
        <s v="Unique or Same UPC"/>
        <s v="GTIN Number"/>
        <s v="GTIN Required"/>
        <s v="GTIN Prefix"/>
        <s v="Unique or Same GTIN"/>
        <s v="Special Launch K Number"/>
        <s v="(MF Get Codes) Return Comments"/>
        <s v="MFG Company"/>
        <s v="Material Group"/>
        <s v="External Material Group"/>
        <s v="Estimated Standard Cost"/>
        <s v="Specialty Channels Field Category"/>
        <s v="Red K Price"/>
        <s v="Material Prefix"/>
        <s v="Transportation Group"/>
        <s v="Net Case Weight"/>
        <s v="Metric Stated Net Pkg Wt"/>
        <s v="Imperial Stated Net Pkg Wt"/>
        <s v="Country Sold In"/>
        <s v="Location"/>
        <s v="Location Description"/>
        <s v="Inbound or Outbound"/>
        <s v="Kellogg Owned/Not Owned (Coman)"/>
        <s v="Flavor"/>
        <s v="Food Form"/>
        <s v="Sub-Food Form"/>
        <s v="Material Segment Description"/>
        <s v="Material Segment #"/>
        <s v="Category Description"/>
        <s v="Category #"/>
        <s v="Sub-Category Description"/>
        <s v="Sub-Category #"/>
        <s v="Brand Description"/>
        <s v="Brand Number"/>
        <s v="Type Description"/>
        <s v="Type #"/>
        <s v="Sub-Type Description"/>
        <s v="Sub-Type #"/>
        <s v="Forecast Entry Options"/>
        <s v="X"/>
        <s v="Alt UOM"/>
        <s v="&lt;=&gt;"/>
        <s v="Y"/>
        <s v="Base UOM"/>
        <s v="Length"/>
        <s v="Width"/>
        <s v="Height"/>
        <s v="Unit of Dimension"/>
        <s v="Volume"/>
        <s v="Volume Unit"/>
        <s v="Gross Weight"/>
        <s v="Weight Unit"/>
        <s v="Language"/>
        <s v="Material Description"/>
        <s v="Material Description Length"/>
        <s v="Generate Material Description"/>
        <s v="Suggested Material Desc"/>
        <s v="Length (of Sugg Matl Desc)"/>
        <s v="Departure Country"/>
        <s v="Tax Category"/>
        <s v="Tax Classification"/>
        <s v="Create Forecast Material"/>
        <s v="Manually Execute Scripts"/>
        <s v="VAS"/>
        <s v="(LIM Launch) Return Comments"/>
        <s v="statuses of the workflow (X, R, C…)"/>
        <s v="Proposed Red K Price"/>
        <s v="Proposed Red K Currency"/>
        <s v="Business Unit"/>
        <s v="Material Group 1"/>
        <s v="1st Arrival Date"/>
        <s v="1st Arrival Date (Day)"/>
        <s v="1st Ship Date"/>
        <s v="1st Ship Date (Day)"/>
        <s v="FERT Type"/>
        <s v="Pricing Validity Date"/>
        <s v="Pack Type Use"/>
        <s v="Planning Variant"/>
        <s v="SKU Type"/>
        <s v="Promo End Date"/>
        <s v="Stop Ship/Target Discontinuance"/>
        <s v="Remarket Date"/>
        <s v="Is this a SKU to SKU Transition"/>
        <s v="Conversion Case Code"/>
        <s v="Conversion Date"/>
        <s v="OTG Type"/>
        <s v="Single Serve"/>
        <s v="Pack Size"/>
        <s v="Total shelf life"/>
        <s v="Will this item be sold at the package level Direct To Consumer  (DTC)"/>
        <s v="Alternate Market Segment"/>
        <s v="Alternate Category"/>
        <s v="Alternate Sub-Category"/>
        <s v="Trade Channel"/>
        <s v="Promotion Description"/>
        <s v="Promo Short Description"/>
        <s v="Business Unit for Promo"/>
        <s v="Royalty Product Type"/>
        <s v="Royalty Licenser"/>
        <s v="Royalty Licenser Abbreviation"/>
        <s v="Food Count (Bars, Waffles, PT, Shakes, RKT)"/>
        <s v="Special Pack Type"/>
        <s v="Pringles Country for Material Description"/>
        <s v="Material Number (BOM setup)"/>
        <s v="Material Description (BOM Setup)"/>
        <s v="List Price (Red K)"/>
        <s v="Base Material"/>
        <s v="Gross Pkg Weight"/>
        <s v="Gross Wt UOM"/>
        <s v="Net Pkg Weight"/>
        <s v="Net Wt UOM"/>
        <s v="Component Pkgs Per Case"/>
        <s v="Packages Per Mod Assortment"/>
        <s v="Number of Cases Required"/>
        <s v="Taxable"/>
        <s v="WIP SKU"/>
        <s v="Pkgs Per Case or WIP"/>
        <s v="Components Per Variety Pack"/>
        <s v="Variety Packages Per Case"/>
        <s v="Calculation Check"/>
        <s v="Display Vehicle"/>
        <s v="Material Freight Group"/>
        <s v="Chocolate Enrobed"/>
        <s v="Pouch Size"/>
        <s v="Pouch Size UOM"/>
        <s v="Package Size"/>
        <s v="Package Size UOM"/>
        <s v="Country of Origin"/>
        <s v="Is the Manufacturing Location a Co-Man or Co-Packer"/>
        <s v="(LIM Upd) Return Comments"/>
        <s v="VAS Plant Groups"/>
        <s v="Sub-Brand"/>
        <s v="(EPM) Return Comments"/>
        <s v="(DI Review) Return Comments"/>
        <s v="Max Storage Period/Ship Life"/>
        <s v="PES Food Review"/>
        <s v="Defect Group"/>
        <s v="Multi Defect Group"/>
        <s v="Grams per piece"/>
        <s v="Weight Measure"/>
        <s v="Metric Stated Net Pouch Weight (g/kg)"/>
        <s v="Metric Stated Net Pouch Size Unit"/>
        <s v="Metric Stated Net Package Weight (g/kg)"/>
        <s v="Metric Stated Net Package Weight Unit"/>
        <s v="Package Net Weight for SAP (Metric)"/>
        <s v="Stated Net Pouch Weight (oz/lb)"/>
        <s v="Stated Net Pouch Weight Unit"/>
        <s v="Stated Net Package Weight (oz/lb)"/>
        <s v="Stated Net Package Weight Unit"/>
        <s v="Package Net Weight for SAP (Imperial)"/>
        <s v="Metric Stated Net Pouch Weight (g)"/>
        <s v="Metric Stated Net Package Weight (g)"/>
        <s v="Stated Net Pouch Weight (oz)"/>
        <s v="Stated Net Package Weight (oz)"/>
        <s v="Package Individual Unit Size"/>
        <s v="Package Individual Unit Size UOM"/>
        <s v="Package Inner Pack Quantity"/>
        <s v="Did you check the Food Form"/>
        <s v="Pouch"/>
        <s v="Package"/>
        <s v="Case"/>
        <s v="(NL) Return Comments"/>
        <s v="Pringles Can Size"/>
        <s v="Unit Load Stacking Factor"/>
        <s v="Packaging Profile"/>
        <s v="Handling Platform Type"/>
        <s v="RTEC/Pringles Cube Size"/>
        <s v="Clamp Pressure"/>
        <s v="Dim/Gross Wght Req"/>
        <s v="Dim Details"/>
        <s v="Gross Wght Dtls"/>
        <s v="Component K #"/>
        <s v="Component Description"/>
        <s v="Unit of Measure"/>
        <s v="Number Required per UOM"/>
        <s v="Dieline"/>
        <s v="Supplier"/>
        <s v="Print(Y/N)"/>
        <s v="Add to BOM"/>
        <s v="Net Weight"/>
        <s v="(Pkg Tech) Return Comments"/>
        <s v="Material Group 5"/>
        <s v="(CA Fin Tax) Return Comments"/>
        <s v="Final Red K List Price (cs)"/>
        <s v="(DI Hier) Return Comments"/>
        <s v="(LIM DB) Return to Team"/>
        <s v="(LIM DB) LIM Return Comments"/>
        <s v="Z1 Material Description"/>
        <s v="ZF Material Description"/>
        <s v="Distribution Methods"/>
        <s v="Material Number (Sales Org Extension)"/>
        <s v="New Sales Organization"/>
        <s v="New Distribution Channel"/>
        <s v="Tax Code"/>
        <s v="Requestor Update"/>
        <s v="(MF) Requestor Update Return Comments"/>
        <s v="Category Finance (checkbox)"/>
        <s v="(MF) Category Finance Return Comments"/>
        <s v="Nutrition Labeling (checkbox)"/>
        <s v="(MF) Nutrition Labeling Return Comments"/>
        <s v="LIM Update"/>
        <s v="(MF) LIM Update Return Comments"/>
        <s v="Packaging Tech"/>
        <s v="(MF) Packaging Tech Return Comments"/>
        <s v="Send Returns (button)"/>
        <s v="Material Type"/>
        <s v="Plant Category"/>
        <s v="Plant Number List"/>
        <s v="Create Plant Extension"/>
        <s v="Plant"/>
        <s v="Material Number (Plant Ext)"/>
        <s v="Original BOM Plant"/>
        <s v="Component"/>
        <s v="Quantity"/>
        <s v="Assign Plant"/>
        <s v="Material Number (VAS BOM)"/>
        <s v="Original Plant"/>
        <s v="Newly Assigned Plant"/>
        <s v="Will a full case of this product be sold Direct to Consumer"/>
        <s v="DTC Package Price"/>
        <s v="(12 checkboxes)"/>
        <s v="Updates Complete (button)"/>
        <s v="Country"/>
        <s v="Retail Material Number"/>
        <s v="1. Validate Retail material Number (button)"/>
        <s v="2. Import Alt UOM Table (button)"/>
        <s v="Save and Route (button)"/>
        <s v="Choose File"/>
        <s v="Did you submit DTC Form"/>
        <s v="DTC Form Launched (button)"/>
        <s v="Launch Later (No Save) (button)"/>
        <s v="Is this a Pringles product?" u="1"/>
        <s v="Is this an RX Product?" u="1"/>
        <s v="Is product designated to one customer?" u="1"/>
        <s v="Include Designated Cust In Material Desc?" u="1"/>
        <s v="Variety Pack?" u="1"/>
        <s v="Variety Pack components have UPC codes?" u="1"/>
        <s v="Build SKU Using Existing Package UPCs?" u="1"/>
        <s v="Is this item owned by Away From Home?" u="1"/>
        <s v="Is this an Export Product?" u="1"/>
        <s v="Build SKU Using Existing Export UPCs?" u="1"/>
        <s v="Private Label?" u="1"/>
        <s v="Build SKU Using Existing Private UPCs?" u="1"/>
        <s v="Data Sync(GDSN)?" u="1"/>
        <s v="Is this Non Sellable FERT WIP? (FALB)" u="1"/>
        <s v="Is a Compressed UPC Required for the Components?" u="1"/>
        <s v="Unique UPC?" u="1"/>
        <s v="Supply Chain Budget Forecast SKU?" u="1"/>
        <s v="UPC Required?" u="1"/>
        <s v="Unique or Same UPC?" u="1"/>
        <s v="GTIN Required?" u="1"/>
        <s v="Unique or Same GTIN?" u="1"/>
        <s v="Inbound or Outbound?" u="1"/>
        <s v="VAS?" u="1"/>
        <s v="Is this a SKU to SKU Transition?" u="1"/>
        <s v="Will this item be sold at the package level Direct To Consumer?  (DTC)" u="1"/>
        <s v="Taxable?" u="1"/>
        <s v="Is the Manufacturing Location a Co-Man or Co-Packer?" u="1"/>
        <s v="Did you check the Food Form?" u="1"/>
        <s v="Print?(Y/N)" u="1"/>
        <s v="Add to BOM?" u="1"/>
        <s v="Will a full case of this product be sold Direct to Consumer?" u="1"/>
        <s v="Did you submit DTC Form?" u="1"/>
        <s v="Category Descripotion" u="1"/>
      </sharedItems>
    </cacheField>
    <cacheField name="#fields enterable in Trng deck" numFmtId="0">
      <sharedItems containsSemiMixedTypes="0" containsString="0" containsNumber="1" containsInteger="1" minValue="0" maxValue="1"/>
    </cacheField>
    <cacheField name="page(s) of Trng deck" numFmtId="0">
      <sharedItems containsMixedTypes="1" containsNumber="1" containsInteger="1" minValue="0" maxValue="130"/>
    </cacheField>
    <cacheField name="types of fields" numFmtId="0">
      <sharedItems/>
    </cacheField>
    <cacheField name="required" numFmtId="0">
      <sharedItems containsBlank="1"/>
    </cacheField>
    <cacheField name="owner" numFmtId="0">
      <sharedItems count="10">
        <s v="Requestor"/>
        <s v="Masterfiles"/>
        <s v="LIM"/>
        <s v="EPM Finance"/>
        <s v="Data Integrity"/>
        <s v="R&amp;D Quality"/>
        <s v="Nutrition Labeling"/>
        <s v="Packaging Tech"/>
        <s v="CA Finance Tax"/>
        <s v="Category Finance"/>
      </sharedItems>
    </cacheField>
    <cacheField name="additional roles who can modify_x000a_" numFmtId="0">
      <sharedItems containsBlank="1"/>
    </cacheField>
    <cacheField name="column referenced in BR.xlsx file (from Tamara)" numFmtId="0">
      <sharedItems containsBlank="1"/>
    </cacheField>
    <cacheField name="comments" numFmtId="0">
      <sharedItems containsBlank="1" longText="1"/>
    </cacheField>
    <cacheField name="Business Rules (technical)" numFmtId="0">
      <sharedItems containsBlank="1" longText="1"/>
    </cacheField>
    <cacheField name="Business Rules (AI ready)" numFmtId="0">
      <sharedItems containsNonDate="0" containsString="0" containsBlank="1"/>
    </cacheField>
    <cacheField name="Business Rule status" numFmtId="0">
      <sharedItems containsBlank="1" count="7">
        <s v="done"/>
        <s v="upcoming"/>
        <s v="code rules"/>
        <s v="pending"/>
        <s v="hand off"/>
        <s v="duplicate field" u="1"/>
        <m u="1"/>
      </sharedItems>
    </cacheField>
    <cacheField name="Timing status" numFmtId="0">
      <sharedItems/>
    </cacheField>
    <cacheField name="Trng Sectn #" numFmtId="0">
      <sharedItems containsSemiMixedTypes="0" containsString="0" containsNumber="1" containsInteger="1" minValue="10" maxValue="230" count="23">
        <n v="10"/>
        <n v="20"/>
        <n v="30"/>
        <n v="40"/>
        <n v="50"/>
        <n v="100"/>
        <n v="60"/>
        <n v="70"/>
        <n v="80"/>
        <n v="90"/>
        <n v="110"/>
        <n v="120"/>
        <n v="130"/>
        <n v="140"/>
        <n v="150"/>
        <n v="160"/>
        <n v="170"/>
        <n v="180"/>
        <n v="190"/>
        <n v="200"/>
        <n v="210"/>
        <n v="220"/>
        <n v="230"/>
      </sharedItems>
    </cacheField>
    <cacheField name="Trng Sectn Priority" numFmtId="0">
      <sharedItems containsMixedTypes="1" containsNumber="1" containsInteger="1" minValue="0" maxValue="230" count="33">
        <s v="AA"/>
        <s v="DD"/>
        <s v="II"/>
        <s v="GG"/>
        <s v="BB"/>
        <s v="CC"/>
        <s v="FF"/>
        <s v="EE"/>
        <s v="HH"/>
        <n v="0" u="1"/>
        <n v="10" u="1"/>
        <n v="20" u="1"/>
        <n v="30" u="1"/>
        <n v="40" u="1"/>
        <n v="50" u="1"/>
        <n v="60" u="1"/>
        <n v="70" u="1"/>
        <n v="80" u="1"/>
        <n v="90" u="1"/>
        <n v="100" u="1"/>
        <n v="110" u="1"/>
        <n v="120" u="1"/>
        <n v="130" u="1"/>
        <n v="140" u="1"/>
        <n v="150" u="1"/>
        <n v="160" u="1"/>
        <n v="170" u="1"/>
        <n v="180" u="1"/>
        <n v="190" u="1"/>
        <n v="200" u="1"/>
        <n v="210" u="1"/>
        <n v="220" u="1"/>
        <n v="230" u="1"/>
      </sharedItems>
    </cacheField>
    <cacheField name="Week" numFmtId="0">
      <sharedItems containsBlank="1" count="6">
        <s v="WK2"/>
        <s v="WK1"/>
        <s v="WK3"/>
        <s v="WK5"/>
        <s v="WK4"/>
        <m u="1"/>
      </sharedItems>
    </cacheField>
    <cacheField name="Week Beginning Date" numFmtId="14">
      <sharedItems containsSemiMixedTypes="0" containsNonDate="0" containsDate="1" containsString="0" minDate="2025-09-16T00:00:00" maxDate="2025-10-14T00:00:00" count="5">
        <d v="2025-09-22T00:00:00"/>
        <d v="2025-09-16T00:00:00"/>
        <d v="2025-09-29T00:00:00"/>
        <d v="2025-10-13T00:00:00"/>
        <d v="2025-10-06T00:00:00"/>
      </sharedItems>
    </cacheField>
    <cacheField name="PRIORITY (1..9)_x000a_1-highest_x000a_5-mid_x000a_9-lowest" numFmtId="0">
      <sharedItems containsString="0" containsBlank="1" containsNumber="1" containsInteger="1" minValue="1" maxValue="9"/>
    </cacheField>
    <cacheField name="COMPLEXITY (3..1,0)_x000a_3-high_x000a_2-med_x000a_1-low_x000a_0-autofill" numFmtId="0">
      <sharedItems containsSemiMixedTypes="0" containsString="0" containsNumber="1" containsInteger="1" minValue="0" maxValue="3" count="4">
        <n v="0"/>
        <n v="1"/>
        <n v="3"/>
        <n v="2"/>
      </sharedItems>
    </cacheField>
    <cacheField name="Hours" numFmtId="0">
      <sharedItems containsSemiMixedTypes="0" containsString="0" containsNumber="1" minValue="0" maxValue="1.5"/>
    </cacheField>
    <cacheField name="Sprint" numFmtId="0">
      <sharedItems containsDate="1" containsBlank="1" containsMixedTypes="1" minDate="2025-09-19T00:00:00" maxDate="2025-09-23T00:00:00" count="11">
        <s v="E"/>
        <s v="D"/>
        <s v="A"/>
        <s v="B"/>
        <s v="C"/>
        <s v="F"/>
        <s v="H"/>
        <s v="G"/>
        <m u="1"/>
        <d v="2025-09-22T00:00:00" u="1"/>
        <d v="2025-09-19T00:00:00" u="1"/>
      </sharedItems>
    </cacheField>
    <cacheField name="Date: Field Last Reviewed for Business Rules" numFmtId="0">
      <sharedItems containsNonDate="0" containsDate="1" containsString="0" containsBlank="1" minDate="2025-09-18T00:00:00" maxDate="2025-09-26T00:00:00"/>
    </cacheField>
    <cacheField name="Date: Expert System Rules updated (Excel)" numFmtId="0">
      <sharedItems containsNonDate="0" containsDate="1" containsString="0" containsBlank="1" minDate="2025-09-19T00:00:00" maxDate="2025-09-30T00:00:00"/>
    </cacheField>
    <cacheField name="Date: Handed off to AI BOT team (Justin)" numFmtId="0">
      <sharedItems containsNonDate="0" containsDate="1" containsString="0" containsBlank="1" minDate="2025-09-19T00:00:00" maxDate="2025-09-30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v Tyler" refreshedDate="45931.525379629631" createdVersion="8" refreshedVersion="8" minRefreshableVersion="3" recordCount="307" xr:uid="{32D4E911-61B1-44D0-BC80-AD72412D5186}">
  <cacheSource type="worksheet">
    <worksheetSource ref="A3:X315" sheet="All sections of NIF PDF"/>
  </cacheSource>
  <cacheFields count="24">
    <cacheField name="UNIQUE FIELD # (order in Trng deck)" numFmtId="0">
      <sharedItems containsSemiMixedTypes="0" containsString="0" containsNumber="1" containsInteger="1" minValue="1001" maxValue="1307"/>
    </cacheField>
    <cacheField name="Training Section" numFmtId="0">
      <sharedItems count="23">
        <s v="Requestor - Project Initiation"/>
        <s v="LIM - Initial Review"/>
        <s v="LIM - LIM REPORT"/>
        <s v="Masterfiles - Get Codes"/>
        <s v="LIM - Forecast Approval"/>
        <s v="Requestor Update"/>
        <s v="Masterfiles - Get Codes Forecast"/>
        <s v="LIM - Launch"/>
        <s v="LIM Launch - Update"/>
        <s v="ZNIF Dashboard - view only"/>
        <s v="LIM - Update"/>
        <s v="EPM Finance - Update"/>
        <s v="Data Integrity (DI) - Review"/>
        <s v="R&amp;D Quality - Update"/>
        <s v="Nutrition Labeling - Update"/>
        <s v="Packaging Tech - Update"/>
        <s v="CA Finance Tax"/>
        <s v="Category Finance - update"/>
        <s v="Data Integrity (DI) - Hierarchy"/>
        <s v="LIM - Approval/NIF Dashboard"/>
        <s v="Masterfiles - Approval"/>
        <s v="Masterfiles - Create Plant Extensions, pricing &amp; BOM's"/>
        <s v="Requestor - Req Launch DTC"/>
      </sharedItems>
    </cacheField>
    <cacheField name="section name" numFmtId="0">
      <sharedItems/>
    </cacheField>
    <cacheField name="field names in Trng deck" numFmtId="0">
      <sharedItems/>
    </cacheField>
    <cacheField name="#fields enterable in Trng deck" numFmtId="0">
      <sharedItems containsSemiMixedTypes="0" containsString="0" containsNumber="1" containsInteger="1" minValue="0" maxValue="1"/>
    </cacheField>
    <cacheField name="page(s) of Trng deck" numFmtId="0">
      <sharedItems containsMixedTypes="1" containsNumber="1" containsInteger="1" minValue="0" maxValue="130"/>
    </cacheField>
    <cacheField name="types of fields" numFmtId="0">
      <sharedItems/>
    </cacheField>
    <cacheField name="required" numFmtId="0">
      <sharedItems containsBlank="1"/>
    </cacheField>
    <cacheField name="owner" numFmtId="0">
      <sharedItems/>
    </cacheField>
    <cacheField name="additional roles who can modify_x000a_" numFmtId="0">
      <sharedItems containsBlank="1"/>
    </cacheField>
    <cacheField name="column referenced in BR.xlsx file (from Tamara)" numFmtId="0">
      <sharedItems containsBlank="1"/>
    </cacheField>
    <cacheField name="comments" numFmtId="0">
      <sharedItems containsBlank="1" longText="1"/>
    </cacheField>
    <cacheField name="Business Rules (technical)" numFmtId="0">
      <sharedItems containsBlank="1" longText="1"/>
    </cacheField>
    <cacheField name="Business Rules (AI ready)" numFmtId="0">
      <sharedItems containsNonDate="0" containsString="0" containsBlank="1"/>
    </cacheField>
    <cacheField name="Business Rule status" numFmtId="0">
      <sharedItems/>
    </cacheField>
    <cacheField name="Timing status" numFmtId="0">
      <sharedItems/>
    </cacheField>
    <cacheField name="Trng Sectn #" numFmtId="0">
      <sharedItems containsSemiMixedTypes="0" containsString="0" containsNumber="1" containsInteger="1" minValue="10" maxValue="230" count="23">
        <n v="10"/>
        <n v="20"/>
        <n v="30"/>
        <n v="40"/>
        <n v="50"/>
        <n v="100"/>
        <n v="60"/>
        <n v="70"/>
        <n v="80"/>
        <n v="90"/>
        <n v="110"/>
        <n v="120"/>
        <n v="130"/>
        <n v="140"/>
        <n v="150"/>
        <n v="160"/>
        <n v="170"/>
        <n v="180"/>
        <n v="190"/>
        <n v="200"/>
        <n v="210"/>
        <n v="220"/>
        <n v="230"/>
      </sharedItems>
    </cacheField>
    <cacheField name="Trng Sectn Priority" numFmtId="0">
      <sharedItems containsMixedTypes="1" containsNumber="1" containsInteger="1" minValue="0" maxValue="230" count="33">
        <s v="AA"/>
        <s v="DD"/>
        <s v="II"/>
        <s v="GG"/>
        <s v="BB"/>
        <s v="CC"/>
        <s v="FF"/>
        <s v="EE"/>
        <s v="HH"/>
        <n v="0" u="1"/>
        <n v="10" u="1"/>
        <n v="20" u="1"/>
        <n v="30" u="1"/>
        <n v="40" u="1"/>
        <n v="50" u="1"/>
        <n v="60" u="1"/>
        <n v="70" u="1"/>
        <n v="80" u="1"/>
        <n v="90" u="1"/>
        <n v="100" u="1"/>
        <n v="110" u="1"/>
        <n v="120" u="1"/>
        <n v="130" u="1"/>
        <n v="140" u="1"/>
        <n v="150" u="1"/>
        <n v="160" u="1"/>
        <n v="170" u="1"/>
        <n v="180" u="1"/>
        <n v="190" u="1"/>
        <n v="200" u="1"/>
        <n v="210" u="1"/>
        <n v="220" u="1"/>
        <n v="230" u="1"/>
      </sharedItems>
    </cacheField>
    <cacheField name="Week" numFmtId="0">
      <sharedItems containsBlank="1" count="6">
        <s v="WK2"/>
        <s v="WK1"/>
        <s v="WK3"/>
        <s v="WK5"/>
        <s v="WK4"/>
        <m u="1"/>
      </sharedItems>
    </cacheField>
    <cacheField name="Week Beginning Date" numFmtId="14">
      <sharedItems containsSemiMixedTypes="0" containsNonDate="0" containsDate="1" containsString="0" minDate="2025-09-16T00:00:00" maxDate="2025-10-14T00:00:00" count="5">
        <d v="2025-09-22T00:00:00"/>
        <d v="2025-09-16T00:00:00"/>
        <d v="2025-09-29T00:00:00"/>
        <d v="2025-10-13T00:00:00"/>
        <d v="2025-10-06T00:00:00"/>
      </sharedItems>
    </cacheField>
    <cacheField name="PRIORITY (1..9)_x000a_1-highest_x000a_5-mid_x000a_9-lowest" numFmtId="0">
      <sharedItems containsString="0" containsBlank="1" containsNumber="1" containsInteger="1" minValue="1" maxValue="9"/>
    </cacheField>
    <cacheField name="COMPLEXITY (3..1,0)_x000a_3-high_x000a_2-med_x000a_1-low_x000a_0-autofill" numFmtId="0">
      <sharedItems containsSemiMixedTypes="0" containsString="0" containsNumber="1" containsInteger="1" minValue="0" maxValue="3" count="4">
        <n v="0"/>
        <n v="1"/>
        <n v="3"/>
        <n v="2"/>
      </sharedItems>
    </cacheField>
    <cacheField name="Hours" numFmtId="0">
      <sharedItems containsSemiMixedTypes="0" containsString="0" containsNumber="1" minValue="0" maxValue="1.5"/>
    </cacheField>
    <cacheField name="Sprint"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v Tyler" refreshedDate="45931.525380208332" createdVersion="8" refreshedVersion="8" minRefreshableVersion="3" recordCount="307" xr:uid="{1AD12B81-C2AA-478A-9185-28F616E06FA2}">
  <cacheSource type="worksheet">
    <worksheetSource ref="A3:W315" sheet="All sections of NIF PDF"/>
  </cacheSource>
  <cacheFields count="23">
    <cacheField name="UNIQUE FIELD # (order in Trng deck)" numFmtId="0">
      <sharedItems containsSemiMixedTypes="0" containsString="0" containsNumber="1" containsInteger="1" minValue="1001" maxValue="1307"/>
    </cacheField>
    <cacheField name="Training Section" numFmtId="0">
      <sharedItems/>
    </cacheField>
    <cacheField name="section name" numFmtId="0">
      <sharedItems count="63">
        <s v="Requestor Initiate"/>
        <s v="Person Responsible"/>
        <s v="Product Setup"/>
        <s v="Stated Weights/Case Count"/>
        <s v="Reference Material"/>
        <s v="Product Determination Questions"/>
        <s v="Other UPC Requirements"/>
        <s v="Existing Printed Material Codes"/>
        <s v="Special Packaging Requirements"/>
        <s v="UPC Table"/>
        <s v="List Existing K Numbers"/>
        <s v="Priority"/>
        <s v="Packaging Tech Assignment"/>
        <s v="(buttons) Returns"/>
        <s v="LIM REPORT section"/>
        <s v="Material Number"/>
        <s v="UPC, K#, and GTIN Codes"/>
        <s v="Forecast SKU Requirements"/>
        <s v="Product Details"/>
        <s v="Fields Used for Material Description"/>
        <s v="Product Hierarchy-Brand"/>
        <s v="Alternate Units of Measure"/>
        <s v="Material Description(s)"/>
        <s v="Taxes"/>
        <s v="Forecast Scripts"/>
        <s v="NIF Dashboard"/>
        <s v="Alternate Hierarchy"/>
        <s v="Trade Channel &amp; Country Sold In"/>
        <s v="Promotion"/>
        <s v="Values used to determine material description"/>
        <s v="BOM Setup (VAS)"/>
        <s v="Variety Pack 0200 BOM Setup"/>
        <s v="General Product Data"/>
        <s v="Manufacturing Locations"/>
        <s v="Select Sub-Brand"/>
        <s v="Product Details - Brand Derived"/>
        <s v="R &amp; D Quality"/>
        <s v="Food Weights"/>
        <s v="Food Weights in grams/ounces"/>
        <s v="Data Sync Requirements - Nutrition Labeling"/>
        <s v="Canada - Validate Food Form"/>
        <s v="Net Wt. Statement for Graphics"/>
        <s v="Packaging Details"/>
        <s v="Packaging Components"/>
        <s v="Net Weight if no Nutrition Labeling"/>
        <s v="Material Group/Tax Data"/>
        <s v="Pricing"/>
        <s v="LIM Dashboard Returns"/>
        <s v="Review Material Descriptions"/>
        <s v="Review - Derived Values"/>
        <s v="Sales Organization Extension"/>
        <s v="Masterfiles Approval Returns"/>
        <s v="ZMMU_PLANT_Query"/>
        <s v="Plant Extension Selection"/>
        <s v="Packaging - Merge with BOM"/>
        <s v="VAS BOM Plant Assingments (CS07)"/>
        <s v="DTC Questions"/>
        <s v="Masterfiles Manual Checklist"/>
        <s v="Returns"/>
        <s v="DTC Product Details"/>
        <s v="Attachments"/>
        <s v="DTC Launch Validation"/>
        <s v="BOM Setup" u="1"/>
      </sharedItems>
    </cacheField>
    <cacheField name="field names in Trng deck" numFmtId="0">
      <sharedItems count="342">
        <s v="Requestor Name"/>
        <s v="Requestor Email"/>
        <s v="Requestor Date"/>
        <s v="Version"/>
        <s v="Requestor"/>
        <s v="LIM"/>
        <s v="Business Area"/>
        <s v="Form Type"/>
        <s v="Product Country"/>
        <s v="Product Type"/>
        <s v="Product Sub Type"/>
        <s v="Is this a Pringles product"/>
        <s v="Is this an RX Product"/>
        <s v="SAP Material Number"/>
        <s v="Project Type"/>
        <s v="Project Name or Number"/>
        <s v="Set Category"/>
        <s v="Brief Product Description"/>
        <s v="Brief Project Overview and Technical Notes"/>
        <s v="Stated Weight Applicable For"/>
        <s v="Stated Weight Status"/>
        <s v="Stated Net Weight"/>
        <s v="Stated Net Weight UOM"/>
        <s v="Case Count Status"/>
        <s v="Case Count"/>
        <s v="Like SKU / Reference Material Number"/>
        <s v="Approved to sell via Ecommerce"/>
        <s v="Is product designated to one customer"/>
        <s v="Designated Customer Name"/>
        <s v="Include Designated Cust In Material Desc"/>
        <s v="Variety Pack"/>
        <s v="Variety Pack components have UPC codes"/>
        <s v="Build SKU Using Existing Package UPCs"/>
        <s v="Is this item owned by Away From Home"/>
        <s v="Is this an Export Product"/>
        <s v="Build SKU Using Existing Export UPCs"/>
        <s v="List Existing Export UPC Codes"/>
        <s v="Private Label"/>
        <s v="Private Label Name"/>
        <s v="Build SKU Using Existing Private UPCs"/>
        <s v="List Existing Private UPCs"/>
        <s v="Data Sync(GDSN)"/>
        <s v="Is this Non Sellable FERT WIP"/>
        <s v="Material Prefix Description"/>
        <s v="Is a Compressed UPC Required for the Components"/>
        <s v="Package UPC Code"/>
        <s v="Package K Number"/>
        <s v="Pouch UPC Code"/>
        <s v="Pouch K Number"/>
        <s v="List UPC Codes If Already Assigned"/>
        <s v="Compressed UPC Existing"/>
        <s v="Sale Samples may be needed"/>
        <s v="Unique UPC"/>
        <s v="List Any Existing Knumbers That Will Be Used"/>
        <s v="Additional Packaging for Launch"/>
        <s v="Priority"/>
        <s v="Select Packaging Tech Assignment"/>
        <s v="Masterfiles"/>
        <s v="EPM Finance"/>
        <s v="Data Integrity"/>
        <s v="Data Integrity (CA)"/>
        <s v="R&amp;D Quality"/>
        <s v="Nutrition Labeling"/>
        <s v="Packaging Tech (Engineer)"/>
        <s v="Category Finance"/>
        <s v="Packaging Tech (BPS)"/>
        <s v="Packaging Tech (Menasha)"/>
        <s v="Packaging Tech (Canada VAS)"/>
        <s v="Supply Chain Budget Forecast SKU"/>
        <s v="(LIM Initial) Return Comments"/>
        <s v="5 export (buttons)"/>
        <s v="Material Number"/>
        <s v="UPC #"/>
        <s v="K #"/>
        <s v="Ct"/>
        <s v="UPC Required"/>
        <s v="Unique or Same UPC"/>
        <s v="GTIN Number"/>
        <s v="GTIN Required"/>
        <s v="GTIN Prefix"/>
        <s v="Unique or Same GTIN"/>
        <s v="Special Launch K Number"/>
        <s v="(MF Get Codes) Return Comments"/>
        <s v="MFG Company"/>
        <s v="Material Group"/>
        <s v="External Material Group"/>
        <s v="Estimated Standard Cost"/>
        <s v="Specialty Channels Field Category"/>
        <s v="Red K Price"/>
        <s v="Material Prefix"/>
        <s v="Transportation Group"/>
        <s v="Net Case Weight"/>
        <s v="Metric Stated Net Pkg Wt"/>
        <s v="Imperial Stated Net Pkg Wt"/>
        <s v="Country Sold In"/>
        <s v="Location"/>
        <s v="Location Description"/>
        <s v="Inbound or Outbound"/>
        <s v="Kellogg Owned/Not Owned (Coman)"/>
        <s v="Flavor"/>
        <s v="Food Form"/>
        <s v="Sub-Food Form"/>
        <s v="Material Segment Description"/>
        <s v="Material Segment #"/>
        <s v="Category Description"/>
        <s v="Category #"/>
        <s v="Sub-Category Description"/>
        <s v="Sub-Category #"/>
        <s v="Brand Description"/>
        <s v="Brand Number"/>
        <s v="Type Description"/>
        <s v="Type #"/>
        <s v="Sub-Type Description"/>
        <s v="Sub-Type #"/>
        <s v="Forecast Entry Options"/>
        <s v="X"/>
        <s v="Alt UOM"/>
        <s v="&lt;=&gt;"/>
        <s v="Y"/>
        <s v="Base UOM"/>
        <s v="Length"/>
        <s v="Width"/>
        <s v="Height"/>
        <s v="Unit of Dimension"/>
        <s v="Volume"/>
        <s v="Volume Unit"/>
        <s v="Gross Weight"/>
        <s v="Weight Unit"/>
        <s v="Language"/>
        <s v="Material Description"/>
        <s v="Material Description Length"/>
        <s v="Generate Material Description"/>
        <s v="Suggested Material Desc"/>
        <s v="Length (of Sugg Matl Desc)"/>
        <s v="Departure Country"/>
        <s v="Tax Category"/>
        <s v="Tax Classification"/>
        <s v="Create Forecast Material"/>
        <s v="Manually Execute Scripts"/>
        <s v="VAS"/>
        <s v="(LIM Launch) Return Comments"/>
        <s v="statuses of the workflow (X, R, C…)"/>
        <s v="Proposed Red K Price"/>
        <s v="Proposed Red K Currency"/>
        <s v="Business Unit"/>
        <s v="Material Group 1"/>
        <s v="1st Arrival Date"/>
        <s v="1st Arrival Date (Day)"/>
        <s v="1st Ship Date"/>
        <s v="1st Ship Date (Day)"/>
        <s v="FERT Type"/>
        <s v="Pricing Validity Date"/>
        <s v="Pack Type Use"/>
        <s v="Planning Variant"/>
        <s v="SKU Type"/>
        <s v="Promo End Date"/>
        <s v="Stop Ship/Target Discontinuance"/>
        <s v="Remarket Date"/>
        <s v="Is this a SKU to SKU Transition"/>
        <s v="Conversion Case Code"/>
        <s v="Conversion Date"/>
        <s v="OTG Type"/>
        <s v="Single Serve"/>
        <s v="Pack Size"/>
        <s v="Total shelf life"/>
        <s v="Will this item be sold at the package level Direct To Consumer  (DTC)"/>
        <s v="Alternate Market Segment"/>
        <s v="Alternate Category"/>
        <s v="Alternate Sub-Category"/>
        <s v="Trade Channel"/>
        <s v="Promotion Description"/>
        <s v="Promo Short Description"/>
        <s v="Business Unit for Promo"/>
        <s v="Royalty Product Type"/>
        <s v="Royalty Licenser"/>
        <s v="Royalty Licenser Abbreviation"/>
        <s v="Food Count (Bars, Waffles, PT, Shakes, RKT)"/>
        <s v="Special Pack Type"/>
        <s v="Pringles Country for Material Description"/>
        <s v="Material Number (BOM setup)"/>
        <s v="Material Description (BOM Setup)"/>
        <s v="List Price (Red K)"/>
        <s v="Base Material"/>
        <s v="Gross Pkg Weight"/>
        <s v="Gross Wt UOM"/>
        <s v="Net Pkg Weight"/>
        <s v="Net Wt UOM"/>
        <s v="Component Pkgs Per Case"/>
        <s v="Packages Per Mod Assortment"/>
        <s v="Number of Cases Required"/>
        <s v="Taxable"/>
        <s v="WIP SKU"/>
        <s v="Pkgs Per Case or WIP"/>
        <s v="Components Per Variety Pack"/>
        <s v="Variety Packages Per Case"/>
        <s v="Calculation Check"/>
        <s v="Display Vehicle"/>
        <s v="Material Freight Group"/>
        <s v="Chocolate Enrobed"/>
        <s v="Pouch Size"/>
        <s v="Pouch Size UOM"/>
        <s v="Package Size"/>
        <s v="Package Size UOM"/>
        <s v="Country of Origin"/>
        <s v="Is the Manufacturing Location a Co-Man or Co-Packer"/>
        <s v="(LIM Upd) Return Comments"/>
        <s v="VAS Plant Groups"/>
        <s v="Sub-Brand"/>
        <s v="(EPM) Return Comments"/>
        <s v="(DI Review) Return Comments"/>
        <s v="Max Storage Period/Ship Life"/>
        <s v="PES Food Review"/>
        <s v="Defect Group"/>
        <s v="Multi Defect Group"/>
        <s v="Grams per piece"/>
        <s v="Weight Measure"/>
        <s v="Metric Stated Net Pouch Weight (g/kg)"/>
        <s v="Metric Stated Net Pouch Size Unit"/>
        <s v="Metric Stated Net Package Weight (g/kg)"/>
        <s v="Metric Stated Net Package Weight Unit"/>
        <s v="Package Net Weight for SAP (Metric)"/>
        <s v="Stated Net Pouch Weight (oz/lb)"/>
        <s v="Stated Net Pouch Weight Unit"/>
        <s v="Stated Net Package Weight (oz/lb)"/>
        <s v="Stated Net Package Weight Unit"/>
        <s v="Package Net Weight for SAP (Imperial)"/>
        <s v="Metric Stated Net Pouch Weight (g)"/>
        <s v="Metric Stated Net Package Weight (g)"/>
        <s v="Stated Net Pouch Weight (oz)"/>
        <s v="Stated Net Package Weight (oz)"/>
        <s v="Package Individual Unit Size"/>
        <s v="Package Individual Unit Size UOM"/>
        <s v="Package Inner Pack Quantity"/>
        <s v="Did you check the Food Form"/>
        <s v="Pouch"/>
        <s v="Package"/>
        <s v="Case"/>
        <s v="(NL) Return Comments"/>
        <s v="Pringles Can Size"/>
        <s v="Unit Load Stacking Factor"/>
        <s v="Packaging Profile"/>
        <s v="Handling Platform Type"/>
        <s v="RTEC/Pringles Cube Size"/>
        <s v="Clamp Pressure"/>
        <s v="Dim/Gross Wght Req"/>
        <s v="Dim Details"/>
        <s v="Gross Wght Dtls"/>
        <s v="Component K #"/>
        <s v="Component Description"/>
        <s v="Unit of Measure"/>
        <s v="Number Required per UOM"/>
        <s v="Dieline"/>
        <s v="Supplier"/>
        <s v="Print(Y/N)"/>
        <s v="Add to BOM"/>
        <s v="Net Weight"/>
        <s v="(Pkg Tech) Return Comments"/>
        <s v="Material Group 5"/>
        <s v="(CA Fin Tax) Return Comments"/>
        <s v="Final Red K List Price (cs)"/>
        <s v="(DI Hier) Return Comments"/>
        <s v="(LIM DB) Return to Team"/>
        <s v="(LIM DB) LIM Return Comments"/>
        <s v="Z1 Material Description"/>
        <s v="ZF Material Description"/>
        <s v="Distribution Methods"/>
        <s v="Material Number (Sales Org Extension)"/>
        <s v="New Sales Organization"/>
        <s v="New Distribution Channel"/>
        <s v="Tax Code"/>
        <s v="Requestor Update"/>
        <s v="(MF) Requestor Update Return Comments"/>
        <s v="Category Finance (checkbox)"/>
        <s v="(MF) Category Finance Return Comments"/>
        <s v="Nutrition Labeling (checkbox)"/>
        <s v="(MF) Nutrition Labeling Return Comments"/>
        <s v="LIM Update"/>
        <s v="(MF) LIM Update Return Comments"/>
        <s v="Packaging Tech"/>
        <s v="(MF) Packaging Tech Return Comments"/>
        <s v="Send Returns (button)"/>
        <s v="Material Type"/>
        <s v="Plant Category"/>
        <s v="Plant Number List"/>
        <s v="Create Plant Extension"/>
        <s v="Plant"/>
        <s v="Material Number (Plant Ext)"/>
        <s v="Original BOM Plant"/>
        <s v="Component"/>
        <s v="Quantity"/>
        <s v="Assign Plant"/>
        <s v="Material Number (VAS BOM)"/>
        <s v="Original Plant"/>
        <s v="Newly Assigned Plant"/>
        <s v="Will a full case of this product be sold Direct to Consumer"/>
        <s v="DTC Package Price"/>
        <s v="(12 checkboxes)"/>
        <s v="Updates Complete (button)"/>
        <s v="Country"/>
        <s v="Retail Material Number"/>
        <s v="1. Validate Retail material Number (button)"/>
        <s v="2. Import Alt UOM Table (button)"/>
        <s v="Save and Route (button)"/>
        <s v="Choose File"/>
        <s v="Did you submit DTC Form"/>
        <s v="DTC Form Launched (button)"/>
        <s v="Launch Later (No Save) (button)"/>
        <s v="Is this a Pringles product?" u="1"/>
        <s v="Is this an RX Product?" u="1"/>
        <s v="Is product designated to one customer?" u="1"/>
        <s v="Include Designated Cust In Material Desc?" u="1"/>
        <s v="Variety Pack?" u="1"/>
        <s v="Variety Pack components have UPC codes?" u="1"/>
        <s v="Build SKU Using Existing Package UPCs?" u="1"/>
        <s v="Is this item owned by Away From Home?" u="1"/>
        <s v="Is this an Export Product?" u="1"/>
        <s v="Build SKU Using Existing Export UPCs?" u="1"/>
        <s v="Private Label?" u="1"/>
        <s v="Build SKU Using Existing Private UPCs?" u="1"/>
        <s v="Data Sync(GDSN)?" u="1"/>
        <s v="Is this Non Sellable FERT WIP? (FALB)" u="1"/>
        <s v="Is a Compressed UPC Required for the Components?" u="1"/>
        <s v="Unique UPC?" u="1"/>
        <s v="Supply Chain Budget Forecast SKU?" u="1"/>
        <s v="UPC Required?" u="1"/>
        <s v="Unique or Same UPC?" u="1"/>
        <s v="GTIN Required?" u="1"/>
        <s v="Unique or Same GTIN?" u="1"/>
        <s v="Inbound or Outbound?" u="1"/>
        <s v="VAS?" u="1"/>
        <s v="Is this a SKU to SKU Transition?" u="1"/>
        <s v="Will this item be sold at the package level Direct To Consumer?  (DTC)" u="1"/>
        <s v="Taxable?" u="1"/>
        <s v="Is the Manufacturing Location a Co-Man or Co-Packer?" u="1"/>
        <s v="Did you check the Food Form?" u="1"/>
        <s v="Print?(Y/N)" u="1"/>
        <s v="Add to BOM?" u="1"/>
        <s v="Will a full case of this product be sold Direct to Consumer?" u="1"/>
        <s v="Did you submit DTC Form?" u="1"/>
        <s v="Category Descripotion" u="1"/>
        <s v="Include Designated Cust. In Material Desc?" u="1"/>
        <s v="Will this item be sold at the package level Direct To Consumer?" u="1"/>
      </sharedItems>
    </cacheField>
    <cacheField name="#fields enterable in Trng deck" numFmtId="0">
      <sharedItems containsSemiMixedTypes="0" containsString="0" containsNumber="1" containsInteger="1" minValue="0" maxValue="1"/>
    </cacheField>
    <cacheField name="page(s) of Trng deck" numFmtId="0">
      <sharedItems containsMixedTypes="1" containsNumber="1" containsInteger="1" minValue="0" maxValue="130"/>
    </cacheField>
    <cacheField name="types of fields" numFmtId="0">
      <sharedItems count="86">
        <s v="autofill"/>
        <s v="dd: user roles"/>
        <s v="dd: WKKC, KELLANOVA"/>
        <s v="dd: CASE, DISPLAY, WIP"/>
        <s v="dd: reference list: PRODUCT_COUNTRY.XLSX"/>
        <s v="dd: reference list: PRODUCT_SETUP_TYPE.XLSX, Setup_Type column"/>
        <s v="dd: reference list: PRODUCT_SETUP_TYPE.XLSX, Setup_Qualifier column"/>
        <s v="dd: YES, NO"/>
        <s v="free form"/>
        <s v="dd: KUBIC, PDR, PWR, SCR"/>
        <s v="dd: reference list: RDL_Categories.xlsx"/>
        <s v="dd: PACKAGE, INNER ITEM/POUCH"/>
        <s v="dd: ESTIMATED, FINALIZED"/>
        <s v="dd: OZ, LB, G, KG"/>
        <s v="SAP db list"/>
        <s v="dd: reference list: PRL: Designated Customer Name"/>
        <s v="dd: reference list: PRL: Private Label Customers"/>
        <s v="dd: reference list: MATERIAL_PREFIX.XLSX"/>
        <s v="dd: NO, POUCH, PACKAGE, BOTH"/>
        <s v="dd: reference list: ADDITIONAL_PACKAGING_LAUNCH.XLSX"/>
        <s v="radio button: NORMAL, CBP, URGENT"/>
        <s v="radio button: BPS, Menasha/12 Associates, Canada VAS"/>
        <s v="export buttons"/>
        <s v="dd: reference list: PRL: Manufacturing Company"/>
        <s v="dd: reference list: PRL: Material Group"/>
        <s v="dd: reference list: PRL: External Material Group"/>
        <s v="dd: reference list: PRL: KSC Field Category"/>
        <s v="dd: reference list: PRL: Transportation Group"/>
        <s v="dd: reference list: COUNTRY (not in RDL or PRL)"/>
        <s v="dd: reference list: ZMMU table (not in RDL or PRL)"/>
        <s v="dd: INBOUND, OUTBOUND"/>
        <s v="dd: KELLOGG OWNED, NOT OWNED (COMAN)"/>
        <s v="dd: reference list: PRL: Flavor"/>
        <s v="dd: reference list: PRL: Food Form"/>
        <s v="dd: reference list: PRL: Sub Food Form"/>
        <s v="dd: reference list: PRL: Product Hierarchy Market Segment"/>
        <s v="dd: reference list: PRL: Product Hierarchy Market Category"/>
        <s v="dd: reference list: PRL: Product Hierarchy Market Sub-Category"/>
        <s v="dd: reference list: PRL: Product Hierarchy Brand"/>
        <s v="dd: reference list: PRL: Product Hierarchy Type"/>
        <s v="dd: reference list: PRL: Product Hierarchy Sub-Type"/>
        <s v="radio button: DEFAULTS, ESTIMATED, ACTUALS"/>
        <s v="dd: reference list: DESCRIPTION_LANGUAGES.XLSX"/>
        <s v="button"/>
        <s v="dd: reference list: TAX_CLASSIFICATION.XLSX"/>
        <s v="expand group with more buttons"/>
        <s v="dd: USD, CAD"/>
        <s v="dd: reference list: PRL: Business Unit"/>
        <s v="dd: reference list: PRL: Material Group 1"/>
        <s v="date"/>
        <s v="dd: reference list: PRL: FERT Type"/>
        <s v="dd: reference list: PRL: Pack Type Use"/>
        <s v="dd: reference list: PRL: Planning Variant"/>
        <s v="dd: PERMANENT, LIMITED"/>
        <s v="dd: reference list: PRL: OTG Type"/>
        <s v="dd: reference list: PRL: Pack Size _x000a_(CLUB PACK, RETAIL, SINGLE SERVE)"/>
        <s v="dd: reference list: PRL: Trade Channel"/>
        <s v="dd: reference list: PRL: Promotion"/>
        <s v="dd: reference list: PRL: Business Unit for Promo"/>
        <s v="dd: reference list: PRL: Royalty Product Type"/>
        <s v="dd: reference list: PRL: Royalty Licenser"/>
        <s v="dd: reference list: PRL: Special Pack Type"/>
        <s v="dd: GM, OZ"/>
        <s v="dd: reference list: PRL: Display Vehicle"/>
        <s v="dd: reference list: PRL: Material Freight Group"/>
        <s v="dd: reference list: PRL: Country of Origin"/>
        <s v="dd: reference list: VAS_PLANTS.XLSX"/>
        <s v="dd: reference list: PRL: Sub Brand (Finance)"/>
        <s v="dd: reference list: PRL: Defect Group"/>
        <s v="radio button: IMPERIAL, METRIC"/>
        <s v="dd: OZ, LB"/>
        <s v="calculation"/>
        <s v="checkbox"/>
        <s v="dd: reference list: PRL: Stacking Factor"/>
        <s v="dd: reference list: PRL: Packaging Profile"/>
        <s v="dd: reference list: PRL: Handling Platform Type"/>
        <s v="dd: reference list: PRL: Cube Size"/>
        <s v="dd: reference list: PRL: Clamp Pressure"/>
        <s v="dd: reference list"/>
        <s v="dd: reference list: PRL: Material Group 5"/>
        <s v="dd: reference list: DISTRIBUTION_METHODS.XLSX"/>
        <s v="script button"/>
        <s v="dd: directory"/>
        <s v="dd: reference list: VAS_PLANTS.XLSX???" u="1"/>
        <s v="dd: US, CA, MX" u="1"/>
        <s v="dd: CLUB PACK, RETAIL, SINGLE SERVE" u="1"/>
      </sharedItems>
    </cacheField>
    <cacheField name="required" numFmtId="0">
      <sharedItems containsBlank="1"/>
    </cacheField>
    <cacheField name="owner" numFmtId="0">
      <sharedItems count="10">
        <s v="Requestor"/>
        <s v="Masterfiles"/>
        <s v="LIM"/>
        <s v="EPM Finance"/>
        <s v="Data Integrity"/>
        <s v="R&amp;D Quality"/>
        <s v="Nutrition Labeling"/>
        <s v="Packaging Tech"/>
        <s v="CA Finance Tax"/>
        <s v="Category Finance"/>
      </sharedItems>
    </cacheField>
    <cacheField name="additional roles who can modify_x000a_" numFmtId="0">
      <sharedItems containsBlank="1"/>
    </cacheField>
    <cacheField name="column referenced in BR.xlsx file (from Tamara)" numFmtId="0">
      <sharedItems containsBlank="1"/>
    </cacheField>
    <cacheField name="comments" numFmtId="0">
      <sharedItems containsBlank="1" longText="1"/>
    </cacheField>
    <cacheField name="Business Rules (technical)" numFmtId="0">
      <sharedItems containsBlank="1" longText="1"/>
    </cacheField>
    <cacheField name="Business Rules (AI ready)" numFmtId="0">
      <sharedItems containsNonDate="0" containsString="0" containsBlank="1"/>
    </cacheField>
    <cacheField name="Business Rule status" numFmtId="0">
      <sharedItems/>
    </cacheField>
    <cacheField name="Timing status" numFmtId="0">
      <sharedItems/>
    </cacheField>
    <cacheField name="Trng Sectn #" numFmtId="0">
      <sharedItems containsSemiMixedTypes="0" containsString="0" containsNumber="1" containsInteger="1" minValue="10" maxValue="230"/>
    </cacheField>
    <cacheField name="Trng Sectn Priority" numFmtId="0">
      <sharedItems/>
    </cacheField>
    <cacheField name="Week" numFmtId="0">
      <sharedItems/>
    </cacheField>
    <cacheField name="Week Beginning Date" numFmtId="14">
      <sharedItems containsSemiMixedTypes="0" containsNonDate="0" containsDate="1" containsString="0" minDate="2025-09-16T00:00:00" maxDate="2025-10-14T00:00:00"/>
    </cacheField>
    <cacheField name="PRIORITY (1..9)_x000a_1-highest_x000a_5-mid_x000a_9-lowest" numFmtId="0">
      <sharedItems containsString="0" containsBlank="1" containsNumber="1" containsInteger="1" minValue="1" maxValue="9"/>
    </cacheField>
    <cacheField name="COMPLEXITY (3..1,0)_x000a_3-high_x000a_2-med_x000a_1-low_x000a_0-autofill" numFmtId="0">
      <sharedItems containsSemiMixedTypes="0" containsString="0" containsNumber="1" containsInteger="1" minValue="0" maxValue="3" count="4">
        <n v="0"/>
        <n v="1"/>
        <n v="3"/>
        <n v="2"/>
      </sharedItems>
    </cacheField>
    <cacheField name="Hours" numFmtId="0">
      <sharedItems containsSemiMixedTypes="0" containsString="0" containsNumber="1" minValue="0" maxValue="1.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x v="0"/>
    <x v="0"/>
    <s v="Requestor Initiate"/>
    <x v="0"/>
    <n v="0"/>
    <n v="23"/>
    <s v="autofill"/>
    <s v="yes"/>
    <x v="0"/>
    <m/>
    <m/>
    <m/>
    <s v="pull name from user logged in"/>
    <m/>
    <x v="0"/>
    <s v="complete"/>
    <x v="0"/>
    <x v="0"/>
    <x v="0"/>
    <x v="0"/>
    <n v="9"/>
    <x v="0"/>
    <n v="0"/>
    <x v="0"/>
    <d v="2025-09-23T00:00:00"/>
    <d v="2025-09-25T00:00:00"/>
    <d v="2025-09-29T00:00:00"/>
  </r>
  <r>
    <x v="1"/>
    <x v="0"/>
    <s v="Requestor Initiate"/>
    <x v="1"/>
    <n v="0"/>
    <n v="23"/>
    <s v="autofill"/>
    <s v="yes"/>
    <x v="0"/>
    <m/>
    <m/>
    <m/>
    <s v="pull email from user logged in"/>
    <m/>
    <x v="0"/>
    <s v="complete"/>
    <x v="0"/>
    <x v="0"/>
    <x v="0"/>
    <x v="0"/>
    <n v="9"/>
    <x v="0"/>
    <n v="0"/>
    <x v="0"/>
    <d v="2025-09-23T00:00:00"/>
    <d v="2025-09-25T00:00:00"/>
    <d v="2025-09-29T00:00:00"/>
  </r>
  <r>
    <x v="2"/>
    <x v="0"/>
    <s v="Requestor Initiate"/>
    <x v="2"/>
    <n v="0"/>
    <n v="23"/>
    <s v="autofill"/>
    <s v="yes"/>
    <x v="0"/>
    <m/>
    <m/>
    <m/>
    <s v="pull date from computer"/>
    <m/>
    <x v="0"/>
    <s v="complete"/>
    <x v="0"/>
    <x v="0"/>
    <x v="0"/>
    <x v="0"/>
    <n v="9"/>
    <x v="0"/>
    <n v="0"/>
    <x v="0"/>
    <d v="2025-09-23T00:00:00"/>
    <d v="2025-09-25T00:00:00"/>
    <d v="2025-09-29T00:00:00"/>
  </r>
  <r>
    <x v="3"/>
    <x v="0"/>
    <s v="Requestor Initiate"/>
    <x v="3"/>
    <n v="0"/>
    <n v="23"/>
    <s v="autofill"/>
    <s v="yes"/>
    <x v="0"/>
    <m/>
    <m/>
    <m/>
    <s v="pull NIF version of the form"/>
    <m/>
    <x v="0"/>
    <s v="complete"/>
    <x v="0"/>
    <x v="0"/>
    <x v="0"/>
    <x v="0"/>
    <n v="9"/>
    <x v="0"/>
    <n v="0"/>
    <x v="0"/>
    <d v="2025-09-23T00:00:00"/>
    <d v="2025-09-25T00:00:00"/>
    <d v="2025-09-29T00:00:00"/>
  </r>
  <r>
    <x v="4"/>
    <x v="0"/>
    <s v="Person Responsible"/>
    <x v="4"/>
    <n v="0"/>
    <n v="23"/>
    <s v="dd: user roles"/>
    <s v="yes"/>
    <x v="0"/>
    <m/>
    <m/>
    <m/>
    <s v="pull name from user logged in"/>
    <m/>
    <x v="0"/>
    <s v="complete"/>
    <x v="0"/>
    <x v="0"/>
    <x v="0"/>
    <x v="0"/>
    <n v="9"/>
    <x v="0"/>
    <n v="0"/>
    <x v="0"/>
    <d v="2025-09-23T00:00:00"/>
    <d v="2025-09-25T00:00:00"/>
    <d v="2025-09-29T00:00:00"/>
  </r>
  <r>
    <x v="5"/>
    <x v="0"/>
    <s v="Person Responsible"/>
    <x v="5"/>
    <n v="1"/>
    <s v="23, 32, 61"/>
    <s v="dd: user roles"/>
    <s v="yes"/>
    <x v="0"/>
    <s v="LIM"/>
    <m/>
    <m/>
    <s v="no Business Rules"/>
    <m/>
    <x v="0"/>
    <s v="complete"/>
    <x v="0"/>
    <x v="0"/>
    <x v="0"/>
    <x v="0"/>
    <n v="4"/>
    <x v="1"/>
    <n v="0.5"/>
    <x v="1"/>
    <d v="2025-09-23T00:00:00"/>
    <d v="2025-09-25T00:00:00"/>
    <d v="2025-09-29T00:00:00"/>
  </r>
  <r>
    <x v="6"/>
    <x v="0"/>
    <s v="Product Setup"/>
    <x v="6"/>
    <n v="0"/>
    <n v="0"/>
    <s v="dd: WKKC, KELLANOVA"/>
    <s v="yes"/>
    <x v="0"/>
    <m/>
    <m/>
    <s v="9/24/25 new field identified"/>
    <s v="autofill to KELLANOVA"/>
    <m/>
    <x v="0"/>
    <s v="complete"/>
    <x v="0"/>
    <x v="0"/>
    <x v="0"/>
    <x v="0"/>
    <m/>
    <x v="1"/>
    <n v="0"/>
    <x v="0"/>
    <d v="2025-09-24T00:00:00"/>
    <d v="2025-09-25T00:00:00"/>
    <d v="2025-09-29T00:00:00"/>
  </r>
  <r>
    <x v="7"/>
    <x v="0"/>
    <s v="Product Setup"/>
    <x v="7"/>
    <n v="1"/>
    <n v="24"/>
    <s v="dd: CASE, DISPLAY, WIP"/>
    <s v="yes"/>
    <x v="0"/>
    <m/>
    <s v="col A"/>
    <m/>
    <s v="Flowchart: Product Type / Product Sub Type"/>
    <m/>
    <x v="0"/>
    <s v="complete"/>
    <x v="0"/>
    <x v="0"/>
    <x v="1"/>
    <x v="1"/>
    <n v="1"/>
    <x v="2"/>
    <n v="1.5"/>
    <x v="2"/>
    <d v="2025-09-18T00:00:00"/>
    <d v="2025-09-21T00:00:00"/>
    <d v="2025-09-22T00:00:00"/>
  </r>
  <r>
    <x v="8"/>
    <x v="0"/>
    <s v="Product Setup"/>
    <x v="8"/>
    <n v="1"/>
    <n v="24"/>
    <s v="dd: reference list: PRODUCT_COUNTRY.XLSX"/>
    <s v="yes"/>
    <x v="0"/>
    <m/>
    <s v="NOT in BR.xlsx"/>
    <m/>
    <s v="Flowchart: Product Type / Product Sub Type"/>
    <m/>
    <x v="0"/>
    <s v="complete"/>
    <x v="0"/>
    <x v="0"/>
    <x v="1"/>
    <x v="1"/>
    <n v="1"/>
    <x v="2"/>
    <n v="1.5"/>
    <x v="2"/>
    <d v="2025-09-18T00:00:00"/>
    <d v="2025-09-21T00:00:00"/>
    <d v="2025-09-22T00:00:00"/>
  </r>
  <r>
    <x v="9"/>
    <x v="0"/>
    <s v="Product Setup"/>
    <x v="9"/>
    <n v="1"/>
    <n v="24"/>
    <s v="dd: reference list: PRODUCT_SETUP_TYPE.XLSX, Setup_Type column"/>
    <s v="yes"/>
    <x v="0"/>
    <m/>
    <s v="col B"/>
    <s v="dependent on FORM TYPE"/>
    <s v="Flowchart: Product Type / Product Sub Type"/>
    <m/>
    <x v="0"/>
    <s v="complete"/>
    <x v="0"/>
    <x v="0"/>
    <x v="1"/>
    <x v="1"/>
    <n v="1"/>
    <x v="2"/>
    <n v="1.5"/>
    <x v="2"/>
    <d v="2025-09-24T00:00:00"/>
    <d v="2025-09-24T00:00:00"/>
    <d v="2025-09-29T00:00:00"/>
  </r>
  <r>
    <x v="10"/>
    <x v="0"/>
    <s v="Product Setup"/>
    <x v="10"/>
    <n v="1"/>
    <n v="24"/>
    <s v="dd: reference list: PRODUCT_SETUP_TYPE.XLSX, Setup_Qualifier column"/>
    <s v="yes"/>
    <x v="0"/>
    <m/>
    <s v="col C"/>
    <s v="dependent on PRODUCT TYPE"/>
    <s v="Flowchart: Product Type / Product Sub Type"/>
    <m/>
    <x v="0"/>
    <s v="complete"/>
    <x v="0"/>
    <x v="0"/>
    <x v="1"/>
    <x v="1"/>
    <n v="1"/>
    <x v="2"/>
    <n v="1.5"/>
    <x v="2"/>
    <d v="2025-09-18T00:00:00"/>
    <d v="2025-09-21T00:00:00"/>
    <d v="2025-09-22T00:00:00"/>
  </r>
  <r>
    <x v="11"/>
    <x v="0"/>
    <s v="Product Setup"/>
    <x v="11"/>
    <n v="1"/>
    <n v="24"/>
    <s v="dd: YES, NO"/>
    <s v="yes"/>
    <x v="0"/>
    <m/>
    <s v="NOT in BR.xlsx"/>
    <m/>
    <s v="1011 predecessor for pringles naming convention for country sold in as part of description (1175); plus Pringles Can Size (1235), and RTEC/Pringles Cube Size (1239) is required"/>
    <m/>
    <x v="0"/>
    <s v="complete"/>
    <x v="0"/>
    <x v="0"/>
    <x v="1"/>
    <x v="1"/>
    <n v="1"/>
    <x v="1"/>
    <n v="0.5"/>
    <x v="2"/>
    <d v="2025-09-19T00:00:00"/>
    <d v="2025-09-23T00:00:00"/>
    <d v="2025-09-23T00:00:00"/>
  </r>
  <r>
    <x v="12"/>
    <x v="0"/>
    <s v="Product Setup"/>
    <x v="12"/>
    <n v="1"/>
    <n v="24"/>
    <s v="dd: YES, NO"/>
    <s v="yes"/>
    <x v="0"/>
    <m/>
    <s v="NOT in BR.xlsx"/>
    <m/>
    <s v="1012 predecessor to: &quot;Will product be sold DTC question&quot; (1162), this will also kick off the DTC form at end of process;   Dependencies 1292, 1301, 1302"/>
    <m/>
    <x v="0"/>
    <s v="complete"/>
    <x v="0"/>
    <x v="0"/>
    <x v="1"/>
    <x v="1"/>
    <n v="1"/>
    <x v="1"/>
    <n v="0.5"/>
    <x v="2"/>
    <d v="2025-09-19T00:00:00"/>
    <d v="2025-09-23T00:00:00"/>
    <d v="2025-09-23T00:00:00"/>
  </r>
  <r>
    <x v="13"/>
    <x v="0"/>
    <s v="Product Setup"/>
    <x v="13"/>
    <n v="0"/>
    <s v="24, 45"/>
    <s v="free form"/>
    <s v="no"/>
    <x v="1"/>
    <m/>
    <m/>
    <s v="same as field 1070"/>
    <s v="duplicate of 1070"/>
    <m/>
    <x v="0"/>
    <s v="complete"/>
    <x v="0"/>
    <x v="0"/>
    <x v="1"/>
    <x v="1"/>
    <n v="1"/>
    <x v="1"/>
    <n v="0"/>
    <x v="3"/>
    <d v="2025-09-19T00:00:00"/>
    <d v="2025-09-19T00:00:00"/>
    <d v="2025-09-19T00:00:00"/>
  </r>
  <r>
    <x v="14"/>
    <x v="0"/>
    <s v="Product Setup"/>
    <x v="14"/>
    <n v="1"/>
    <n v="24"/>
    <s v="dd: KUBIC, PDR, PWR, SCR"/>
    <s v="yes"/>
    <x v="0"/>
    <m/>
    <s v="col E"/>
    <m/>
    <s v="1014: predecessor for: 1015, 1025"/>
    <m/>
    <x v="0"/>
    <s v="complete"/>
    <x v="0"/>
    <x v="0"/>
    <x v="1"/>
    <x v="1"/>
    <n v="1"/>
    <x v="3"/>
    <n v="1"/>
    <x v="2"/>
    <d v="2025-09-19T00:00:00"/>
    <d v="2025-09-22T00:00:00"/>
    <d v="2025-09-22T00:00:00"/>
  </r>
  <r>
    <x v="15"/>
    <x v="0"/>
    <s v="Product Setup"/>
    <x v="15"/>
    <n v="1"/>
    <n v="24"/>
    <s v="free form"/>
    <s v="yes"/>
    <x v="0"/>
    <m/>
    <s v="col G"/>
    <m/>
    <s v="1015: dependent on 1014 PROJECT TYPE: PDR and SCR is text (ex Tasty) PWR is numeric"/>
    <m/>
    <x v="0"/>
    <s v="complete"/>
    <x v="0"/>
    <x v="0"/>
    <x v="1"/>
    <x v="1"/>
    <n v="1"/>
    <x v="1"/>
    <n v="0.5"/>
    <x v="2"/>
    <d v="2025-09-19T00:00:00"/>
    <d v="2025-09-22T00:00:00"/>
    <d v="2025-09-22T00:00:00"/>
  </r>
  <r>
    <x v="16"/>
    <x v="0"/>
    <s v="Product Setup"/>
    <x v="16"/>
    <n v="1"/>
    <n v="0"/>
    <s v="dd: reference list: RDL_Categories.xlsx"/>
    <s v="yes"/>
    <x v="0"/>
    <m/>
    <s v="col I"/>
    <s v="…not in Trng_deck.ppt;_x000a_Bars, Crackers, Other Convenience, Salty Snacks, Frozen, Toaster Pastries, Veggies"/>
    <s v="no known BR based on data entered"/>
    <m/>
    <x v="0"/>
    <s v="complete"/>
    <x v="0"/>
    <x v="0"/>
    <x v="1"/>
    <x v="1"/>
    <n v="1"/>
    <x v="1"/>
    <n v="0.5"/>
    <x v="2"/>
    <d v="2025-09-19T00:00:00"/>
    <d v="2025-09-22T00:00:00"/>
    <d v="2025-09-22T00:00:00"/>
  </r>
  <r>
    <x v="17"/>
    <x v="0"/>
    <s v="Product Setup"/>
    <x v="17"/>
    <n v="1"/>
    <s v="24, 33, 73"/>
    <s v="free form"/>
    <s v="yes"/>
    <x v="0"/>
    <s v="LIM"/>
    <s v="col K"/>
    <s v="used for naming NIF form, but do not incorporate into AI"/>
    <s v="no more than 40 characters"/>
    <m/>
    <x v="0"/>
    <s v="complete"/>
    <x v="0"/>
    <x v="0"/>
    <x v="1"/>
    <x v="1"/>
    <n v="1"/>
    <x v="3"/>
    <n v="1"/>
    <x v="3"/>
    <d v="2025-09-19T00:00:00"/>
    <d v="2025-09-22T00:00:00"/>
    <d v="2025-09-22T00:00:00"/>
  </r>
  <r>
    <x v="18"/>
    <x v="0"/>
    <s v="Product Setup"/>
    <x v="18"/>
    <n v="1"/>
    <s v="24, 33, 73"/>
    <s v="free form"/>
    <s v="yes"/>
    <x v="0"/>
    <s v="LIM"/>
    <s v="col M"/>
    <s v="Be as detailed as possible and provide the flavor, package size and can size, if known"/>
    <s v="no known BR based on data entered"/>
    <m/>
    <x v="0"/>
    <s v="complete"/>
    <x v="0"/>
    <x v="0"/>
    <x v="1"/>
    <x v="1"/>
    <n v="1"/>
    <x v="3"/>
    <n v="1"/>
    <x v="3"/>
    <d v="2025-09-19T00:00:00"/>
    <d v="2025-09-22T00:00:00"/>
    <d v="2025-09-22T00:00:00"/>
  </r>
  <r>
    <x v="19"/>
    <x v="0"/>
    <s v="Stated Weights/Case Count"/>
    <x v="19"/>
    <n v="1"/>
    <s v="24, 33, 73"/>
    <s v="dd: PACKAGE, INNER ITEM/POUCH"/>
    <s v="yes"/>
    <x v="0"/>
    <s v="LIM"/>
    <s v="col O"/>
    <s v="informational only"/>
    <s v="no known BR based on data entered"/>
    <m/>
    <x v="0"/>
    <s v="complete"/>
    <x v="0"/>
    <x v="0"/>
    <x v="1"/>
    <x v="1"/>
    <n v="2"/>
    <x v="3"/>
    <n v="1"/>
    <x v="3"/>
    <d v="2025-09-19T00:00:00"/>
    <d v="2025-09-23T00:00:00"/>
    <d v="2025-09-29T00:00:00"/>
  </r>
  <r>
    <x v="20"/>
    <x v="0"/>
    <s v="Stated Weights/Case Count"/>
    <x v="20"/>
    <n v="1"/>
    <s v="24, 33, 73"/>
    <s v="dd: ESTIMATED, FINALIZED"/>
    <s v="yes"/>
    <x v="0"/>
    <s v="LIM"/>
    <s v="col Q"/>
    <s v="informational only"/>
    <s v="no known BR based on data entered"/>
    <m/>
    <x v="0"/>
    <s v="complete"/>
    <x v="0"/>
    <x v="0"/>
    <x v="1"/>
    <x v="1"/>
    <n v="2"/>
    <x v="3"/>
    <n v="1"/>
    <x v="3"/>
    <d v="2025-09-19T00:00:00"/>
    <d v="2025-09-23T00:00:00"/>
    <d v="2025-09-29T00:00:00"/>
  </r>
  <r>
    <x v="21"/>
    <x v="0"/>
    <s v="Stated Weights/Case Count"/>
    <x v="21"/>
    <n v="1"/>
    <s v="24, 33, 73, 99"/>
    <s v="free form"/>
    <s v="yes"/>
    <x v="0"/>
    <s v="LIM, Packaging Tech"/>
    <s v="col S"/>
    <s v="informational only"/>
    <s v="no known BR based on data entered"/>
    <m/>
    <x v="0"/>
    <s v="complete"/>
    <x v="0"/>
    <x v="0"/>
    <x v="1"/>
    <x v="1"/>
    <n v="2"/>
    <x v="1"/>
    <n v="0.5"/>
    <x v="3"/>
    <d v="2025-09-19T00:00:00"/>
    <d v="2025-09-23T00:00:00"/>
    <d v="2025-09-29T00:00:00"/>
  </r>
  <r>
    <x v="22"/>
    <x v="0"/>
    <s v="Stated Weights/Case Count"/>
    <x v="22"/>
    <n v="1"/>
    <s v="24, 33, 73"/>
    <s v="dd: OZ, LB, G, KG"/>
    <s v="yes"/>
    <x v="0"/>
    <s v="LIM"/>
    <s v="col U"/>
    <s v="informational only"/>
    <s v="no known BR based on data entered"/>
    <m/>
    <x v="0"/>
    <s v="complete"/>
    <x v="0"/>
    <x v="0"/>
    <x v="1"/>
    <x v="1"/>
    <n v="2"/>
    <x v="1"/>
    <n v="0.5"/>
    <x v="3"/>
    <d v="2025-09-19T00:00:00"/>
    <d v="2025-09-23T00:00:00"/>
    <d v="2025-09-29T00:00:00"/>
  </r>
  <r>
    <x v="23"/>
    <x v="0"/>
    <s v="Stated Weights/Case Count"/>
    <x v="23"/>
    <n v="1"/>
    <s v="24, 33, 73"/>
    <s v="dd: ESTIMATED, FINALIZED"/>
    <s v="yes"/>
    <x v="0"/>
    <s v="LIM"/>
    <s v="col W"/>
    <s v="informational only"/>
    <s v="no known BR based on data entered"/>
    <m/>
    <x v="0"/>
    <s v="complete"/>
    <x v="0"/>
    <x v="0"/>
    <x v="1"/>
    <x v="1"/>
    <n v="2"/>
    <x v="3"/>
    <n v="1"/>
    <x v="3"/>
    <d v="2025-09-19T00:00:00"/>
    <d v="2025-09-23T00:00:00"/>
    <d v="2025-09-29T00:00:00"/>
  </r>
  <r>
    <x v="24"/>
    <x v="0"/>
    <s v="Stated Weights/Case Count"/>
    <x v="24"/>
    <n v="1"/>
    <s v="24, 33, 73"/>
    <s v="free form"/>
    <s v="yes"/>
    <x v="0"/>
    <s v="LIM"/>
    <s v="col Y"/>
    <s v="informational only"/>
    <s v="no known BR based on data entered"/>
    <m/>
    <x v="0"/>
    <s v="complete"/>
    <x v="0"/>
    <x v="0"/>
    <x v="1"/>
    <x v="1"/>
    <n v="2"/>
    <x v="2"/>
    <n v="1.5"/>
    <x v="3"/>
    <d v="2025-09-19T00:00:00"/>
    <d v="2025-09-23T00:00:00"/>
    <d v="2025-09-29T00:00:00"/>
  </r>
  <r>
    <x v="25"/>
    <x v="0"/>
    <s v="Reference Material"/>
    <x v="25"/>
    <n v="1"/>
    <n v="25"/>
    <s v="SAP db list"/>
    <s v="conditional"/>
    <x v="0"/>
    <m/>
    <s v="NOT in BR.xlsx"/>
    <s v="functionality of the SAP db is not needed in AI tool"/>
    <s v="1025: dependent on 1014 PROJECT TYPE: KUBIC (required)"/>
    <m/>
    <x v="0"/>
    <s v="complete"/>
    <x v="0"/>
    <x v="0"/>
    <x v="1"/>
    <x v="1"/>
    <n v="3"/>
    <x v="2"/>
    <n v="1.5"/>
    <x v="3"/>
    <d v="2025-09-19T00:00:00"/>
    <d v="2025-09-23T00:00:00"/>
    <d v="2025-09-29T00:00:00"/>
  </r>
  <r>
    <x v="26"/>
    <x v="0"/>
    <s v="Product Determination Questions"/>
    <x v="26"/>
    <n v="1"/>
    <s v="25, 26"/>
    <s v="dd: YES, NO"/>
    <s v="yes"/>
    <x v="0"/>
    <m/>
    <s v="col Z"/>
    <s v="CASE and DISPLAY only;   If YES, then loads record: TRADE CHANNEL (1166)=ONLINE"/>
    <s v="1026 dependent PRODUCT TYPE (1009)=ECOMM or DTC BUNDLE, then this is defaulted to YES (locks field);  _x000a_If Product Country (1008) CANADA then default to NO; Form Type (1007) DISPLAY=open but not required, CASE=required, WIP=not available_x000a_"/>
    <m/>
    <x v="0"/>
    <s v="complete"/>
    <x v="0"/>
    <x v="0"/>
    <x v="1"/>
    <x v="1"/>
    <n v="3"/>
    <x v="1"/>
    <n v="0.5"/>
    <x v="3"/>
    <d v="2025-09-19T00:00:00"/>
    <d v="2025-09-24T00:00:00"/>
    <d v="2025-09-29T00:00:00"/>
  </r>
  <r>
    <x v="27"/>
    <x v="0"/>
    <s v="Product Determination Questions"/>
    <x v="27"/>
    <n v="1"/>
    <s v="25, 26"/>
    <s v="dd: YES, NO"/>
    <s v="yes"/>
    <x v="0"/>
    <m/>
    <s v="col AB"/>
    <s v="CASE and DISPLAY"/>
    <s v="1027: predecessor to 1028, 1029"/>
    <m/>
    <x v="0"/>
    <s v="complete"/>
    <x v="0"/>
    <x v="0"/>
    <x v="1"/>
    <x v="1"/>
    <n v="3"/>
    <x v="1"/>
    <n v="0.5"/>
    <x v="3"/>
    <d v="2025-09-19T00:00:00"/>
    <d v="2025-09-23T00:00:00"/>
    <d v="2025-09-29T00:00:00"/>
  </r>
  <r>
    <x v="28"/>
    <x v="0"/>
    <s v="Product Determination Questions"/>
    <x v="28"/>
    <n v="1"/>
    <s v="25, 26"/>
    <s v="dd: reference list: PRL: Designated Customer Name"/>
    <s v="conditional"/>
    <x v="0"/>
    <m/>
    <s v="col AD"/>
    <s v="CASE and DISPLAY"/>
    <s v="1028 dependent on: Is product designated to one customer (1027) =YES"/>
    <m/>
    <x v="0"/>
    <s v="complete"/>
    <x v="0"/>
    <x v="0"/>
    <x v="1"/>
    <x v="1"/>
    <n v="3"/>
    <x v="3"/>
    <n v="1"/>
    <x v="3"/>
    <d v="2025-09-19T00:00:00"/>
    <d v="2025-09-23T00:00:00"/>
    <d v="2025-09-29T00:00:00"/>
  </r>
  <r>
    <x v="29"/>
    <x v="0"/>
    <s v="Product Determination Questions"/>
    <x v="29"/>
    <n v="1"/>
    <s v="25, 26"/>
    <s v="dd: YES, NO"/>
    <s v="yes"/>
    <x v="0"/>
    <m/>
    <s v="col AF"/>
    <s v="CASE and DISPLAY"/>
    <s v="1029 dependent on: Is product designated to one customer (1027)=YES;  1029 predecessor to 1129"/>
    <m/>
    <x v="0"/>
    <s v="complete"/>
    <x v="0"/>
    <x v="0"/>
    <x v="1"/>
    <x v="1"/>
    <n v="3"/>
    <x v="1"/>
    <n v="0.5"/>
    <x v="3"/>
    <d v="2025-09-19T00:00:00"/>
    <d v="2025-09-23T00:00:00"/>
    <d v="2025-09-29T00:00:00"/>
  </r>
  <r>
    <x v="30"/>
    <x v="0"/>
    <s v="Product Determination Questions"/>
    <x v="30"/>
    <n v="1"/>
    <n v="25"/>
    <s v="dd: YES, NO"/>
    <s v="yes"/>
    <x v="0"/>
    <m/>
    <s v="col AH"/>
    <s v="CASE"/>
    <s v="1030 dependent on Product Type (1009) and Product Subtype (1010);  Flowchart: Variety Pack"/>
    <m/>
    <x v="0"/>
    <s v="complete"/>
    <x v="0"/>
    <x v="0"/>
    <x v="1"/>
    <x v="1"/>
    <n v="3"/>
    <x v="1"/>
    <n v="0.5"/>
    <x v="3"/>
    <d v="2025-09-22T00:00:00"/>
    <d v="2025-09-23T00:00:00"/>
    <d v="2025-09-29T00:00:00"/>
  </r>
  <r>
    <x v="31"/>
    <x v="0"/>
    <s v="Product Determination Questions"/>
    <x v="31"/>
    <n v="1"/>
    <n v="25"/>
    <s v="dd: YES, NO"/>
    <s v="yes"/>
    <x v="0"/>
    <m/>
    <s v="col AJ"/>
    <s v="CASE"/>
    <s v="1031 predecessor to 1188-1192;  Flowchart: Variety Pack"/>
    <m/>
    <x v="0"/>
    <s v="complete"/>
    <x v="0"/>
    <x v="0"/>
    <x v="1"/>
    <x v="1"/>
    <n v="3"/>
    <x v="1"/>
    <n v="0.5"/>
    <x v="3"/>
    <d v="2025-09-22T00:00:00"/>
    <d v="2025-09-23T00:00:00"/>
    <d v="2025-09-29T00:00:00"/>
  </r>
  <r>
    <x v="32"/>
    <x v="0"/>
    <s v="Product Determination Questions"/>
    <x v="32"/>
    <n v="1"/>
    <s v="25, 26, 27"/>
    <s v="dd: YES, NO"/>
    <s v="yes"/>
    <x v="0"/>
    <m/>
    <s v="col AL"/>
    <s v="autofill by FORM TYPE: CASE=YES, DISPLAY=NO, and WIP=NO"/>
    <s v="Flowchart: Build SKU / Existing Printed"/>
    <m/>
    <x v="0"/>
    <s v="complete"/>
    <x v="0"/>
    <x v="0"/>
    <x v="0"/>
    <x v="0"/>
    <n v="3"/>
    <x v="1"/>
    <n v="0.5"/>
    <x v="4"/>
    <d v="2025-09-22T00:00:00"/>
    <d v="2025-09-24T00:00:00"/>
    <d v="2025-09-29T00:00:00"/>
  </r>
  <r>
    <x v="33"/>
    <x v="0"/>
    <s v="Product Determination Questions"/>
    <x v="33"/>
    <n v="1"/>
    <s v="25, 26, 27"/>
    <s v="dd: YES, NO"/>
    <s v="yes"/>
    <x v="0"/>
    <m/>
    <s v="col AN"/>
    <s v="CASE, DISPLAY and WIP"/>
    <s v="1033 predecessor to: external material group (1085)"/>
    <m/>
    <x v="0"/>
    <s v="complete"/>
    <x v="0"/>
    <x v="0"/>
    <x v="0"/>
    <x v="0"/>
    <n v="3"/>
    <x v="1"/>
    <n v="0.5"/>
    <x v="4"/>
    <d v="2025-09-22T00:00:00"/>
    <d v="2025-09-25T00:00:00"/>
    <d v="2025-09-29T00:00:00"/>
  </r>
  <r>
    <x v="34"/>
    <x v="0"/>
    <s v="Product Determination Questions"/>
    <x v="34"/>
    <n v="1"/>
    <s v="26, 27, 28"/>
    <s v="dd: YES, NO"/>
    <s v="yes"/>
    <x v="0"/>
    <m/>
    <s v="col AP"/>
    <s v="CASE, DISPLAY and WIP"/>
    <s v="1034 predecessor to: external material group (1085), build sku..export (1035), list existing export (1036)"/>
    <m/>
    <x v="0"/>
    <s v="complete"/>
    <x v="0"/>
    <x v="0"/>
    <x v="0"/>
    <x v="0"/>
    <n v="3"/>
    <x v="1"/>
    <n v="0.5"/>
    <x v="4"/>
    <d v="2025-09-22T00:00:00"/>
    <d v="2025-09-25T00:00:00"/>
    <d v="2025-09-29T00:00:00"/>
  </r>
  <r>
    <x v="35"/>
    <x v="0"/>
    <s v="Product Determination Questions"/>
    <x v="35"/>
    <n v="1"/>
    <s v="27, 28"/>
    <s v="dd: YES, NO"/>
    <s v="yes"/>
    <x v="0"/>
    <m/>
    <s v="col AR"/>
    <s v="CASE and WIP"/>
    <s v="1035 dependent on 1034"/>
    <m/>
    <x v="0"/>
    <s v="complete"/>
    <x v="0"/>
    <x v="0"/>
    <x v="0"/>
    <x v="0"/>
    <n v="3"/>
    <x v="1"/>
    <n v="0.5"/>
    <x v="4"/>
    <d v="2025-09-22T00:00:00"/>
    <d v="2025-09-25T00:00:00"/>
    <d v="2025-09-29T00:00:00"/>
  </r>
  <r>
    <x v="36"/>
    <x v="0"/>
    <s v="Product Determination Questions"/>
    <x v="36"/>
    <n v="1"/>
    <s v="27, 28"/>
    <s v="free form"/>
    <s v="conditional"/>
    <x v="0"/>
    <m/>
    <s v="col AT"/>
    <s v="CASE and WIP"/>
    <s v="1036 dependent on 1034"/>
    <m/>
    <x v="0"/>
    <s v="complete"/>
    <x v="0"/>
    <x v="0"/>
    <x v="0"/>
    <x v="0"/>
    <n v="3"/>
    <x v="3"/>
    <n v="1"/>
    <x v="4"/>
    <d v="2025-09-22T00:00:00"/>
    <d v="2025-09-25T00:00:00"/>
    <d v="2025-09-29T00:00:00"/>
  </r>
  <r>
    <x v="37"/>
    <x v="0"/>
    <s v="Product Determination Questions"/>
    <x v="37"/>
    <n v="1"/>
    <s v="27, 28"/>
    <s v="dd: YES, NO"/>
    <s v="yes"/>
    <x v="0"/>
    <m/>
    <s v="col AU"/>
    <s v="CASE and WIP"/>
    <s v="1037 predecessor to 1038, 1039, 1040"/>
    <m/>
    <x v="0"/>
    <s v="complete"/>
    <x v="0"/>
    <x v="0"/>
    <x v="0"/>
    <x v="0"/>
    <n v="3"/>
    <x v="1"/>
    <n v="0.5"/>
    <x v="4"/>
    <d v="2025-09-22T00:00:00"/>
    <d v="2025-09-25T00:00:00"/>
    <d v="2025-09-29T00:00:00"/>
  </r>
  <r>
    <x v="38"/>
    <x v="0"/>
    <s v="Product Determination Questions"/>
    <x v="38"/>
    <n v="1"/>
    <s v="27, 28"/>
    <s v="dd: reference list: PRL: Private Label Customers"/>
    <s v="conditional"/>
    <x v="0"/>
    <m/>
    <s v="col AW"/>
    <s v="CASE and WIP"/>
    <s v="1038 dependent on 1037"/>
    <m/>
    <x v="0"/>
    <s v="complete"/>
    <x v="0"/>
    <x v="0"/>
    <x v="0"/>
    <x v="0"/>
    <n v="3"/>
    <x v="3"/>
    <n v="1"/>
    <x v="4"/>
    <d v="2025-09-22T00:00:00"/>
    <d v="2025-09-25T00:00:00"/>
    <d v="2025-09-29T00:00:00"/>
  </r>
  <r>
    <x v="39"/>
    <x v="0"/>
    <s v="Product Determination Questions"/>
    <x v="39"/>
    <n v="1"/>
    <s v="27, 28"/>
    <s v="dd: YES, NO"/>
    <s v="yes"/>
    <x v="0"/>
    <m/>
    <s v="col AY"/>
    <s v="CASE and WIP"/>
    <s v="1039 dependent on 1037"/>
    <m/>
    <x v="0"/>
    <s v="complete"/>
    <x v="0"/>
    <x v="0"/>
    <x v="0"/>
    <x v="0"/>
    <n v="3"/>
    <x v="1"/>
    <n v="0.5"/>
    <x v="4"/>
    <d v="2025-09-22T00:00:00"/>
    <d v="2025-09-25T00:00:00"/>
    <d v="2025-09-29T00:00:00"/>
  </r>
  <r>
    <x v="40"/>
    <x v="0"/>
    <s v="Product Determination Questions"/>
    <x v="40"/>
    <n v="1"/>
    <s v="27, 28"/>
    <s v="free form"/>
    <s v="conditional"/>
    <x v="0"/>
    <m/>
    <s v="col BA"/>
    <s v="CASE and WIP"/>
    <s v="1040 dependent on 1037"/>
    <m/>
    <x v="0"/>
    <s v="complete"/>
    <x v="0"/>
    <x v="0"/>
    <x v="0"/>
    <x v="0"/>
    <n v="3"/>
    <x v="3"/>
    <n v="1"/>
    <x v="4"/>
    <d v="2025-09-22T00:00:00"/>
    <d v="2025-09-25T00:00:00"/>
    <d v="2025-09-29T00:00:00"/>
  </r>
  <r>
    <x v="41"/>
    <x v="0"/>
    <s v="Product Determination Questions"/>
    <x v="41"/>
    <n v="1"/>
    <s v="26, 27, 28"/>
    <s v="dd: YES, NO"/>
    <s v="no, appears that blank is viable"/>
    <x v="0"/>
    <m/>
    <s v="NOT in BR.xlsx"/>
    <s v="CASE, DISPLAY, and WIP"/>
    <s v="Tamara:  should always be YES per Shanan Walker; unless there are extinuating circumstances where they would not want the data to go to the customers"/>
    <m/>
    <x v="0"/>
    <s v="complete"/>
    <x v="0"/>
    <x v="0"/>
    <x v="0"/>
    <x v="0"/>
    <n v="3"/>
    <x v="1"/>
    <n v="0.5"/>
    <x v="4"/>
    <d v="2025-09-22T00:00:00"/>
    <d v="2025-09-25T00:00:00"/>
    <d v="2025-09-29T00:00:00"/>
  </r>
  <r>
    <x v="42"/>
    <x v="0"/>
    <s v="Product Determination Questions"/>
    <x v="42"/>
    <n v="1"/>
    <n v="0"/>
    <s v="dd: YES, NO"/>
    <s v="no, appears that blank is viable"/>
    <x v="0"/>
    <m/>
    <s v="NOT in BR.xlsx"/>
    <s v="9/22/25 new field identified (FALB); _x000a_currently on WIP form, but should be on CASE (Tamara to get NIF fixed) {as of 9/25/25 the distinction of the Form Type is not included in Expert System Rules}"/>
    <s v="1304 predecessor to Planning Variant (1151) and Material Description (1127)"/>
    <m/>
    <x v="0"/>
    <s v="complete"/>
    <x v="0"/>
    <x v="0"/>
    <x v="0"/>
    <x v="0"/>
    <n v="3"/>
    <x v="2"/>
    <n v="1.5"/>
    <x v="4"/>
    <d v="2025-09-22T00:00:00"/>
    <d v="2025-09-25T00:00:00"/>
    <d v="2025-09-29T00:00:00"/>
  </r>
  <r>
    <x v="43"/>
    <x v="0"/>
    <s v="Other UPC Requirements"/>
    <x v="43"/>
    <n v="1"/>
    <n v="28"/>
    <s v="dd: reference list: MATERIAL_PREFIX.XLSX"/>
    <s v="yes"/>
    <x v="0"/>
    <m/>
    <s v="col BB"/>
    <m/>
    <s v="no known BR based on data entered"/>
    <m/>
    <x v="0"/>
    <s v="complete"/>
    <x v="0"/>
    <x v="0"/>
    <x v="0"/>
    <x v="0"/>
    <n v="3"/>
    <x v="3"/>
    <n v="1"/>
    <x v="1"/>
    <d v="2025-09-22T00:00:00"/>
    <d v="2025-09-25T00:00:00"/>
    <d v="2025-09-29T00:00:00"/>
  </r>
  <r>
    <x v="44"/>
    <x v="0"/>
    <s v="Other UPC Requirements"/>
    <x v="44"/>
    <n v="1"/>
    <n v="28"/>
    <s v="dd: NO, POUCH, PACKAGE, BOTH"/>
    <s v="no, appears that blank is viable"/>
    <x v="0"/>
    <m/>
    <s v="col BD"/>
    <s v="no defaults exist; Used when space is limited (e.g., small packages or pouches)"/>
    <s v="SAP Classification fields: PACKAGE BAR CODE TYPE, POUCH BAR CODE TYPE; no - (pkgcode=upc_a &amp; pouchcode=upc_a); pouch=(pouchcode=upc_e &amp; pkgcode=upc_a); pkg=(pkgcode=upc_e &amp; pouchcode=upc_a); both=(pkgcode=upc_e &amp; pouchcode=upc_e); Also drives how Masterfiles assigns the codes"/>
    <m/>
    <x v="0"/>
    <s v="complete"/>
    <x v="0"/>
    <x v="0"/>
    <x v="0"/>
    <x v="0"/>
    <n v="3"/>
    <x v="3"/>
    <n v="1"/>
    <x v="1"/>
    <d v="2025-09-22T00:00:00"/>
    <d v="2025-09-25T00:00:00"/>
    <d v="2025-09-29T00:00:00"/>
  </r>
  <r>
    <x v="45"/>
    <x v="0"/>
    <s v="Existing Printed Material Codes"/>
    <x v="45"/>
    <n v="1"/>
    <n v="29"/>
    <s v="free form"/>
    <s v="no"/>
    <x v="0"/>
    <m/>
    <s v="col BF"/>
    <s v="CASE only"/>
    <s v="Flowchart: Build SKU / Existing Printed"/>
    <m/>
    <x v="0"/>
    <s v="complete"/>
    <x v="0"/>
    <x v="0"/>
    <x v="0"/>
    <x v="0"/>
    <n v="4"/>
    <x v="3"/>
    <n v="1"/>
    <x v="1"/>
    <d v="2025-09-22T00:00:00"/>
    <d v="2025-09-24T00:00:00"/>
    <d v="2025-09-29T00:00:00"/>
  </r>
  <r>
    <x v="46"/>
    <x v="0"/>
    <s v="Existing Printed Material Codes"/>
    <x v="46"/>
    <n v="1"/>
    <n v="29"/>
    <s v="free form"/>
    <s v="no"/>
    <x v="0"/>
    <m/>
    <s v="col BH"/>
    <s v="CASE only"/>
    <s v="Flowchart: Build SKU / Existing Printed"/>
    <m/>
    <x v="0"/>
    <s v="complete"/>
    <x v="0"/>
    <x v="0"/>
    <x v="0"/>
    <x v="0"/>
    <n v="4"/>
    <x v="3"/>
    <n v="1"/>
    <x v="1"/>
    <d v="2025-09-22T00:00:00"/>
    <d v="2025-09-24T00:00:00"/>
    <d v="2025-09-29T00:00:00"/>
  </r>
  <r>
    <x v="47"/>
    <x v="0"/>
    <s v="Existing Printed Material Codes"/>
    <x v="47"/>
    <n v="1"/>
    <n v="29"/>
    <s v="free form"/>
    <s v="no"/>
    <x v="0"/>
    <m/>
    <s v="col BJ"/>
    <s v="CASE only"/>
    <s v="Flowchart: Build SKU / Existing Printed"/>
    <m/>
    <x v="0"/>
    <s v="complete"/>
    <x v="0"/>
    <x v="0"/>
    <x v="0"/>
    <x v="0"/>
    <n v="4"/>
    <x v="3"/>
    <n v="1"/>
    <x v="1"/>
    <d v="2025-09-22T00:00:00"/>
    <d v="2025-09-24T00:00:00"/>
    <d v="2025-09-29T00:00:00"/>
  </r>
  <r>
    <x v="48"/>
    <x v="0"/>
    <s v="Existing Printed Material Codes"/>
    <x v="48"/>
    <n v="1"/>
    <n v="29"/>
    <s v="free form"/>
    <s v="no"/>
    <x v="0"/>
    <m/>
    <s v="col BL"/>
    <s v="CASE only"/>
    <s v="Flowchart: Build SKU / Existing Printed"/>
    <m/>
    <x v="0"/>
    <s v="complete"/>
    <x v="0"/>
    <x v="0"/>
    <x v="0"/>
    <x v="0"/>
    <n v="4"/>
    <x v="3"/>
    <n v="1"/>
    <x v="1"/>
    <d v="2025-09-22T00:00:00"/>
    <d v="2025-09-24T00:00:00"/>
    <d v="2025-09-29T00:00:00"/>
  </r>
  <r>
    <x v="49"/>
    <x v="0"/>
    <s v="Existing Printed Material Codes"/>
    <x v="49"/>
    <n v="1"/>
    <n v="29"/>
    <s v="free form"/>
    <s v="no"/>
    <x v="0"/>
    <m/>
    <s v="NOT in BR.xlsx"/>
    <s v="CASE only"/>
    <s v="Flowchart: Build SKU / Existing Printed"/>
    <m/>
    <x v="0"/>
    <s v="complete"/>
    <x v="0"/>
    <x v="0"/>
    <x v="0"/>
    <x v="0"/>
    <n v="4"/>
    <x v="3"/>
    <n v="1"/>
    <x v="1"/>
    <d v="2025-09-22T00:00:00"/>
    <d v="2025-09-24T00:00:00"/>
    <d v="2025-09-29T00:00:00"/>
  </r>
  <r>
    <x v="50"/>
    <x v="0"/>
    <s v="Existing Printed Material Codes"/>
    <x v="50"/>
    <n v="1"/>
    <n v="29"/>
    <s v="dd: NO, POUCH, PACKAGE, BOTH"/>
    <s v="no"/>
    <x v="0"/>
    <m/>
    <s v="NOT in BR.xlsx"/>
    <s v="CASE only; defaulted to NO (for all form types), but can be changed"/>
    <s v="Flowchart: Build SKU / Existing Printed"/>
    <m/>
    <x v="0"/>
    <s v="complete"/>
    <x v="0"/>
    <x v="0"/>
    <x v="0"/>
    <x v="0"/>
    <n v="4"/>
    <x v="3"/>
    <n v="1"/>
    <x v="1"/>
    <d v="2025-09-22T00:00:00"/>
    <d v="2025-09-24T00:00:00"/>
    <d v="2025-09-29T00:00:00"/>
  </r>
  <r>
    <x v="51"/>
    <x v="0"/>
    <s v="Special Packaging Requirements"/>
    <x v="51"/>
    <n v="1"/>
    <n v="0"/>
    <s v="dd: YES, NO"/>
    <s v="no, appears that blank is viable"/>
    <x v="0"/>
    <m/>
    <s v="col BN"/>
    <s v="…not in Trng_deck.ppt; only open for US and required: STRAIGHT CASE (not Repack); DISPLAY &amp; WIP is locked/blank"/>
    <s v="Tech name: [Sales_Sample_Question]; 1050 predecessor to &quot;additional pkg for launch&quot; (1053); "/>
    <m/>
    <x v="0"/>
    <s v="complete"/>
    <x v="0"/>
    <x v="0"/>
    <x v="0"/>
    <x v="0"/>
    <n v="4"/>
    <x v="1"/>
    <n v="0.5"/>
    <x v="1"/>
    <d v="2025-09-23T00:00:00"/>
    <d v="2025-09-25T00:00:00"/>
    <d v="2025-09-29T00:00:00"/>
  </r>
  <r>
    <x v="52"/>
    <x v="0"/>
    <s v="UPC Table"/>
    <x v="52"/>
    <n v="0"/>
    <n v="29"/>
    <s v="autofill"/>
    <s v="no"/>
    <x v="0"/>
    <m/>
    <m/>
    <s v="This section corresponds to the Setup Type that has been chosen, and will show you the UPC requirements._x000a_Not sure how this section gets triggered to pull in the correct data (as I can't seem to find it in the NIF Rules.docx).  Maybe from the RDL: ALT_UOM {Alternate Unit Of Meaure table}"/>
    <s v="(only displays for the requestor to review if the levels of the packaging look correct: ie is there a pouch level, if needed);  no need to put in AI BOT: unless there is a way to pull the table from the NIF Evolve business rules automatically"/>
    <m/>
    <x v="0"/>
    <s v="complete"/>
    <x v="0"/>
    <x v="0"/>
    <x v="0"/>
    <x v="0"/>
    <n v="9"/>
    <x v="0"/>
    <n v="0"/>
    <x v="0"/>
    <d v="2025-09-24T00:00:00"/>
    <d v="2025-09-25T00:00:00"/>
    <d v="2025-09-29T00:00:00"/>
  </r>
  <r>
    <x v="53"/>
    <x v="0"/>
    <s v="List Existing K Numbers"/>
    <x v="53"/>
    <n v="1"/>
    <n v="30"/>
    <s v="free form"/>
    <s v="no"/>
    <x v="0"/>
    <m/>
    <s v="NOT in BR.xlsx"/>
    <m/>
    <s v="no known BR based on data entered"/>
    <m/>
    <x v="0"/>
    <s v="complete"/>
    <x v="0"/>
    <x v="0"/>
    <x v="0"/>
    <x v="0"/>
    <n v="4"/>
    <x v="3"/>
    <n v="1"/>
    <x v="1"/>
    <d v="2025-09-23T00:00:00"/>
    <d v="2025-09-25T00:00:00"/>
    <d v="2025-09-29T00:00:00"/>
  </r>
  <r>
    <x v="54"/>
    <x v="0"/>
    <s v="Special Packaging Requirements"/>
    <x v="54"/>
    <n v="1"/>
    <s v="30, 47, 56, 113"/>
    <s v="dd: reference list: ADDITIONAL_PACKAGING_LAUNCH.XLSX"/>
    <s v="conditional"/>
    <x v="0"/>
    <s v="Masterfiles"/>
    <s v="col BP"/>
    <s v="Multiple rows possible."/>
    <s v="Tech name: [Special_Launch_Selection]; 1053 dependent on 1050; open for all Form Type=CASE, not required; not DISPLAY or WIP; if &quot;Sale Samples may be needed&quot; (1050)=yes, set 1053 to &quot;Sales Sample Package K number 999 Variant (KXXXXXX999)&quot;; "/>
    <m/>
    <x v="0"/>
    <s v="complete"/>
    <x v="0"/>
    <x v="0"/>
    <x v="0"/>
    <x v="0"/>
    <n v="4"/>
    <x v="3"/>
    <n v="1"/>
    <x v="1"/>
    <d v="2025-09-24T00:00:00"/>
    <d v="2025-09-25T00:00:00"/>
    <d v="2025-09-29T00:00:00"/>
  </r>
  <r>
    <x v="55"/>
    <x v="1"/>
    <s v="Priority"/>
    <x v="55"/>
    <n v="1"/>
    <n v="31"/>
    <s v="radio button: NORMAL, CBP, URGENT"/>
    <m/>
    <x v="2"/>
    <m/>
    <m/>
    <s v="used for naming NIF form"/>
    <m/>
    <m/>
    <x v="1"/>
    <s v="current"/>
    <x v="1"/>
    <x v="1"/>
    <x v="2"/>
    <x v="2"/>
    <m/>
    <x v="1"/>
    <n v="0.5"/>
    <x v="5"/>
    <m/>
    <m/>
    <m/>
  </r>
  <r>
    <x v="56"/>
    <x v="1"/>
    <s v="Packaging Tech Assignment"/>
    <x v="56"/>
    <n v="1"/>
    <s v="32, 61"/>
    <s v="radio button: BPS, Menasha/12 Associates, Canada VAS"/>
    <m/>
    <x v="2"/>
    <m/>
    <m/>
    <m/>
    <m/>
    <m/>
    <x v="1"/>
    <s v="current"/>
    <x v="1"/>
    <x v="1"/>
    <x v="2"/>
    <x v="2"/>
    <m/>
    <x v="1"/>
    <n v="0.5"/>
    <x v="5"/>
    <m/>
    <m/>
    <m/>
  </r>
  <r>
    <x v="57"/>
    <x v="1"/>
    <s v="Person Responsible"/>
    <x v="57"/>
    <n v="1"/>
    <s v="32, 61"/>
    <s v="dd: user roles"/>
    <m/>
    <x v="2"/>
    <m/>
    <m/>
    <m/>
    <m/>
    <m/>
    <x v="1"/>
    <s v="current"/>
    <x v="1"/>
    <x v="1"/>
    <x v="2"/>
    <x v="2"/>
    <m/>
    <x v="1"/>
    <n v="0.5"/>
    <x v="5"/>
    <m/>
    <m/>
    <m/>
  </r>
  <r>
    <x v="58"/>
    <x v="1"/>
    <s v="Person Responsible"/>
    <x v="58"/>
    <n v="1"/>
    <s v="32, 61"/>
    <s v="dd: user roles"/>
    <m/>
    <x v="2"/>
    <m/>
    <m/>
    <m/>
    <m/>
    <m/>
    <x v="1"/>
    <s v="current"/>
    <x v="1"/>
    <x v="1"/>
    <x v="2"/>
    <x v="2"/>
    <m/>
    <x v="1"/>
    <n v="0.5"/>
    <x v="5"/>
    <m/>
    <m/>
    <m/>
  </r>
  <r>
    <x v="59"/>
    <x v="1"/>
    <s v="Person Responsible"/>
    <x v="59"/>
    <n v="1"/>
    <s v="32, 61"/>
    <s v="dd: user roles"/>
    <m/>
    <x v="2"/>
    <m/>
    <m/>
    <m/>
    <m/>
    <m/>
    <x v="1"/>
    <s v="current"/>
    <x v="1"/>
    <x v="1"/>
    <x v="2"/>
    <x v="2"/>
    <m/>
    <x v="1"/>
    <n v="0.5"/>
    <x v="5"/>
    <m/>
    <m/>
    <m/>
  </r>
  <r>
    <x v="60"/>
    <x v="1"/>
    <s v="Person Responsible"/>
    <x v="60"/>
    <n v="1"/>
    <s v="32, 61"/>
    <s v="dd: user roles"/>
    <m/>
    <x v="2"/>
    <m/>
    <m/>
    <m/>
    <m/>
    <m/>
    <x v="1"/>
    <s v="current"/>
    <x v="1"/>
    <x v="1"/>
    <x v="2"/>
    <x v="2"/>
    <m/>
    <x v="1"/>
    <n v="0.5"/>
    <x v="5"/>
    <m/>
    <m/>
    <m/>
  </r>
  <r>
    <x v="61"/>
    <x v="1"/>
    <s v="Person Responsible"/>
    <x v="61"/>
    <n v="1"/>
    <s v="32, 61"/>
    <s v="dd: user roles"/>
    <m/>
    <x v="2"/>
    <m/>
    <m/>
    <m/>
    <m/>
    <m/>
    <x v="1"/>
    <s v="current"/>
    <x v="1"/>
    <x v="1"/>
    <x v="2"/>
    <x v="2"/>
    <m/>
    <x v="1"/>
    <n v="0.5"/>
    <x v="5"/>
    <m/>
    <m/>
    <m/>
  </r>
  <r>
    <x v="62"/>
    <x v="1"/>
    <s v="Person Responsible"/>
    <x v="62"/>
    <n v="1"/>
    <s v="32, 61"/>
    <s v="dd: user roles"/>
    <m/>
    <x v="2"/>
    <m/>
    <m/>
    <m/>
    <m/>
    <m/>
    <x v="1"/>
    <s v="current"/>
    <x v="1"/>
    <x v="1"/>
    <x v="2"/>
    <x v="2"/>
    <m/>
    <x v="1"/>
    <n v="0.5"/>
    <x v="5"/>
    <m/>
    <m/>
    <m/>
  </r>
  <r>
    <x v="63"/>
    <x v="1"/>
    <s v="Person Responsible"/>
    <x v="63"/>
    <n v="1"/>
    <s v="32, 61"/>
    <s v="dd: user roles"/>
    <m/>
    <x v="2"/>
    <m/>
    <m/>
    <m/>
    <m/>
    <m/>
    <x v="1"/>
    <s v="current"/>
    <x v="1"/>
    <x v="1"/>
    <x v="2"/>
    <x v="2"/>
    <m/>
    <x v="1"/>
    <n v="0.5"/>
    <x v="5"/>
    <m/>
    <m/>
    <m/>
  </r>
  <r>
    <x v="64"/>
    <x v="1"/>
    <s v="Person Responsible"/>
    <x v="64"/>
    <n v="1"/>
    <s v="32, 61"/>
    <s v="dd: user roles"/>
    <m/>
    <x v="2"/>
    <m/>
    <m/>
    <m/>
    <m/>
    <m/>
    <x v="1"/>
    <s v="current"/>
    <x v="1"/>
    <x v="1"/>
    <x v="2"/>
    <x v="2"/>
    <m/>
    <x v="1"/>
    <n v="0.5"/>
    <x v="5"/>
    <m/>
    <m/>
    <m/>
  </r>
  <r>
    <x v="65"/>
    <x v="1"/>
    <s v="Person Responsible"/>
    <x v="65"/>
    <n v="1"/>
    <s v="32, 61"/>
    <s v="dd: user roles"/>
    <m/>
    <x v="2"/>
    <m/>
    <m/>
    <m/>
    <m/>
    <m/>
    <x v="1"/>
    <s v="current"/>
    <x v="1"/>
    <x v="1"/>
    <x v="2"/>
    <x v="2"/>
    <m/>
    <x v="1"/>
    <n v="0.5"/>
    <x v="5"/>
    <m/>
    <m/>
    <m/>
  </r>
  <r>
    <x v="66"/>
    <x v="1"/>
    <s v="Person Responsible"/>
    <x v="66"/>
    <n v="1"/>
    <s v="32, 61"/>
    <s v="dd: user roles"/>
    <m/>
    <x v="2"/>
    <m/>
    <m/>
    <m/>
    <m/>
    <m/>
    <x v="1"/>
    <s v="current"/>
    <x v="1"/>
    <x v="1"/>
    <x v="2"/>
    <x v="2"/>
    <m/>
    <x v="1"/>
    <n v="0.5"/>
    <x v="5"/>
    <m/>
    <m/>
    <m/>
  </r>
  <r>
    <x v="67"/>
    <x v="1"/>
    <s v="Person Responsible"/>
    <x v="67"/>
    <n v="1"/>
    <s v="32, 61"/>
    <s v="dd: user roles"/>
    <m/>
    <x v="2"/>
    <m/>
    <m/>
    <m/>
    <m/>
    <m/>
    <x v="1"/>
    <s v="current"/>
    <x v="1"/>
    <x v="1"/>
    <x v="2"/>
    <x v="2"/>
    <m/>
    <x v="1"/>
    <n v="0.5"/>
    <x v="5"/>
    <m/>
    <m/>
    <m/>
  </r>
  <r>
    <x v="68"/>
    <x v="1"/>
    <s v="Product Setup"/>
    <x v="68"/>
    <n v="1"/>
    <n v="33"/>
    <s v="dd: YES, NO"/>
    <m/>
    <x v="2"/>
    <m/>
    <m/>
    <s v="CASE only (not DISPLAY or WIP)"/>
    <s v="1067 predecessor to 1083-1097; if YES opens 1083+, if NO then skips Forecast section"/>
    <m/>
    <x v="2"/>
    <s v="current"/>
    <x v="1"/>
    <x v="1"/>
    <x v="2"/>
    <x v="2"/>
    <m/>
    <x v="3"/>
    <n v="1"/>
    <x v="5"/>
    <d v="2025-09-24T00:00:00"/>
    <m/>
    <m/>
  </r>
  <r>
    <x v="69"/>
    <x v="1"/>
    <s v="(buttons) Returns"/>
    <x v="69"/>
    <n v="1"/>
    <n v="36"/>
    <s v="free form"/>
    <m/>
    <x v="2"/>
    <m/>
    <m/>
    <m/>
    <m/>
    <m/>
    <x v="1"/>
    <s v="current"/>
    <x v="1"/>
    <x v="1"/>
    <x v="2"/>
    <x v="2"/>
    <m/>
    <x v="1"/>
    <n v="0.5"/>
    <x v="5"/>
    <m/>
    <m/>
    <m/>
  </r>
  <r>
    <x v="70"/>
    <x v="2"/>
    <s v="LIM REPORT section"/>
    <x v="70"/>
    <n v="1"/>
    <s v="37-41"/>
    <s v="export buttons"/>
    <m/>
    <x v="2"/>
    <m/>
    <m/>
    <s v="read only form for exporting data to Excel"/>
    <m/>
    <m/>
    <x v="1"/>
    <s v="future"/>
    <x v="2"/>
    <x v="2"/>
    <x v="3"/>
    <x v="3"/>
    <m/>
    <x v="1"/>
    <n v="0.5"/>
    <x v="6"/>
    <m/>
    <m/>
    <m/>
  </r>
  <r>
    <x v="71"/>
    <x v="3"/>
    <s v="Material Number"/>
    <x v="71"/>
    <n v="1"/>
    <s v="45, 56"/>
    <s v="free form"/>
    <m/>
    <x v="1"/>
    <m/>
    <m/>
    <s v="(field 1013 is same but view only)"/>
    <s v="no known BR based on data entered"/>
    <m/>
    <x v="3"/>
    <s v="early"/>
    <x v="3"/>
    <x v="3"/>
    <x v="3"/>
    <x v="3"/>
    <m/>
    <x v="1"/>
    <n v="0.5"/>
    <x v="6"/>
    <d v="2025-09-19T00:00:00"/>
    <m/>
    <m/>
  </r>
  <r>
    <x v="72"/>
    <x v="3"/>
    <s v="UPC, K#, and GTIN Codes"/>
    <x v="72"/>
    <n v="1"/>
    <s v="47, 56, 113"/>
    <s v="free form"/>
    <m/>
    <x v="1"/>
    <m/>
    <m/>
    <s v="rows of data: 4 (CS, PKG, LYR, UL);  PCH"/>
    <m/>
    <m/>
    <x v="1"/>
    <s v="future"/>
    <x v="3"/>
    <x v="3"/>
    <x v="3"/>
    <x v="3"/>
    <m/>
    <x v="1"/>
    <n v="0.5"/>
    <x v="6"/>
    <m/>
    <m/>
    <m/>
  </r>
  <r>
    <x v="73"/>
    <x v="3"/>
    <s v="UPC, K#, and GTIN Codes"/>
    <x v="73"/>
    <n v="1"/>
    <s v="47, 56, 113"/>
    <s v="free form"/>
    <m/>
    <x v="1"/>
    <m/>
    <m/>
    <s v="rows of data: 4 (CS, PKG, LYR, UL);  PCH"/>
    <m/>
    <m/>
    <x v="1"/>
    <s v="future"/>
    <x v="3"/>
    <x v="3"/>
    <x v="3"/>
    <x v="3"/>
    <m/>
    <x v="1"/>
    <n v="0.5"/>
    <x v="6"/>
    <m/>
    <m/>
    <m/>
  </r>
  <r>
    <x v="74"/>
    <x v="3"/>
    <s v="UPC, K#, and GTIN Codes"/>
    <x v="74"/>
    <n v="0"/>
    <n v="113"/>
    <s v="autofill"/>
    <m/>
    <x v="1"/>
    <m/>
    <m/>
    <s v="value appears to be ZU; need to verify; &quot;EAN Cat&quot; "/>
    <m/>
    <m/>
    <x v="1"/>
    <s v="future"/>
    <x v="3"/>
    <x v="3"/>
    <x v="3"/>
    <x v="3"/>
    <m/>
    <x v="0"/>
    <n v="0"/>
    <x v="6"/>
    <m/>
    <m/>
    <m/>
  </r>
  <r>
    <x v="75"/>
    <x v="3"/>
    <s v="UPC, K#, and GTIN Codes"/>
    <x v="75"/>
    <n v="0"/>
    <s v="47, 56, 113"/>
    <s v="autofill"/>
    <m/>
    <x v="1"/>
    <m/>
    <m/>
    <m/>
    <m/>
    <m/>
    <x v="1"/>
    <s v="future"/>
    <x v="3"/>
    <x v="3"/>
    <x v="3"/>
    <x v="3"/>
    <m/>
    <x v="0"/>
    <n v="0"/>
    <x v="6"/>
    <m/>
    <m/>
    <m/>
  </r>
  <r>
    <x v="76"/>
    <x v="3"/>
    <s v="UPC, K#, and GTIN Codes"/>
    <x v="76"/>
    <n v="0"/>
    <s v="47, 56, 113"/>
    <s v="autofill"/>
    <m/>
    <x v="1"/>
    <m/>
    <m/>
    <m/>
    <m/>
    <m/>
    <x v="1"/>
    <s v="future"/>
    <x v="3"/>
    <x v="3"/>
    <x v="3"/>
    <x v="3"/>
    <m/>
    <x v="0"/>
    <n v="0"/>
    <x v="6"/>
    <m/>
    <m/>
    <m/>
  </r>
  <r>
    <x v="77"/>
    <x v="3"/>
    <s v="UPC, K#, and GTIN Codes"/>
    <x v="77"/>
    <n v="1"/>
    <s v="47, 56, 113"/>
    <s v="free form"/>
    <m/>
    <x v="1"/>
    <m/>
    <m/>
    <s v="rows of data: 4 (CS, PKG, LYR, UL);  PCH"/>
    <m/>
    <m/>
    <x v="1"/>
    <s v="future"/>
    <x v="3"/>
    <x v="3"/>
    <x v="3"/>
    <x v="3"/>
    <m/>
    <x v="1"/>
    <n v="0.5"/>
    <x v="6"/>
    <m/>
    <m/>
    <m/>
  </r>
  <r>
    <x v="78"/>
    <x v="3"/>
    <s v="UPC, K#, and GTIN Codes"/>
    <x v="78"/>
    <n v="0"/>
    <s v="47, 56, 113"/>
    <s v="autofill"/>
    <m/>
    <x v="1"/>
    <m/>
    <m/>
    <m/>
    <m/>
    <m/>
    <x v="1"/>
    <s v="future"/>
    <x v="3"/>
    <x v="3"/>
    <x v="3"/>
    <x v="3"/>
    <m/>
    <x v="0"/>
    <n v="0"/>
    <x v="6"/>
    <m/>
    <m/>
    <m/>
  </r>
  <r>
    <x v="79"/>
    <x v="3"/>
    <s v="UPC, K#, and GTIN Codes"/>
    <x v="79"/>
    <n v="0"/>
    <s v="47, 56, 113"/>
    <s v="autofill"/>
    <m/>
    <x v="1"/>
    <m/>
    <m/>
    <m/>
    <m/>
    <m/>
    <x v="1"/>
    <s v="future"/>
    <x v="3"/>
    <x v="3"/>
    <x v="3"/>
    <x v="3"/>
    <m/>
    <x v="0"/>
    <n v="0"/>
    <x v="6"/>
    <m/>
    <m/>
    <m/>
  </r>
  <r>
    <x v="80"/>
    <x v="3"/>
    <s v="UPC, K#, and GTIN Codes"/>
    <x v="80"/>
    <n v="0"/>
    <s v="47, 56, 113"/>
    <s v="autofill"/>
    <m/>
    <x v="1"/>
    <m/>
    <m/>
    <m/>
    <m/>
    <m/>
    <x v="1"/>
    <s v="future"/>
    <x v="3"/>
    <x v="3"/>
    <x v="3"/>
    <x v="3"/>
    <m/>
    <x v="0"/>
    <n v="0"/>
    <x v="6"/>
    <m/>
    <m/>
    <m/>
  </r>
  <r>
    <x v="81"/>
    <x v="3"/>
    <s v="UPC, K#, and GTIN Codes"/>
    <x v="81"/>
    <n v="1"/>
    <s v="30, 47, 56, 113"/>
    <s v="free form"/>
    <m/>
    <x v="1"/>
    <m/>
    <m/>
    <s v="Multiple rows possible."/>
    <m/>
    <m/>
    <x v="3"/>
    <s v="future"/>
    <x v="3"/>
    <x v="3"/>
    <x v="3"/>
    <x v="3"/>
    <m/>
    <x v="1"/>
    <n v="0.5"/>
    <x v="6"/>
    <m/>
    <m/>
    <m/>
  </r>
  <r>
    <x v="82"/>
    <x v="3"/>
    <s v="(buttons) Returns"/>
    <x v="82"/>
    <n v="1"/>
    <n v="47"/>
    <s v="free form"/>
    <m/>
    <x v="1"/>
    <m/>
    <m/>
    <m/>
    <m/>
    <m/>
    <x v="1"/>
    <s v="future"/>
    <x v="3"/>
    <x v="3"/>
    <x v="3"/>
    <x v="3"/>
    <m/>
    <x v="1"/>
    <n v="0.5"/>
    <x v="6"/>
    <m/>
    <m/>
    <m/>
  </r>
  <r>
    <x v="83"/>
    <x v="4"/>
    <s v="Forecast SKU Requirements"/>
    <x v="83"/>
    <n v="0"/>
    <n v="51"/>
    <s v="dd: reference list: PRL: Manufacturing Company"/>
    <s v="yes"/>
    <x v="2"/>
    <m/>
    <m/>
    <s v="LIM approval to setup Forecast sku; SAP Classification-Manufacturer Company"/>
    <s v="1083 dependent on 1107 Brand"/>
    <m/>
    <x v="0"/>
    <s v="complete"/>
    <x v="4"/>
    <x v="4"/>
    <x v="0"/>
    <x v="0"/>
    <m/>
    <x v="0"/>
    <n v="0"/>
    <x v="0"/>
    <d v="2025-09-24T00:00:00"/>
    <d v="2025-09-29T00:00:00"/>
    <d v="2025-09-29T00:00:00"/>
  </r>
  <r>
    <x v="84"/>
    <x v="4"/>
    <s v="Forecast SKU Requirements"/>
    <x v="84"/>
    <n v="1"/>
    <s v="51, 74"/>
    <s v="dd: reference list: PRL: Material Group"/>
    <s v="yes"/>
    <x v="2"/>
    <s v="Requestor"/>
    <m/>
    <m/>
    <s v="if Product Type=BUNDLE (DTC) then MATERIAL Group=REPACK; otherwise select from dd"/>
    <m/>
    <x v="0"/>
    <s v="complete"/>
    <x v="4"/>
    <x v="4"/>
    <x v="0"/>
    <x v="0"/>
    <n v="5"/>
    <x v="3"/>
    <n v="1"/>
    <x v="0"/>
    <d v="2025-09-24T00:00:00"/>
    <d v="2025-09-26T00:00:00"/>
    <d v="2025-09-29T00:00:00"/>
  </r>
  <r>
    <x v="85"/>
    <x v="4"/>
    <s v="Forecast SKU Requirements"/>
    <x v="85"/>
    <n v="1"/>
    <s v="51, 74, 105"/>
    <s v="dd: reference list: PRL: External Material Group"/>
    <s v="yes"/>
    <x v="2"/>
    <s v="Requestor, CA Finance Tax"/>
    <m/>
    <s v="Bev - check w/TT regarding specific wording in drop down (not part of RDL list)"/>
    <s v="1085 dependent on where CHANNEL=:  AFH/Specialty (1033), Canada (1008), Export (1034), CLUB, RX- where there is a subselection of the list for these areas; otherwise it shows RETAIL choices"/>
    <m/>
    <x v="0"/>
    <s v="complete"/>
    <x v="4"/>
    <x v="4"/>
    <x v="0"/>
    <x v="0"/>
    <n v="5"/>
    <x v="3"/>
    <n v="1"/>
    <x v="0"/>
    <d v="2025-09-24T00:00:00"/>
    <d v="2025-09-26T00:00:00"/>
    <d v="2025-09-29T00:00:00"/>
  </r>
  <r>
    <x v="86"/>
    <x v="4"/>
    <s v="Forecast SKU Requirements"/>
    <x v="86"/>
    <n v="1"/>
    <s v="51, 107"/>
    <s v="free form"/>
    <s v="yes"/>
    <x v="2"/>
    <s v="Category Finance"/>
    <m/>
    <m/>
    <s v="no Business Rules, numbers and decimals only"/>
    <m/>
    <x v="0"/>
    <s v="complete"/>
    <x v="4"/>
    <x v="4"/>
    <x v="0"/>
    <x v="0"/>
    <m/>
    <x v="1"/>
    <n v="0.5"/>
    <x v="0"/>
    <d v="2025-09-24T00:00:00"/>
    <d v="2025-09-26T00:00:00"/>
    <d v="2025-09-29T00:00:00"/>
  </r>
  <r>
    <x v="87"/>
    <x v="5"/>
    <s v="Product Details"/>
    <x v="87"/>
    <n v="1"/>
    <s v="(not on pg 51), 74"/>
    <s v="dd: reference list: PRL: KSC Field Category"/>
    <s v="yes"/>
    <x v="0"/>
    <m/>
    <m/>
    <s v="9/24/25 - in NIF PROD this field is on the LIM - Forecast Approval training section"/>
    <s v="no known BR based on data entered"/>
    <m/>
    <x v="0"/>
    <s v="complete"/>
    <x v="5"/>
    <x v="5"/>
    <x v="0"/>
    <x v="0"/>
    <n v="5"/>
    <x v="1"/>
    <n v="0.5"/>
    <x v="0"/>
    <d v="2025-09-24T00:00:00"/>
    <d v="2025-09-26T00:00:00"/>
    <d v="2025-09-29T00:00:00"/>
  </r>
  <r>
    <x v="88"/>
    <x v="4"/>
    <s v="Forecast SKU Requirements"/>
    <x v="88"/>
    <n v="1"/>
    <n v="51"/>
    <s v="free form"/>
    <s v="yes"/>
    <x v="2"/>
    <m/>
    <m/>
    <s v="Tamara to test - Canada_x000a_9/26/25 - Query not included in Expert System Rules"/>
    <s v="numbers and decimals; runs query_tax_classification query (what does this do"/>
    <m/>
    <x v="0"/>
    <s v="last week"/>
    <x v="4"/>
    <x v="4"/>
    <x v="0"/>
    <x v="0"/>
    <m/>
    <x v="1"/>
    <n v="0.5"/>
    <x v="0"/>
    <d v="2025-09-24T00:00:00"/>
    <d v="2025-09-26T00:00:00"/>
    <d v="2025-09-29T00:00:00"/>
  </r>
  <r>
    <x v="89"/>
    <x v="4"/>
    <s v="Forecast SKU Requirements"/>
    <x v="89"/>
    <n v="0"/>
    <n v="51"/>
    <s v="autofill"/>
    <m/>
    <x v="2"/>
    <m/>
    <m/>
    <s v="based off SUB-TYPE DESCRIPTION"/>
    <s v="display only - duplicate of Material Prefix Description (1042)"/>
    <m/>
    <x v="0"/>
    <s v="complete"/>
    <x v="4"/>
    <x v="4"/>
    <x v="0"/>
    <x v="0"/>
    <m/>
    <x v="0"/>
    <n v="0"/>
    <x v="0"/>
    <d v="2025-09-24T00:00:00"/>
    <d v="2025-09-29T00:00:00"/>
    <d v="2025-09-29T00:00:00"/>
  </r>
  <r>
    <x v="90"/>
    <x v="4"/>
    <s v="Forecast SKU Requirements"/>
    <x v="90"/>
    <n v="1"/>
    <s v="51, 80"/>
    <s v="dd: reference list: PRL: Transportation Group"/>
    <s v="yes"/>
    <x v="2"/>
    <m/>
    <m/>
    <m/>
    <s v="no known BR based on data entered"/>
    <m/>
    <x v="0"/>
    <s v="complete"/>
    <x v="4"/>
    <x v="4"/>
    <x v="0"/>
    <x v="0"/>
    <m/>
    <x v="3"/>
    <n v="1"/>
    <x v="0"/>
    <d v="2025-09-24T00:00:00"/>
    <d v="2025-09-26T00:00:00"/>
    <d v="2025-09-29T00:00:00"/>
  </r>
  <r>
    <x v="91"/>
    <x v="4"/>
    <s v="Forecast SKU Requirements"/>
    <x v="91"/>
    <n v="1"/>
    <n v="51"/>
    <s v="free form"/>
    <s v="yes"/>
    <x v="2"/>
    <m/>
    <m/>
    <m/>
    <s v="1090 predecessor to: If US then Imperial (1092) is required and Metric (1091) is open but not required, otherwise if NOT-US then Metric is required and Imperial is open but not required"/>
    <m/>
    <x v="0"/>
    <s v="complete"/>
    <x v="4"/>
    <x v="4"/>
    <x v="0"/>
    <x v="0"/>
    <m/>
    <x v="1"/>
    <n v="0.5"/>
    <x v="0"/>
    <d v="2025-09-24T00:00:00"/>
    <d v="2025-09-28T00:00:00"/>
    <d v="2025-09-29T00:00:00"/>
  </r>
  <r>
    <x v="92"/>
    <x v="4"/>
    <s v="Forecast SKU Requirements"/>
    <x v="92"/>
    <n v="1"/>
    <n v="51"/>
    <s v="free form"/>
    <s v="conditional"/>
    <x v="2"/>
    <m/>
    <m/>
    <m/>
    <s v="1091 dependent on 1090"/>
    <m/>
    <x v="0"/>
    <s v="complete"/>
    <x v="4"/>
    <x v="4"/>
    <x v="0"/>
    <x v="0"/>
    <m/>
    <x v="1"/>
    <n v="0.5"/>
    <x v="0"/>
    <d v="2025-09-24T00:00:00"/>
    <d v="2025-09-28T00:00:00"/>
    <d v="2025-09-29T00:00:00"/>
  </r>
  <r>
    <x v="93"/>
    <x v="4"/>
    <s v="Forecast SKU Requirements"/>
    <x v="93"/>
    <n v="1"/>
    <n v="51"/>
    <s v="free form"/>
    <s v="conditional"/>
    <x v="2"/>
    <m/>
    <m/>
    <m/>
    <s v="1092 dependent on 1090"/>
    <m/>
    <x v="0"/>
    <s v="complete"/>
    <x v="4"/>
    <x v="4"/>
    <x v="0"/>
    <x v="0"/>
    <m/>
    <x v="1"/>
    <n v="0.5"/>
    <x v="0"/>
    <d v="2025-09-24T00:00:00"/>
    <d v="2025-09-28T00:00:00"/>
    <d v="2025-09-29T00:00:00"/>
  </r>
  <r>
    <x v="94"/>
    <x v="4"/>
    <s v="Forecast SKU Requirements"/>
    <x v="94"/>
    <n v="1"/>
    <s v="51, 76"/>
    <s v="dd: reference list: COUNTRY (not in RDL or PRL)"/>
    <s v="yes"/>
    <x v="2"/>
    <s v="Requestor"/>
    <m/>
    <s v="Multiple rows possible._x000a_9/29/25 - DataSync would like this to only be one answer, as it causes issues otherwise. (not yet in NIF code)"/>
    <s v="9/29/25 - did not code: if AA then change to US (might be because Jon put US at the top of the list with the AA); _x000a_no other business rules"/>
    <m/>
    <x v="0"/>
    <s v="complete"/>
    <x v="4"/>
    <x v="4"/>
    <x v="0"/>
    <x v="0"/>
    <n v="6"/>
    <x v="3"/>
    <n v="1"/>
    <x v="0"/>
    <d v="2025-09-25T00:00:00"/>
    <d v="2025-09-28T00:00:00"/>
    <d v="2025-09-29T00:00:00"/>
  </r>
  <r>
    <x v="95"/>
    <x v="4"/>
    <s v="Forecast SKU Requirements"/>
    <x v="95"/>
    <n v="1"/>
    <s v="51, 81"/>
    <s v="dd: reference list: ZMMU table (not in RDL or PRL)"/>
    <s v="yes"/>
    <x v="2"/>
    <m/>
    <m/>
    <s v="Multiple rows possible."/>
    <s v="1094 predecessor to 1095 populates from ref list; if VAS=yes, then In/Out required"/>
    <m/>
    <x v="0"/>
    <s v="complete"/>
    <x v="4"/>
    <x v="4"/>
    <x v="0"/>
    <x v="0"/>
    <m/>
    <x v="3"/>
    <n v="1"/>
    <x v="0"/>
    <d v="2025-09-25T00:00:00"/>
    <d v="2025-09-29T00:00:00"/>
    <d v="2025-09-29T00:00:00"/>
  </r>
  <r>
    <x v="96"/>
    <x v="4"/>
    <s v="Forecast SKU Requirements"/>
    <x v="96"/>
    <n v="0"/>
    <s v="51, 81"/>
    <s v="autofill"/>
    <s v="no"/>
    <x v="2"/>
    <m/>
    <m/>
    <s v="Multiple rows possible."/>
    <s v="1095 dependent on 1094"/>
    <m/>
    <x v="0"/>
    <s v="complete"/>
    <x v="4"/>
    <x v="4"/>
    <x v="0"/>
    <x v="0"/>
    <m/>
    <x v="0"/>
    <n v="0"/>
    <x v="0"/>
    <d v="2025-09-25T00:00:00"/>
    <d v="2025-09-29T00:00:00"/>
    <d v="2025-09-29T00:00:00"/>
  </r>
  <r>
    <x v="97"/>
    <x v="4"/>
    <s v="Forecast SKU Requirements"/>
    <x v="97"/>
    <n v="1"/>
    <s v="51, 81"/>
    <s v="dd: INBOUND, OUTBOUND"/>
    <s v="yes"/>
    <x v="2"/>
    <m/>
    <m/>
    <s v="Multiple rows possible."/>
    <s v="If VAS=yes, then required"/>
    <m/>
    <x v="0"/>
    <s v="complete"/>
    <x v="4"/>
    <x v="4"/>
    <x v="0"/>
    <x v="0"/>
    <m/>
    <x v="1"/>
    <n v="0.5"/>
    <x v="0"/>
    <d v="2025-09-24T00:00:00"/>
    <d v="2025-09-29T00:00:00"/>
    <d v="2025-09-29T00:00:00"/>
  </r>
  <r>
    <x v="98"/>
    <x v="4"/>
    <s v="Forecast SKU Requirements"/>
    <x v="98"/>
    <n v="1"/>
    <s v="51, 81"/>
    <s v="dd: KELLOGG OWNED, NOT OWNED (COMAN)"/>
    <s v="no"/>
    <x v="2"/>
    <m/>
    <m/>
    <s v="Multiple rows possible."/>
    <s v="no known BR based on data entered"/>
    <m/>
    <x v="0"/>
    <s v="complete"/>
    <x v="4"/>
    <x v="4"/>
    <x v="0"/>
    <x v="0"/>
    <m/>
    <x v="1"/>
    <n v="0.5"/>
    <x v="0"/>
    <d v="2025-09-25T00:00:00"/>
    <d v="2025-09-29T00:00:00"/>
    <d v="2025-09-29T00:00:00"/>
  </r>
  <r>
    <x v="99"/>
    <x v="4"/>
    <s v="Fields Used for Material Description"/>
    <x v="99"/>
    <n v="1"/>
    <s v="51, 76, 81"/>
    <s v="dd: reference list: PRL: Flavor"/>
    <s v="yes"/>
    <x v="2"/>
    <s v="Requestor"/>
    <m/>
    <s v="9/28/25 - did not code flavor abbreviation; pull in at Material Description field"/>
    <s v="Flavor_Abbrv from ref list;"/>
    <m/>
    <x v="0"/>
    <s v="complete"/>
    <x v="4"/>
    <x v="4"/>
    <x v="0"/>
    <x v="0"/>
    <n v="6"/>
    <x v="3"/>
    <n v="1"/>
    <x v="0"/>
    <d v="2025-09-25T00:00:00"/>
    <d v="2025-09-29T00:00:00"/>
    <d v="2025-09-29T00:00:00"/>
  </r>
  <r>
    <x v="100"/>
    <x v="4"/>
    <s v="Fields Used for Material Description"/>
    <x v="100"/>
    <n v="1"/>
    <s v="51, 76, 81, 94"/>
    <s v="dd: reference list: PRL: Food Form"/>
    <s v="yes"/>
    <x v="2"/>
    <s v="Requestor, Nutrition Labeling"/>
    <m/>
    <s v="9/28/25 - did not code food form abbreviation; pull in at Material Description field"/>
    <s v="1099 predecessor to 1173; gets the Food_Form_Abbrv from ref list; "/>
    <m/>
    <x v="0"/>
    <s v="complete"/>
    <x v="4"/>
    <x v="4"/>
    <x v="0"/>
    <x v="0"/>
    <n v="6"/>
    <x v="3"/>
    <n v="1"/>
    <x v="0"/>
    <d v="2025-09-25T00:00:00"/>
    <d v="2025-09-29T00:00:00"/>
    <d v="2025-09-29T00:00:00"/>
  </r>
  <r>
    <x v="101"/>
    <x v="4"/>
    <s v="Fields Used for Material Description"/>
    <x v="101"/>
    <n v="1"/>
    <s v="51, 76, 81"/>
    <s v="dd: reference list: PRL: Sub Food Form"/>
    <s v="open not req"/>
    <x v="2"/>
    <s v="Requestor"/>
    <m/>
    <m/>
    <s v="no known BR based on data entered"/>
    <m/>
    <x v="0"/>
    <s v="complete"/>
    <x v="4"/>
    <x v="4"/>
    <x v="0"/>
    <x v="0"/>
    <n v="6"/>
    <x v="3"/>
    <n v="1"/>
    <x v="0"/>
    <d v="2025-09-25T00:00:00"/>
    <d v="2025-09-29T00:00:00"/>
    <d v="2025-09-29T00:00:00"/>
  </r>
  <r>
    <x v="102"/>
    <x v="4"/>
    <s v="Product Hierarchy-Brand"/>
    <x v="102"/>
    <n v="0"/>
    <n v="51"/>
    <s v="dd: reference list: PRL: Product Hierarchy Market Segment"/>
    <s v="yes"/>
    <x v="2"/>
    <m/>
    <m/>
    <s v="based off BRAND DESCRIPTION"/>
    <s v="no known BR based on data entered"/>
    <m/>
    <x v="0"/>
    <s v="complete"/>
    <x v="4"/>
    <x v="4"/>
    <x v="0"/>
    <x v="0"/>
    <m/>
    <x v="0"/>
    <n v="0"/>
    <x v="0"/>
    <d v="2025-09-25T00:00:00"/>
    <d v="2025-09-29T00:00:00"/>
    <d v="2025-09-29T00:00:00"/>
  </r>
  <r>
    <x v="103"/>
    <x v="4"/>
    <s v="Product Hierarchy-Brand"/>
    <x v="103"/>
    <n v="0"/>
    <n v="51"/>
    <s v="dd: reference list: PRL: Product Hierarchy Market Segment"/>
    <s v="yes"/>
    <x v="2"/>
    <m/>
    <m/>
    <s v="based off BRAND DESCRIPTION"/>
    <s v="move these rules to the proper field:_x000a_if CA &amp; VAS=yes, BOM_plant=1460; _x000a_if US &amp; VAS=yes &amp; Pringles=no, BOM_plant=1485; _x000a_if US &amp;VAS=yes &amp; Pringles=yes, BOM_plant=1409;_x000a_if US &amp; VAS=yes &amp; Form_type=Case, BOM_plant=1485;_x000a_PH1_Material_Segment=40 &amp; VAS=yes, BOM_plant=1724;"/>
    <m/>
    <x v="0"/>
    <s v="last week"/>
    <x v="4"/>
    <x v="4"/>
    <x v="0"/>
    <x v="0"/>
    <m/>
    <x v="0"/>
    <n v="0"/>
    <x v="0"/>
    <d v="2025-09-25T00:00:00"/>
    <d v="2025-09-29T00:00:00"/>
    <d v="2025-09-29T00:00:00"/>
  </r>
  <r>
    <x v="104"/>
    <x v="4"/>
    <s v="Product Hierarchy-Brand"/>
    <x v="104"/>
    <n v="0"/>
    <n v="51"/>
    <s v="dd: reference list: PRL: Product Hierarchy Market Category"/>
    <s v="yes"/>
    <x v="2"/>
    <m/>
    <m/>
    <s v="based off BRAND DESCRIPTION"/>
    <s v="no known BR based on data entered"/>
    <m/>
    <x v="0"/>
    <s v="complete"/>
    <x v="4"/>
    <x v="4"/>
    <x v="0"/>
    <x v="0"/>
    <m/>
    <x v="0"/>
    <n v="0"/>
    <x v="0"/>
    <d v="2025-09-25T00:00:00"/>
    <d v="2025-09-29T00:00:00"/>
    <d v="2025-09-29T00:00:00"/>
  </r>
  <r>
    <x v="105"/>
    <x v="4"/>
    <s v="Product Hierarchy-Brand"/>
    <x v="105"/>
    <n v="0"/>
    <n v="51"/>
    <s v="dd: reference list: PRL: Product Hierarchy Market Category"/>
    <s v="yes"/>
    <x v="2"/>
    <m/>
    <m/>
    <s v="based off BRAND DESCRIPTION"/>
    <s v="no known BR based on data entered"/>
    <m/>
    <x v="0"/>
    <s v="complete"/>
    <x v="4"/>
    <x v="4"/>
    <x v="0"/>
    <x v="0"/>
    <m/>
    <x v="0"/>
    <n v="0"/>
    <x v="0"/>
    <d v="2025-09-25T00:00:00"/>
    <d v="2025-09-29T00:00:00"/>
    <d v="2025-09-29T00:00:00"/>
  </r>
  <r>
    <x v="106"/>
    <x v="4"/>
    <s v="Product Hierarchy-Brand"/>
    <x v="106"/>
    <n v="0"/>
    <n v="51"/>
    <s v="dd: reference list: PRL: Product Hierarchy Market Sub-Category"/>
    <s v="yes"/>
    <x v="2"/>
    <m/>
    <m/>
    <s v="based off BRAND DESCRIPTION"/>
    <s v="no known BR based on data entered"/>
    <m/>
    <x v="0"/>
    <s v="complete"/>
    <x v="4"/>
    <x v="4"/>
    <x v="0"/>
    <x v="0"/>
    <m/>
    <x v="0"/>
    <n v="0"/>
    <x v="0"/>
    <d v="2025-09-25T00:00:00"/>
    <d v="2025-09-29T00:00:00"/>
    <d v="2025-09-29T00:00:00"/>
  </r>
  <r>
    <x v="107"/>
    <x v="4"/>
    <s v="Product Hierarchy-Brand"/>
    <x v="107"/>
    <n v="0"/>
    <n v="51"/>
    <s v="dd: reference list: PRL: Product Hierarchy Market Sub-Category"/>
    <s v="yes"/>
    <x v="2"/>
    <m/>
    <m/>
    <s v="based off BRAND DESCRIPTION"/>
    <s v="no known BR based on data entered"/>
    <m/>
    <x v="0"/>
    <s v="complete"/>
    <x v="4"/>
    <x v="4"/>
    <x v="0"/>
    <x v="0"/>
    <m/>
    <x v="0"/>
    <n v="0"/>
    <x v="0"/>
    <d v="2025-09-25T00:00:00"/>
    <d v="2025-09-29T00:00:00"/>
    <d v="2025-09-29T00:00:00"/>
  </r>
  <r>
    <x v="108"/>
    <x v="4"/>
    <s v="Product Hierarchy-Brand"/>
    <x v="108"/>
    <n v="1"/>
    <s v="51, 75, 86"/>
    <s v="dd: reference list: PRL: Product Hierarchy Brand"/>
    <s v="yes"/>
    <x v="2"/>
    <s v="Requestor"/>
    <m/>
    <m/>
    <s v="1107 predecessor to 1083; _x000a_Tech name [PH4_Brand_Desc] (26 rules)"/>
    <m/>
    <x v="0"/>
    <s v="last week"/>
    <x v="4"/>
    <x v="4"/>
    <x v="0"/>
    <x v="0"/>
    <n v="6"/>
    <x v="2"/>
    <n v="1.5"/>
    <x v="0"/>
    <d v="2025-09-23T00:00:00"/>
    <d v="2025-09-29T00:00:00"/>
    <d v="2025-09-29T00:00:00"/>
  </r>
  <r>
    <x v="109"/>
    <x v="4"/>
    <s v="Product Hierarchy-Brand"/>
    <x v="109"/>
    <n v="0"/>
    <n v="51"/>
    <s v="dd: reference list: PRL: Product Hierarchy Brand"/>
    <s v="yes"/>
    <x v="2"/>
    <m/>
    <m/>
    <s v="based off BRAND DESCRIPTION"/>
    <s v="no known BR based on data entered"/>
    <m/>
    <x v="0"/>
    <s v="complete"/>
    <x v="4"/>
    <x v="4"/>
    <x v="0"/>
    <x v="0"/>
    <m/>
    <x v="0"/>
    <n v="0"/>
    <x v="0"/>
    <d v="2025-09-25T00:00:00"/>
    <d v="2025-09-29T00:00:00"/>
    <d v="2025-09-29T00:00:00"/>
  </r>
  <r>
    <x v="110"/>
    <x v="4"/>
    <s v="Product Hierarchy-Brand"/>
    <x v="110"/>
    <n v="1"/>
    <s v="51, 110"/>
    <s v="dd: reference list: PRL: Product Hierarchy Type"/>
    <s v="yes"/>
    <x v="2"/>
    <s v="Data Integrity"/>
    <m/>
    <m/>
    <s v="no known BR based on data entered"/>
    <m/>
    <x v="0"/>
    <s v="complete"/>
    <x v="4"/>
    <x v="4"/>
    <x v="0"/>
    <x v="0"/>
    <m/>
    <x v="2"/>
    <n v="1.5"/>
    <x v="0"/>
    <d v="2025-09-25T00:00:00"/>
    <d v="2025-09-29T00:00:00"/>
    <d v="2025-09-29T00:00:00"/>
  </r>
  <r>
    <x v="111"/>
    <x v="4"/>
    <s v="Product Hierarchy-Brand"/>
    <x v="111"/>
    <n v="0"/>
    <n v="51"/>
    <s v="dd: reference list: PRL: Product Hierarchy Type"/>
    <s v="yes"/>
    <x v="2"/>
    <m/>
    <m/>
    <s v="based off TYPE DESCRIPTION"/>
    <s v="no known BR based on data entered"/>
    <m/>
    <x v="0"/>
    <s v="complete"/>
    <x v="4"/>
    <x v="4"/>
    <x v="0"/>
    <x v="0"/>
    <m/>
    <x v="0"/>
    <n v="0"/>
    <x v="0"/>
    <d v="2025-09-25T00:00:00"/>
    <d v="2025-09-29T00:00:00"/>
    <d v="2025-09-29T00:00:00"/>
  </r>
  <r>
    <x v="112"/>
    <x v="4"/>
    <s v="Product Hierarchy-Brand"/>
    <x v="112"/>
    <n v="1"/>
    <s v="51, 110"/>
    <s v="dd: reference list: PRL: Product Hierarchy Sub-Type"/>
    <s v="yes"/>
    <x v="2"/>
    <s v="Data Integrity"/>
    <m/>
    <m/>
    <s v="no known BR based on data entered"/>
    <m/>
    <x v="0"/>
    <s v="complete"/>
    <x v="4"/>
    <x v="4"/>
    <x v="0"/>
    <x v="0"/>
    <m/>
    <x v="2"/>
    <n v="1.5"/>
    <x v="0"/>
    <d v="2025-09-25T00:00:00"/>
    <d v="2025-09-29T00:00:00"/>
    <d v="2025-09-29T00:00:00"/>
  </r>
  <r>
    <x v="113"/>
    <x v="4"/>
    <s v="Product Hierarchy-Brand"/>
    <x v="113"/>
    <n v="0"/>
    <n v="51"/>
    <s v="dd: reference list: PRL: Product Hierarchy Sub-Type"/>
    <s v="yes"/>
    <x v="2"/>
    <m/>
    <m/>
    <s v="based off SUB-TYPE DESCRIPTION"/>
    <s v="no known BR based on data entered"/>
    <m/>
    <x v="0"/>
    <s v="complete"/>
    <x v="4"/>
    <x v="4"/>
    <x v="0"/>
    <x v="0"/>
    <m/>
    <x v="0"/>
    <n v="0"/>
    <x v="0"/>
    <d v="2025-09-25T00:00:00"/>
    <d v="2025-09-29T00:00:00"/>
    <d v="2025-09-29T00:00:00"/>
  </r>
  <r>
    <x v="114"/>
    <x v="4"/>
    <s v="Alternate Units of Measure"/>
    <x v="114"/>
    <n v="1"/>
    <n v="52"/>
    <s v="radio button: DEFAULTS, ESTIMATED, ACTUALS"/>
    <s v="yes"/>
    <x v="2"/>
    <m/>
    <m/>
    <s v="informational only"/>
    <s v="if &quot;Forecast Entry Options&quot; is DEFAULTS, then &quot;Y&quot; (1116) [Numerator_for_Conversion_to_Base_Units_of_Measure]= '1' and &quot;X&quot; (1114) [Denominator_for_conversion_to_base_units_of_measure]= '1' and &quot;Length&quot; (1118) = '1' and &quot;Width&quot; (1119) = '1' and &quot;Height&quot; (1120) = '1'"/>
    <m/>
    <x v="4"/>
    <s v="last week"/>
    <x v="4"/>
    <x v="4"/>
    <x v="0"/>
    <x v="0"/>
    <m/>
    <x v="1"/>
    <n v="0.5"/>
    <x v="0"/>
    <d v="2025-09-25T00:00:00"/>
    <d v="2025-09-29T00:00:00"/>
    <m/>
  </r>
  <r>
    <x v="115"/>
    <x v="4"/>
    <s v="Alternate Units of Measure"/>
    <x v="115"/>
    <n v="1"/>
    <s v="52, 98"/>
    <s v="free form"/>
    <m/>
    <x v="2"/>
    <s v="Packaging Tech"/>
    <m/>
    <s v="rows of data: 4 (CS, PKG, LYR, UL);  PCH"/>
    <s v="Tech name: [Denominator_for_conversion_to_base_units_of_measure] (10 rules) then executed 4 times throughout rules"/>
    <m/>
    <x v="3"/>
    <s v="last week"/>
    <x v="4"/>
    <x v="4"/>
    <x v="0"/>
    <x v="0"/>
    <m/>
    <x v="1"/>
    <n v="0.5"/>
    <x v="0"/>
    <d v="2025-09-25T00:00:00"/>
    <d v="2025-09-29T00:00:00"/>
    <m/>
  </r>
  <r>
    <x v="116"/>
    <x v="3"/>
    <s v="UPC, K#, and GTIN Codes"/>
    <x v="116"/>
    <n v="0"/>
    <s v="29, 47, 52, 56, 98, 113"/>
    <s v="autofill"/>
    <m/>
    <x v="1"/>
    <m/>
    <m/>
    <m/>
    <s v="Tech name: [Alternative_Unit_of_Measure_for_Stockkeeping_Unit] (1 rule)"/>
    <m/>
    <x v="1"/>
    <s v="future"/>
    <x v="3"/>
    <x v="3"/>
    <x v="3"/>
    <x v="3"/>
    <m/>
    <x v="0"/>
    <n v="0"/>
    <x v="6"/>
    <m/>
    <d v="2025-09-29T00:00:00"/>
    <m/>
  </r>
  <r>
    <x v="117"/>
    <x v="4"/>
    <s v="Alternate Units of Measure"/>
    <x v="117"/>
    <n v="0"/>
    <s v="52, 98"/>
    <s v="autofill"/>
    <m/>
    <x v="2"/>
    <s v="Packaging Tech"/>
    <m/>
    <m/>
    <s v="constant variable for display only"/>
    <m/>
    <x v="3"/>
    <s v="last week"/>
    <x v="4"/>
    <x v="4"/>
    <x v="0"/>
    <x v="0"/>
    <m/>
    <x v="0"/>
    <n v="0"/>
    <x v="0"/>
    <d v="2025-09-25T00:00:00"/>
    <d v="2025-09-29T00:00:00"/>
    <m/>
  </r>
  <r>
    <x v="118"/>
    <x v="4"/>
    <s v="Alternate Units of Measure"/>
    <x v="118"/>
    <n v="1"/>
    <s v="52, 98"/>
    <s v="free form"/>
    <m/>
    <x v="2"/>
    <s v="Packaging Tech"/>
    <m/>
    <s v="rows of data: 4 (CS, PKG, LYR, UL);  PCH"/>
    <s v="Tech name: [Numerator_for_Conversion_to_Base_Units_of_Measure] (13 rules) then executed 4 times throughout rules"/>
    <m/>
    <x v="3"/>
    <s v="last week"/>
    <x v="4"/>
    <x v="4"/>
    <x v="0"/>
    <x v="0"/>
    <m/>
    <x v="1"/>
    <n v="0.5"/>
    <x v="0"/>
    <d v="2025-09-25T00:00:00"/>
    <d v="2025-09-29T00:00:00"/>
    <m/>
  </r>
  <r>
    <x v="119"/>
    <x v="4"/>
    <s v="Alternate Units of Measure"/>
    <x v="119"/>
    <n v="0"/>
    <s v="29, 52, 98"/>
    <s v="autofill"/>
    <m/>
    <x v="2"/>
    <s v="Packaging Tech"/>
    <m/>
    <m/>
    <s v="based off of RDL: ALT_UOM  (ie: CS, HUL, QUL, FUL, …)_x000a_Tech name: [Base_Unit_of_Measure] (referenced 3 times, but no rules on actual field)"/>
    <m/>
    <x v="3"/>
    <s v="last week"/>
    <x v="4"/>
    <x v="4"/>
    <x v="0"/>
    <x v="0"/>
    <m/>
    <x v="0"/>
    <n v="0"/>
    <x v="0"/>
    <d v="2025-09-25T00:00:00"/>
    <d v="2025-09-29T00:00:00"/>
    <m/>
  </r>
  <r>
    <x v="120"/>
    <x v="4"/>
    <s v="Alternate Units of Measure"/>
    <x v="120"/>
    <n v="1"/>
    <s v="52, 98"/>
    <s v="free form"/>
    <m/>
    <x v="2"/>
    <s v="Packaging Tech"/>
    <m/>
    <s v="rows of data: 4 (CS, PKG, LYR, UL);  PCH"/>
    <s v="Tech name: [Length] (5 rules)"/>
    <m/>
    <x v="3"/>
    <s v="last week"/>
    <x v="4"/>
    <x v="4"/>
    <x v="0"/>
    <x v="0"/>
    <m/>
    <x v="1"/>
    <n v="0.5"/>
    <x v="0"/>
    <d v="2025-09-25T00:00:00"/>
    <d v="2025-09-29T00:00:00"/>
    <m/>
  </r>
  <r>
    <x v="121"/>
    <x v="4"/>
    <s v="Alternate Units of Measure"/>
    <x v="121"/>
    <n v="1"/>
    <s v="52, 98"/>
    <s v="free form"/>
    <m/>
    <x v="2"/>
    <s v="Packaging Tech"/>
    <m/>
    <s v="rows of data: 4 (CS, PKG, LYR, UL);  PCH"/>
    <s v="Tech name: [Width] (5 rules)"/>
    <m/>
    <x v="3"/>
    <s v="last week"/>
    <x v="4"/>
    <x v="4"/>
    <x v="0"/>
    <x v="0"/>
    <m/>
    <x v="1"/>
    <n v="0.5"/>
    <x v="0"/>
    <d v="2025-09-25T00:00:00"/>
    <d v="2025-09-29T00:00:00"/>
    <m/>
  </r>
  <r>
    <x v="122"/>
    <x v="4"/>
    <s v="Alternate Units of Measure"/>
    <x v="122"/>
    <n v="1"/>
    <s v="52, 98"/>
    <s v="free form"/>
    <m/>
    <x v="2"/>
    <s v="Packaging Tech"/>
    <m/>
    <s v="rows of data: 4 (CS, PKG, LYR, UL);  PCH"/>
    <s v="Tech name: [Height] (5 rules)"/>
    <m/>
    <x v="3"/>
    <s v="last week"/>
    <x v="4"/>
    <x v="4"/>
    <x v="0"/>
    <x v="0"/>
    <m/>
    <x v="1"/>
    <n v="0.5"/>
    <x v="0"/>
    <d v="2025-09-25T00:00:00"/>
    <d v="2025-09-29T00:00:00"/>
    <m/>
  </r>
  <r>
    <x v="123"/>
    <x v="4"/>
    <s v="Alternate Units of Measure"/>
    <x v="123"/>
    <n v="0"/>
    <s v="52, 98"/>
    <s v="autofill"/>
    <m/>
    <x v="2"/>
    <s v="Packaging Tech"/>
    <m/>
    <m/>
    <s v="based off of RDL: ALT_UOM -- this field is not in ALT_UOM table; assuming it is always 'IN'"/>
    <m/>
    <x v="3"/>
    <s v="last week"/>
    <x v="4"/>
    <x v="4"/>
    <x v="0"/>
    <x v="0"/>
    <m/>
    <x v="0"/>
    <n v="0"/>
    <x v="0"/>
    <d v="2025-09-25T00:00:00"/>
    <d v="2025-09-29T00:00:00"/>
    <m/>
  </r>
  <r>
    <x v="124"/>
    <x v="4"/>
    <s v="Alternate Units of Measure"/>
    <x v="124"/>
    <n v="0"/>
    <s v="52, 98"/>
    <s v="autofill"/>
    <m/>
    <x v="2"/>
    <s v="Packaging Tech"/>
    <m/>
    <m/>
    <s v="Tech name: [Volume] (1 rule)"/>
    <m/>
    <x v="3"/>
    <s v="last week"/>
    <x v="4"/>
    <x v="4"/>
    <x v="0"/>
    <x v="0"/>
    <m/>
    <x v="0"/>
    <n v="0"/>
    <x v="0"/>
    <d v="2025-09-25T00:00:00"/>
    <d v="2025-09-29T00:00:00"/>
    <m/>
  </r>
  <r>
    <x v="125"/>
    <x v="4"/>
    <s v="Alternate Units of Measure"/>
    <x v="125"/>
    <n v="0"/>
    <s v="52, 98"/>
    <s v="autofill"/>
    <m/>
    <x v="2"/>
    <s v="Packaging Tech"/>
    <m/>
    <m/>
    <s v="based off of RDL: ALT_UOM -- this field is not in ALT_UOM table; assuming it is always 'FT3'"/>
    <m/>
    <x v="3"/>
    <s v="last week"/>
    <x v="4"/>
    <x v="4"/>
    <x v="0"/>
    <x v="0"/>
    <m/>
    <x v="0"/>
    <n v="0"/>
    <x v="0"/>
    <d v="2025-09-25T00:00:00"/>
    <d v="2025-09-29T00:00:00"/>
    <m/>
  </r>
  <r>
    <x v="126"/>
    <x v="4"/>
    <s v="Alternate Units of Measure"/>
    <x v="126"/>
    <n v="1"/>
    <s v="52, 98"/>
    <s v="free form"/>
    <m/>
    <x v="2"/>
    <s v="Packaging Tech"/>
    <m/>
    <s v="rows of data: 4 (CS, PKG, LYR, UL);  PCH"/>
    <s v="Tech name: [Gross_Weight] (14 rules); _x000a_Tech name: [Gross_Weight_UL] (2 rules); _x000a_Tech name: [Gross_Case_Weight] (1 rule)"/>
    <m/>
    <x v="3"/>
    <s v="last week"/>
    <x v="4"/>
    <x v="4"/>
    <x v="0"/>
    <x v="0"/>
    <m/>
    <x v="1"/>
    <n v="0.5"/>
    <x v="0"/>
    <d v="2025-09-25T00:00:00"/>
    <d v="2025-09-29T00:00:00"/>
    <m/>
  </r>
  <r>
    <x v="127"/>
    <x v="4"/>
    <s v="Alternate Units of Measure"/>
    <x v="127"/>
    <n v="0"/>
    <s v="52, 98"/>
    <s v="autofill"/>
    <m/>
    <x v="2"/>
    <s v="Packaging Tech"/>
    <m/>
    <m/>
    <s v="based off of RDL: ALT_UOM; different values depending on the level of the Alternate Units of Measure"/>
    <m/>
    <x v="3"/>
    <s v="last week"/>
    <x v="4"/>
    <x v="4"/>
    <x v="0"/>
    <x v="0"/>
    <m/>
    <x v="0"/>
    <n v="0"/>
    <x v="0"/>
    <d v="2025-09-25T00:00:00"/>
    <d v="2025-09-29T00:00:00"/>
    <m/>
  </r>
  <r>
    <x v="128"/>
    <x v="4"/>
    <s v="Material Description(s)"/>
    <x v="128"/>
    <n v="0"/>
    <s v="52, 58"/>
    <s v="dd: reference list: DESCRIPTION_LANGUAGES.XLSX"/>
    <m/>
    <x v="2"/>
    <m/>
    <m/>
    <m/>
    <s v="If &quot;Product Country&quot; (1008) is not 'CA' then 'E'._x000a_If &quot;Product Country&quot; (1008) is 'CA' then Select * from dd: reference list: DESCRIPTION_LANGUAGES.XLSX."/>
    <m/>
    <x v="4"/>
    <s v="last week"/>
    <x v="4"/>
    <x v="4"/>
    <x v="0"/>
    <x v="0"/>
    <m/>
    <x v="0"/>
    <n v="0"/>
    <x v="0"/>
    <d v="2025-09-25T00:00:00"/>
    <d v="2025-09-29T00:00:00"/>
    <m/>
  </r>
  <r>
    <x v="129"/>
    <x v="4"/>
    <s v="Material Description(s)"/>
    <x v="129"/>
    <n v="0"/>
    <s v="52, 58"/>
    <s v="autofill"/>
    <m/>
    <x v="2"/>
    <s v="Requestor, Masterfiles"/>
    <m/>
    <s v="Multiple rows possible. because of languages"/>
    <s v="max 40"/>
    <m/>
    <x v="2"/>
    <s v="last week"/>
    <x v="4"/>
    <x v="4"/>
    <x v="0"/>
    <x v="0"/>
    <n v="7"/>
    <x v="0"/>
    <n v="0"/>
    <x v="0"/>
    <d v="2025-09-24T00:00:00"/>
    <m/>
    <m/>
  </r>
  <r>
    <x v="130"/>
    <x v="4"/>
    <s v="Material Description(s)"/>
    <x v="130"/>
    <n v="0"/>
    <s v="52, 58"/>
    <s v="autofill"/>
    <m/>
    <x v="2"/>
    <m/>
    <m/>
    <m/>
    <s v="no known BR based on data entered"/>
    <m/>
    <x v="2"/>
    <s v="last week"/>
    <x v="4"/>
    <x v="4"/>
    <x v="0"/>
    <x v="0"/>
    <m/>
    <x v="0"/>
    <n v="0"/>
    <x v="0"/>
    <d v="2025-09-25T00:00:00"/>
    <m/>
    <m/>
  </r>
  <r>
    <x v="131"/>
    <x v="4"/>
    <s v="Material Description(s)"/>
    <x v="131"/>
    <n v="0"/>
    <n v="52"/>
    <s v="button"/>
    <m/>
    <x v="2"/>
    <m/>
    <m/>
    <s v="part of the 22 rules are these which were captured earlier:  1127 dependent on 1009 Product Type='Rainbow' then RNBW must be at end of Material Description (for DataSync compliancy); max 40; dependent on 1304 &quot;is this non sellable FERT WIP&quot; = YES, then add WIP to end"/>
    <s v="1129 dependent on 1029; run button; (22 rules)"/>
    <m/>
    <x v="2"/>
    <s v="last week"/>
    <x v="4"/>
    <x v="4"/>
    <x v="0"/>
    <x v="0"/>
    <m/>
    <x v="1"/>
    <n v="0"/>
    <x v="0"/>
    <d v="2025-09-23T00:00:00"/>
    <m/>
    <m/>
  </r>
  <r>
    <x v="132"/>
    <x v="4"/>
    <s v="Material Description(s)"/>
    <x v="132"/>
    <n v="1"/>
    <s v="52, 58, 81"/>
    <s v="free form"/>
    <m/>
    <x v="2"/>
    <s v="Masterfiles"/>
    <m/>
    <m/>
    <s v="1130 predecessor to 1131; 40 max"/>
    <m/>
    <x v="4"/>
    <s v="last week"/>
    <x v="4"/>
    <x v="4"/>
    <x v="0"/>
    <x v="0"/>
    <m/>
    <x v="3"/>
    <n v="1"/>
    <x v="0"/>
    <d v="2025-09-19T00:00:00"/>
    <d v="2025-09-29T00:00:00"/>
    <m/>
  </r>
  <r>
    <x v="133"/>
    <x v="4"/>
    <s v="Material Description(s)"/>
    <x v="133"/>
    <n v="0"/>
    <s v="52, 58"/>
    <s v="autofill"/>
    <m/>
    <x v="2"/>
    <m/>
    <m/>
    <m/>
    <s v="1131 dependent on: Suggested Material Desc (1130)"/>
    <m/>
    <x v="4"/>
    <s v="last week"/>
    <x v="4"/>
    <x v="4"/>
    <x v="0"/>
    <x v="0"/>
    <m/>
    <x v="0"/>
    <n v="0"/>
    <x v="0"/>
    <d v="2025-09-19T00:00:00"/>
    <d v="2025-09-29T00:00:00"/>
    <m/>
  </r>
  <r>
    <x v="134"/>
    <x v="4"/>
    <s v="Taxes"/>
    <x v="134"/>
    <n v="1"/>
    <s v="52, 105"/>
    <s v="dd: reference list: COUNTRY (not in RDL or PRL)"/>
    <m/>
    <x v="2"/>
    <s v="CA Finance Tax"/>
    <m/>
    <s v="If &quot;Product Country&quot; (1008) is 'US' then &quot;Departure Country&quot; (1132) is 'US' and &quot;Tax Category&quot; (1133) is 'UTXJ' and &quot;Tax Classification&quot; (1134) is '0'._x000a_Can't find any rules for 'CA', so assuming fields are open for population. ??"/>
    <s v="Tech name: [Departure_country__country_from_which_the_goods_are_sent] (2 rules set this value, but rules are not on the field itself)"/>
    <m/>
    <x v="3"/>
    <s v="last week"/>
    <x v="4"/>
    <x v="4"/>
    <x v="0"/>
    <x v="0"/>
    <m/>
    <x v="1"/>
    <n v="0.5"/>
    <x v="0"/>
    <d v="2025-09-25T00:00:00"/>
    <m/>
    <m/>
  </r>
  <r>
    <x v="135"/>
    <x v="4"/>
    <s v="Taxes"/>
    <x v="135"/>
    <n v="0"/>
    <s v="52, 105"/>
    <s v="autofill"/>
    <m/>
    <x v="2"/>
    <s v="CA Finance Tax"/>
    <m/>
    <m/>
    <s v="Tech name: [Tax_category__sales_tax__federal_sales_tax_____] (1 rule) (2 other rules set this value, but they are not on the field itself)"/>
    <m/>
    <x v="3"/>
    <s v="last week"/>
    <x v="4"/>
    <x v="4"/>
    <x v="0"/>
    <x v="0"/>
    <m/>
    <x v="0"/>
    <n v="0"/>
    <x v="0"/>
    <d v="2025-09-25T00:00:00"/>
    <m/>
    <m/>
  </r>
  <r>
    <x v="136"/>
    <x v="4"/>
    <s v="Taxes"/>
    <x v="136"/>
    <n v="1"/>
    <s v="52, 105"/>
    <s v="dd: reference list: TAX_CLASSIFICATION.XLSX"/>
    <m/>
    <x v="2"/>
    <s v="CA Finance Tax"/>
    <m/>
    <s v="Pull data from dd list"/>
    <s v="Tech name: [Tax_classification_material] (5 rules set this value, but rules are not on the field itself)"/>
    <m/>
    <x v="3"/>
    <s v="last week"/>
    <x v="4"/>
    <x v="4"/>
    <x v="0"/>
    <x v="0"/>
    <m/>
    <x v="1"/>
    <n v="0.5"/>
    <x v="0"/>
    <d v="2025-09-25T00:00:00"/>
    <m/>
    <m/>
  </r>
  <r>
    <x v="137"/>
    <x v="6"/>
    <s v="Forecast Scripts"/>
    <x v="137"/>
    <n v="0"/>
    <n v="59"/>
    <s v="button"/>
    <m/>
    <x v="1"/>
    <m/>
    <m/>
    <s v="Masterfiles setup of Forecast sku"/>
    <m/>
    <m/>
    <x v="1"/>
    <s v="future"/>
    <x v="6"/>
    <x v="3"/>
    <x v="3"/>
    <x v="3"/>
    <m/>
    <x v="1"/>
    <n v="0"/>
    <x v="6"/>
    <m/>
    <m/>
    <m/>
  </r>
  <r>
    <x v="138"/>
    <x v="6"/>
    <s v="Forecast Scripts"/>
    <x v="138"/>
    <n v="0"/>
    <n v="60"/>
    <s v="expand group with more buttons"/>
    <m/>
    <x v="1"/>
    <m/>
    <m/>
    <m/>
    <m/>
    <m/>
    <x v="1"/>
    <s v="future"/>
    <x v="6"/>
    <x v="3"/>
    <x v="3"/>
    <x v="3"/>
    <m/>
    <x v="1"/>
    <n v="0"/>
    <x v="6"/>
    <m/>
    <m/>
    <m/>
  </r>
  <r>
    <x v="139"/>
    <x v="7"/>
    <s v="Product Setup"/>
    <x v="139"/>
    <n v="1"/>
    <n v="62"/>
    <s v="dd: YES, NO"/>
    <m/>
    <x v="2"/>
    <m/>
    <m/>
    <s v="if yes, there will be a BOM requirement in the form, and the Material Group will be set to REPACK."/>
    <s v="1137 [VAS] predecessor for 1176-1192"/>
    <m/>
    <x v="3"/>
    <s v="current"/>
    <x v="7"/>
    <x v="1"/>
    <x v="2"/>
    <x v="2"/>
    <m/>
    <x v="3"/>
    <n v="1"/>
    <x v="5"/>
    <d v="2025-09-22T00:00:00"/>
    <m/>
    <m/>
  </r>
  <r>
    <x v="140"/>
    <x v="8"/>
    <s v="(buttons) Returns"/>
    <x v="140"/>
    <n v="1"/>
    <n v="63"/>
    <s v="free form"/>
    <m/>
    <x v="2"/>
    <m/>
    <m/>
    <m/>
    <m/>
    <m/>
    <x v="1"/>
    <s v="current"/>
    <x v="8"/>
    <x v="1"/>
    <x v="2"/>
    <x v="2"/>
    <m/>
    <x v="1"/>
    <n v="0.5"/>
    <x v="5"/>
    <m/>
    <m/>
    <m/>
  </r>
  <r>
    <x v="141"/>
    <x v="9"/>
    <s v="NIF Dashboard"/>
    <x v="141"/>
    <n v="0"/>
    <n v="64"/>
    <s v="autofill"/>
    <m/>
    <x v="2"/>
    <m/>
    <m/>
    <s v="statuses of the workflow (X, R, C…)"/>
    <m/>
    <m/>
    <x v="1"/>
    <s v="future"/>
    <x v="9"/>
    <x v="2"/>
    <x v="3"/>
    <x v="3"/>
    <m/>
    <x v="0"/>
    <n v="0"/>
    <x v="6"/>
    <m/>
    <m/>
    <m/>
  </r>
  <r>
    <x v="142"/>
    <x v="5"/>
    <s v="Product Details"/>
    <x v="142"/>
    <n v="1"/>
    <n v="74"/>
    <s v="free form"/>
    <m/>
    <x v="0"/>
    <m/>
    <m/>
    <s v="These fields are open for updating: Project Type, Project Name or Number, Set Category, Brief Product Description, Brief Project Overview and Technical Notes, Stated Weights/Case Count section, Data Sync(GDSN)?"/>
    <s v="no known BR based on data entered"/>
    <m/>
    <x v="2"/>
    <s v="last week"/>
    <x v="5"/>
    <x v="5"/>
    <x v="0"/>
    <x v="0"/>
    <n v="5"/>
    <x v="1"/>
    <n v="0.5"/>
    <x v="0"/>
    <d v="2025-09-25T00:00:00"/>
    <m/>
    <m/>
  </r>
  <r>
    <x v="143"/>
    <x v="5"/>
    <s v="Product Details"/>
    <x v="143"/>
    <n v="1"/>
    <n v="74"/>
    <s v="dd: USD, CAD"/>
    <s v="conditional"/>
    <x v="0"/>
    <m/>
    <m/>
    <s v="autofill as default: if country=US then USD; country=CA then CAD"/>
    <s v="no known BR based on data entered"/>
    <m/>
    <x v="2"/>
    <s v="last week"/>
    <x v="5"/>
    <x v="5"/>
    <x v="0"/>
    <x v="0"/>
    <n v="5"/>
    <x v="1"/>
    <n v="0.5"/>
    <x v="0"/>
    <d v="2025-09-25T00:00:00"/>
    <m/>
    <m/>
  </r>
  <r>
    <x v="144"/>
    <x v="5"/>
    <s v="Product Details"/>
    <x v="144"/>
    <n v="1"/>
    <n v="74"/>
    <s v="dd: reference list: PRL: Business Unit"/>
    <m/>
    <x v="0"/>
    <m/>
    <m/>
    <m/>
    <s v="no known BR based on data entered"/>
    <m/>
    <x v="2"/>
    <s v="last week"/>
    <x v="5"/>
    <x v="5"/>
    <x v="0"/>
    <x v="0"/>
    <n v="5"/>
    <x v="1"/>
    <n v="0.5"/>
    <x v="0"/>
    <d v="2025-09-25T00:00:00"/>
    <m/>
    <m/>
  </r>
  <r>
    <x v="145"/>
    <x v="5"/>
    <s v="Product Details"/>
    <x v="145"/>
    <n v="0"/>
    <n v="74"/>
    <s v="dd: reference list: PRL: Material Group 1"/>
    <m/>
    <x v="0"/>
    <m/>
    <m/>
    <m/>
    <s v="populated based on the Brand"/>
    <m/>
    <x v="2"/>
    <s v="last week"/>
    <x v="5"/>
    <x v="5"/>
    <x v="0"/>
    <x v="0"/>
    <n v="5"/>
    <x v="0"/>
    <n v="0"/>
    <x v="0"/>
    <d v="2025-09-25T00:00:00"/>
    <m/>
    <m/>
  </r>
  <r>
    <x v="146"/>
    <x v="5"/>
    <s v="Product Details"/>
    <x v="146"/>
    <n v="1"/>
    <n v="74"/>
    <s v="date"/>
    <m/>
    <x v="0"/>
    <m/>
    <m/>
    <s v="Canada only"/>
    <s v="if &quot;Product Country&quot; is 'CA - Canada' then &quot;1st Arrival Date&quot; must be a Thursday; _x000a_Tech name: [First_Arrival_Date] - set first_ship_date=first_arrival_date-11; set pricing_validity_date=first_arrival_date-11; "/>
    <m/>
    <x v="3"/>
    <s v="last week"/>
    <x v="5"/>
    <x v="5"/>
    <x v="0"/>
    <x v="0"/>
    <n v="5"/>
    <x v="1"/>
    <n v="0.5"/>
    <x v="0"/>
    <d v="2025-09-25T00:00:00"/>
    <m/>
    <m/>
  </r>
  <r>
    <x v="147"/>
    <x v="5"/>
    <s v="Product Details"/>
    <x v="147"/>
    <n v="0"/>
    <n v="74"/>
    <s v="autofill"/>
    <m/>
    <x v="0"/>
    <m/>
    <m/>
    <s v="Canada only"/>
    <s v="has to be Thursday and for CANADA"/>
    <m/>
    <x v="2"/>
    <s v="last week"/>
    <x v="5"/>
    <x v="5"/>
    <x v="0"/>
    <x v="0"/>
    <n v="5"/>
    <x v="0"/>
    <n v="0"/>
    <x v="0"/>
    <d v="2025-09-25T00:00:00"/>
    <m/>
    <m/>
  </r>
  <r>
    <x v="148"/>
    <x v="5"/>
    <s v="Product Details"/>
    <x v="148"/>
    <n v="1"/>
    <s v="74, 80"/>
    <s v="date"/>
    <m/>
    <x v="0"/>
    <s v="LIM"/>
    <m/>
    <s v="Marie's notes: For Canada, First Arrival Date = Thursday; First Ship &amp; Pricing Dates are Sunday Prior (First Arrival - 11 days)"/>
    <s v="Tech name: [First_Ship_Date] - _x000a_if Country=US and first_ship_date=Monday and Forecast=Yes, then set &quot;Pricing Validity Date&quot; (1149)=first_ship_date-1; {what to do if Forecast=No};_x000a_if Country=CA, set &quot;Pricing Validity Date&quot; (1149)=first_arrival_date-11;_x000a_"/>
    <m/>
    <x v="3"/>
    <s v="last week"/>
    <x v="5"/>
    <x v="5"/>
    <x v="0"/>
    <x v="0"/>
    <n v="5"/>
    <x v="1"/>
    <n v="0.5"/>
    <x v="0"/>
    <d v="2025-09-25T00:00:00"/>
    <m/>
    <m/>
  </r>
  <r>
    <x v="149"/>
    <x v="5"/>
    <s v="Product Details"/>
    <x v="149"/>
    <n v="0"/>
    <n v="74"/>
    <s v="autofill"/>
    <m/>
    <x v="0"/>
    <m/>
    <m/>
    <m/>
    <s v="has to be Monday and for US"/>
    <m/>
    <x v="2"/>
    <s v="last week"/>
    <x v="5"/>
    <x v="5"/>
    <x v="0"/>
    <x v="0"/>
    <n v="5"/>
    <x v="0"/>
    <n v="0"/>
    <x v="0"/>
    <d v="2025-09-25T00:00:00"/>
    <m/>
    <m/>
  </r>
  <r>
    <x v="150"/>
    <x v="5"/>
    <s v="Product Details"/>
    <x v="150"/>
    <n v="1"/>
    <n v="74"/>
    <s v="dd: reference list: PRL: FERT Type"/>
    <m/>
    <x v="0"/>
    <m/>
    <m/>
    <m/>
    <s v="no known BR based on data entered"/>
    <m/>
    <x v="2"/>
    <s v="last week"/>
    <x v="5"/>
    <x v="5"/>
    <x v="0"/>
    <x v="0"/>
    <n v="5"/>
    <x v="1"/>
    <n v="0.5"/>
    <x v="0"/>
    <d v="2025-09-25T00:00:00"/>
    <m/>
    <m/>
  </r>
  <r>
    <x v="151"/>
    <x v="5"/>
    <s v="Product Details"/>
    <x v="151"/>
    <n v="0"/>
    <n v="74"/>
    <s v="autofill"/>
    <m/>
    <x v="0"/>
    <m/>
    <m/>
    <m/>
    <s v="rule for formatting the date"/>
    <m/>
    <x v="3"/>
    <s v="last week"/>
    <x v="5"/>
    <x v="5"/>
    <x v="0"/>
    <x v="0"/>
    <n v="5"/>
    <x v="0"/>
    <n v="0"/>
    <x v="0"/>
    <d v="2025-09-25T00:00:00"/>
    <m/>
    <m/>
  </r>
  <r>
    <x v="152"/>
    <x v="5"/>
    <s v="Product Details"/>
    <x v="152"/>
    <n v="1"/>
    <s v="74, 80"/>
    <s v="dd: reference list: PRL: Pack Type Use"/>
    <m/>
    <x v="0"/>
    <m/>
    <m/>
    <s v="Marie: field is owned by AFH (Speciality); default to GROCERY if it is not AFH; except might be for DISPLAY where it might be SHIPPER"/>
    <s v="5 rules"/>
    <m/>
    <x v="3"/>
    <s v="last week"/>
    <x v="5"/>
    <x v="5"/>
    <x v="0"/>
    <x v="0"/>
    <n v="5"/>
    <x v="1"/>
    <n v="0.5"/>
    <x v="0"/>
    <d v="2025-09-25T00:00:00"/>
    <m/>
    <m/>
  </r>
  <r>
    <x v="153"/>
    <x v="5"/>
    <s v="Product Details"/>
    <x v="153"/>
    <n v="1"/>
    <n v="74"/>
    <s v="dd: reference list: PRL: Planning Variant"/>
    <m/>
    <x v="0"/>
    <m/>
    <m/>
    <s v="EDI references this to find which item is considered the Base Material. If items share package UPC’s, there can only be one that is considered the Base Material. The Planning Variant field is where thisis indicated within SAP. Other items(children sku’s) that use the same package UPC as the Base (most often seen with Repack/RCP’s and Promo Codes), will use National, Customer or Limited. Therefore, if yoursetup type IS NOT Repack/RCP that is using an existing package UPC, your Planning Variantshould always be Base Material. If your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 Click here for more information, and list of customers that order by the package UPC."/>
    <s v="EDI uses it to find the BASE MATERIAL; {Customers usually order with a CASE CODE, which is good.  But if they order with a PACKAGE CODE, EDI uses the XREF table to reference the proper CASE CODE related to the Customer for the PACKAGE CODE they are sending (like Dollar General has its own ~EDI PARTNER #)};_x000a_1151 dependent on FALB (1304)=yes then can't be BASE MATERIAL; 4 rules, but doesn't seem to include the FALB one, so make sure it's included"/>
    <m/>
    <x v="3"/>
    <s v="last week"/>
    <x v="5"/>
    <x v="5"/>
    <x v="0"/>
    <x v="0"/>
    <n v="5"/>
    <x v="1"/>
    <n v="0.5"/>
    <x v="0"/>
    <d v="2025-09-22T00:00:00"/>
    <m/>
    <m/>
  </r>
  <r>
    <x v="154"/>
    <x v="5"/>
    <s v="Product Details"/>
    <x v="154"/>
    <n v="1"/>
    <n v="74"/>
    <s v="dd: PERMANENT, LIMITED"/>
    <m/>
    <x v="0"/>
    <m/>
    <m/>
    <m/>
    <s v="4 rules"/>
    <m/>
    <x v="3"/>
    <s v="last week"/>
    <x v="5"/>
    <x v="5"/>
    <x v="0"/>
    <x v="0"/>
    <n v="5"/>
    <x v="1"/>
    <n v="0.5"/>
    <x v="0"/>
    <d v="2025-09-25T00:00:00"/>
    <m/>
    <m/>
  </r>
  <r>
    <x v="155"/>
    <x v="5"/>
    <s v="Product Details"/>
    <x v="155"/>
    <n v="1"/>
    <n v="0"/>
    <s v="date"/>
    <s v="conditional"/>
    <x v="0"/>
    <m/>
    <m/>
    <s v="9/25/25 new field identified"/>
    <s v="if SKU Type=LIMITED then opens, then Remarket Date &amp; Stop Ship date are auto calculated; otherwise locked"/>
    <m/>
    <x v="3"/>
    <s v="last week"/>
    <x v="5"/>
    <x v="5"/>
    <x v="0"/>
    <x v="0"/>
    <m/>
    <x v="3"/>
    <n v="1"/>
    <x v="0"/>
    <d v="2025-09-25T00:00:00"/>
    <m/>
    <m/>
  </r>
  <r>
    <x v="156"/>
    <x v="5"/>
    <s v="Product Details"/>
    <x v="156"/>
    <n v="1"/>
    <n v="74"/>
    <s v="date"/>
    <m/>
    <x v="0"/>
    <m/>
    <m/>
    <s v="dependent on SKU TYPE"/>
    <s v="2 rules - probably a month afterwards (28 days after Promo End Date)"/>
    <m/>
    <x v="3"/>
    <s v="last week"/>
    <x v="5"/>
    <x v="5"/>
    <x v="0"/>
    <x v="0"/>
    <n v="5"/>
    <x v="1"/>
    <n v="0.5"/>
    <x v="0"/>
    <d v="2025-09-25T00:00:00"/>
    <m/>
    <m/>
  </r>
  <r>
    <x v="157"/>
    <x v="5"/>
    <s v="Product Details"/>
    <x v="157"/>
    <n v="0"/>
    <n v="74"/>
    <s v="autofill"/>
    <m/>
    <x v="0"/>
    <m/>
    <m/>
    <m/>
    <s v="rule for formatting the date, check br doc; 14 days after Promo End Date"/>
    <m/>
    <x v="3"/>
    <s v="last week"/>
    <x v="5"/>
    <x v="5"/>
    <x v="0"/>
    <x v="0"/>
    <n v="5"/>
    <x v="0"/>
    <n v="0"/>
    <x v="0"/>
    <d v="2025-09-25T00:00:00"/>
    <m/>
    <m/>
  </r>
  <r>
    <x v="158"/>
    <x v="5"/>
    <s v="Product Details"/>
    <x v="158"/>
    <n v="1"/>
    <n v="74"/>
    <s v="dd: YES, NO"/>
    <m/>
    <x v="0"/>
    <m/>
    <m/>
    <m/>
    <s v="2 rules; opens next 2 fields"/>
    <m/>
    <x v="3"/>
    <s v="last week"/>
    <x v="5"/>
    <x v="5"/>
    <x v="0"/>
    <x v="0"/>
    <n v="5"/>
    <x v="1"/>
    <n v="0.5"/>
    <x v="0"/>
    <d v="2025-09-25T00:00:00"/>
    <m/>
    <m/>
  </r>
  <r>
    <x v="159"/>
    <x v="5"/>
    <s v="Product Details"/>
    <x v="159"/>
    <n v="1"/>
    <n v="74"/>
    <s v="free form"/>
    <m/>
    <x v="0"/>
    <m/>
    <m/>
    <s v="dependent on IS THIS A SKU TO SKU TRANSITION"/>
    <s v="no known BR based on data entered"/>
    <m/>
    <x v="2"/>
    <s v="last week"/>
    <x v="5"/>
    <x v="5"/>
    <x v="0"/>
    <x v="0"/>
    <n v="5"/>
    <x v="1"/>
    <n v="0.5"/>
    <x v="0"/>
    <d v="2025-09-25T00:00:00"/>
    <m/>
    <m/>
  </r>
  <r>
    <x v="160"/>
    <x v="5"/>
    <s v="Product Details"/>
    <x v="160"/>
    <n v="1"/>
    <n v="74"/>
    <s v="date"/>
    <m/>
    <x v="0"/>
    <m/>
    <m/>
    <s v="dependent on IS THIS A SKU TO SKU TRANSITION"/>
    <s v="no known BR based on data entered"/>
    <m/>
    <x v="2"/>
    <s v="last week"/>
    <x v="5"/>
    <x v="5"/>
    <x v="0"/>
    <x v="0"/>
    <n v="5"/>
    <x v="1"/>
    <n v="0.5"/>
    <x v="0"/>
    <d v="2025-09-25T00:00:00"/>
    <m/>
    <m/>
  </r>
  <r>
    <x v="161"/>
    <x v="5"/>
    <s v="Product Details"/>
    <x v="161"/>
    <n v="1"/>
    <n v="74"/>
    <s v="dd: reference list: PRL: OTG Type"/>
    <m/>
    <x v="0"/>
    <m/>
    <m/>
    <m/>
    <s v="no known BR based on data entered"/>
    <m/>
    <x v="2"/>
    <s v="last week"/>
    <x v="5"/>
    <x v="5"/>
    <x v="0"/>
    <x v="0"/>
    <n v="5"/>
    <x v="1"/>
    <n v="0.5"/>
    <x v="0"/>
    <d v="2025-09-25T00:00:00"/>
    <m/>
    <m/>
  </r>
  <r>
    <x v="162"/>
    <x v="5"/>
    <s v="Product Details"/>
    <x v="162"/>
    <n v="1"/>
    <n v="74"/>
    <s v="dd: YES, NO"/>
    <m/>
    <x v="0"/>
    <m/>
    <m/>
    <m/>
    <s v="no known BR based on data entered; there may be previous rule to open this only when Product Type is SINGLE SERVE and SS REPACK"/>
    <m/>
    <x v="2"/>
    <s v="last week"/>
    <x v="5"/>
    <x v="5"/>
    <x v="0"/>
    <x v="0"/>
    <n v="5"/>
    <x v="1"/>
    <n v="0.5"/>
    <x v="0"/>
    <d v="2025-09-25T00:00:00"/>
    <m/>
    <m/>
  </r>
  <r>
    <x v="163"/>
    <x v="5"/>
    <s v="Product Details"/>
    <x v="163"/>
    <n v="1"/>
    <n v="0"/>
    <s v="dd: reference list: PRL: Pack Size _x000a_(CLUB PACK, RETAIL, SINGLE SERVE)"/>
    <m/>
    <x v="0"/>
    <m/>
    <m/>
    <s v="9/25/25 new field identified"/>
    <s v="Product Type=Club, Club Pack; =Single Serve, Single Serve; =anything else, Retail;;; find br rules"/>
    <m/>
    <x v="3"/>
    <s v="last week"/>
    <x v="5"/>
    <x v="5"/>
    <x v="0"/>
    <x v="0"/>
    <m/>
    <x v="3"/>
    <n v="1"/>
    <x v="0"/>
    <d v="2025-09-25T00:00:00"/>
    <m/>
    <m/>
  </r>
  <r>
    <x v="164"/>
    <x v="5"/>
    <s v="Product Details"/>
    <x v="164"/>
    <n v="1"/>
    <s v="74, 88"/>
    <s v="free form"/>
    <m/>
    <x v="0"/>
    <s v="R&amp;D Quality"/>
    <m/>
    <m/>
    <s v="5 rules - on R&amp;D QUALITY; doesn't appear anymore in DEV for REQ UPD;  Marie-if DISPLAY, then may be open and required on Req Upd; otherwise this would be open for R&amp;D QUALITY"/>
    <m/>
    <x v="3"/>
    <s v="last week"/>
    <x v="5"/>
    <x v="5"/>
    <x v="0"/>
    <x v="0"/>
    <n v="5"/>
    <x v="1"/>
    <n v="0.5"/>
    <x v="0"/>
    <d v="2025-09-25T00:00:00"/>
    <m/>
    <m/>
  </r>
  <r>
    <x v="165"/>
    <x v="5"/>
    <s v="Product Hierarchy-Brand"/>
    <x v="165"/>
    <n v="1"/>
    <s v="75, 125"/>
    <s v="dd: YES, NO"/>
    <m/>
    <x v="0"/>
    <s v="Masterfiles"/>
    <m/>
    <m/>
    <s v="1162 dependent on 1012 DTC"/>
    <m/>
    <x v="1"/>
    <s v="current"/>
    <x v="5"/>
    <x v="5"/>
    <x v="2"/>
    <x v="2"/>
    <n v="5"/>
    <x v="3"/>
    <n v="1"/>
    <x v="5"/>
    <d v="2025-09-23T00:00:00"/>
    <m/>
    <m/>
  </r>
  <r>
    <x v="166"/>
    <x v="5"/>
    <s v="Alternate Hierarchy"/>
    <x v="166"/>
    <n v="0"/>
    <s v="76, 86"/>
    <s v="autofill"/>
    <m/>
    <x v="0"/>
    <m/>
    <m/>
    <m/>
    <m/>
    <m/>
    <x v="1"/>
    <s v="current"/>
    <x v="5"/>
    <x v="5"/>
    <x v="2"/>
    <x v="2"/>
    <n v="5"/>
    <x v="0"/>
    <n v="0"/>
    <x v="5"/>
    <m/>
    <m/>
    <m/>
  </r>
  <r>
    <x v="167"/>
    <x v="5"/>
    <s v="Alternate Hierarchy"/>
    <x v="167"/>
    <n v="0"/>
    <s v="76, 86"/>
    <s v="autofill"/>
    <m/>
    <x v="0"/>
    <m/>
    <m/>
    <m/>
    <m/>
    <m/>
    <x v="1"/>
    <s v="current"/>
    <x v="5"/>
    <x v="5"/>
    <x v="2"/>
    <x v="2"/>
    <n v="5"/>
    <x v="0"/>
    <n v="0"/>
    <x v="5"/>
    <m/>
    <m/>
    <m/>
  </r>
  <r>
    <x v="168"/>
    <x v="5"/>
    <s v="Alternate Hierarchy"/>
    <x v="168"/>
    <n v="0"/>
    <s v="76, 86"/>
    <s v="autofill"/>
    <m/>
    <x v="0"/>
    <m/>
    <m/>
    <m/>
    <m/>
    <m/>
    <x v="1"/>
    <s v="current"/>
    <x v="5"/>
    <x v="5"/>
    <x v="2"/>
    <x v="2"/>
    <n v="5"/>
    <x v="0"/>
    <n v="0"/>
    <x v="5"/>
    <m/>
    <m/>
    <m/>
  </r>
  <r>
    <x v="169"/>
    <x v="5"/>
    <s v="Trade Channel &amp; Country Sold In"/>
    <x v="169"/>
    <n v="1"/>
    <n v="76"/>
    <s v="dd: reference list: PRL: Trade Channel"/>
    <m/>
    <x v="0"/>
    <m/>
    <m/>
    <m/>
    <s v="1166 dependent on 1026"/>
    <m/>
    <x v="3"/>
    <s v="current"/>
    <x v="5"/>
    <x v="5"/>
    <x v="2"/>
    <x v="2"/>
    <n v="6"/>
    <x v="3"/>
    <n v="1"/>
    <x v="5"/>
    <d v="2025-09-22T00:00:00"/>
    <m/>
    <m/>
  </r>
  <r>
    <x v="170"/>
    <x v="5"/>
    <s v="Promotion"/>
    <x v="170"/>
    <n v="1"/>
    <n v="76"/>
    <s v="dd: reference list: PRL: Promotion"/>
    <m/>
    <x v="0"/>
    <m/>
    <m/>
    <m/>
    <m/>
    <m/>
    <x v="1"/>
    <s v="current"/>
    <x v="5"/>
    <x v="5"/>
    <x v="2"/>
    <x v="2"/>
    <n v="6"/>
    <x v="1"/>
    <n v="0.5"/>
    <x v="5"/>
    <m/>
    <m/>
    <m/>
  </r>
  <r>
    <x v="171"/>
    <x v="5"/>
    <s v="Promotion"/>
    <x v="171"/>
    <n v="0"/>
    <n v="76"/>
    <s v="dd: reference list: PRL: Promotion"/>
    <m/>
    <x v="0"/>
    <m/>
    <m/>
    <m/>
    <m/>
    <m/>
    <x v="1"/>
    <s v="current"/>
    <x v="5"/>
    <x v="5"/>
    <x v="2"/>
    <x v="2"/>
    <n v="6"/>
    <x v="0"/>
    <n v="0"/>
    <x v="5"/>
    <m/>
    <m/>
    <m/>
  </r>
  <r>
    <x v="172"/>
    <x v="5"/>
    <s v="Promotion"/>
    <x v="172"/>
    <n v="0"/>
    <n v="76"/>
    <s v="dd: reference list: PRL: Business Unit for Promo"/>
    <m/>
    <x v="0"/>
    <m/>
    <m/>
    <m/>
    <m/>
    <m/>
    <x v="1"/>
    <s v="current"/>
    <x v="5"/>
    <x v="5"/>
    <x v="2"/>
    <x v="2"/>
    <n v="6"/>
    <x v="0"/>
    <n v="0"/>
    <x v="5"/>
    <m/>
    <m/>
    <m/>
  </r>
  <r>
    <x v="173"/>
    <x v="5"/>
    <s v="Promotion"/>
    <x v="173"/>
    <n v="1"/>
    <n v="76"/>
    <s v="dd: reference list: PRL: Royalty Product Type"/>
    <m/>
    <x v="0"/>
    <m/>
    <m/>
    <m/>
    <m/>
    <m/>
    <x v="1"/>
    <s v="current"/>
    <x v="5"/>
    <x v="5"/>
    <x v="2"/>
    <x v="2"/>
    <n v="6"/>
    <x v="1"/>
    <n v="0.5"/>
    <x v="5"/>
    <m/>
    <m/>
    <m/>
  </r>
  <r>
    <x v="174"/>
    <x v="5"/>
    <s v="Promotion"/>
    <x v="174"/>
    <n v="0"/>
    <n v="76"/>
    <s v="dd: reference list: PRL: Royalty Licenser"/>
    <m/>
    <x v="0"/>
    <m/>
    <m/>
    <m/>
    <m/>
    <m/>
    <x v="1"/>
    <s v="current"/>
    <x v="5"/>
    <x v="5"/>
    <x v="2"/>
    <x v="2"/>
    <n v="6"/>
    <x v="0"/>
    <n v="0"/>
    <x v="5"/>
    <m/>
    <m/>
    <m/>
  </r>
  <r>
    <x v="175"/>
    <x v="5"/>
    <s v="Promotion"/>
    <x v="175"/>
    <n v="0"/>
    <n v="76"/>
    <s v="dd: reference list: PRL: Royalty Licenser"/>
    <m/>
    <x v="0"/>
    <m/>
    <m/>
    <m/>
    <m/>
    <m/>
    <x v="1"/>
    <s v="current"/>
    <x v="5"/>
    <x v="5"/>
    <x v="2"/>
    <x v="2"/>
    <n v="6"/>
    <x v="0"/>
    <n v="0"/>
    <x v="5"/>
    <m/>
    <m/>
    <m/>
  </r>
  <r>
    <x v="176"/>
    <x v="5"/>
    <s v="Values used to determine material description"/>
    <x v="176"/>
    <n v="1"/>
    <s v="76, 81"/>
    <s v="free form"/>
    <m/>
    <x v="0"/>
    <m/>
    <m/>
    <m/>
    <s v="1173 dependent on 1099 required"/>
    <m/>
    <x v="1"/>
    <s v="current"/>
    <x v="5"/>
    <x v="5"/>
    <x v="2"/>
    <x v="2"/>
    <n v="6"/>
    <x v="1"/>
    <n v="0.5"/>
    <x v="5"/>
    <m/>
    <m/>
    <m/>
  </r>
  <r>
    <x v="177"/>
    <x v="5"/>
    <s v="Values used to determine material description"/>
    <x v="177"/>
    <n v="1"/>
    <s v="76, 81"/>
    <s v="dd: reference list: PRL: Special Pack Type"/>
    <m/>
    <x v="0"/>
    <m/>
    <m/>
    <m/>
    <m/>
    <m/>
    <x v="1"/>
    <s v="current"/>
    <x v="5"/>
    <x v="5"/>
    <x v="2"/>
    <x v="2"/>
    <n v="6"/>
    <x v="1"/>
    <n v="0.5"/>
    <x v="5"/>
    <m/>
    <m/>
    <m/>
  </r>
  <r>
    <x v="178"/>
    <x v="5"/>
    <s v="Values used to determine material description"/>
    <x v="178"/>
    <n v="1"/>
    <s v="76, 81"/>
    <s v="free form"/>
    <m/>
    <x v="0"/>
    <m/>
    <m/>
    <m/>
    <s v="1175 dependent on &quot;pringles&quot; (1011)=yes then required, and used for material descr with country"/>
    <m/>
    <x v="3"/>
    <s v="current"/>
    <x v="5"/>
    <x v="5"/>
    <x v="2"/>
    <x v="2"/>
    <n v="6"/>
    <x v="1"/>
    <n v="0.5"/>
    <x v="5"/>
    <d v="2025-09-19T00:00:00"/>
    <m/>
    <m/>
  </r>
  <r>
    <x v="179"/>
    <x v="5"/>
    <s v="BOM Setup (VAS)"/>
    <x v="179"/>
    <n v="1"/>
    <s v="77, 124"/>
    <s v="free form"/>
    <m/>
    <x v="0"/>
    <s v="Masterfiles"/>
    <m/>
    <m/>
    <s v="1187 dependent on 1137 [VAS]"/>
    <m/>
    <x v="3"/>
    <s v="current"/>
    <x v="5"/>
    <x v="5"/>
    <x v="2"/>
    <x v="2"/>
    <n v="7"/>
    <x v="1"/>
    <n v="0.5"/>
    <x v="5"/>
    <d v="2025-09-22T00:00:00"/>
    <m/>
    <m/>
  </r>
  <r>
    <x v="180"/>
    <x v="5"/>
    <s v="BOM Setup (VAS)"/>
    <x v="180"/>
    <n v="0"/>
    <s v="77, 124"/>
    <s v="autofill"/>
    <m/>
    <x v="2"/>
    <s v="Requestor, Masterfiles"/>
    <m/>
    <m/>
    <s v="1187 dependent on 1137 [VAS]"/>
    <m/>
    <x v="3"/>
    <s v="current"/>
    <x v="5"/>
    <x v="5"/>
    <x v="2"/>
    <x v="2"/>
    <n v="7"/>
    <x v="0"/>
    <n v="0"/>
    <x v="5"/>
    <d v="2025-09-22T00:00:00"/>
    <m/>
    <m/>
  </r>
  <r>
    <x v="181"/>
    <x v="5"/>
    <s v="BOM Setup (VAS)"/>
    <x v="181"/>
    <n v="1"/>
    <s v="77, 124"/>
    <s v="free form"/>
    <m/>
    <x v="0"/>
    <s v="Masterfiles"/>
    <m/>
    <m/>
    <s v="1187 dependent on 1137 [VAS]"/>
    <m/>
    <x v="3"/>
    <s v="current"/>
    <x v="5"/>
    <x v="5"/>
    <x v="2"/>
    <x v="2"/>
    <n v="7"/>
    <x v="1"/>
    <n v="0.5"/>
    <x v="5"/>
    <d v="2025-09-22T00:00:00"/>
    <m/>
    <m/>
  </r>
  <r>
    <x v="182"/>
    <x v="5"/>
    <s v="BOM Setup (VAS)"/>
    <x v="182"/>
    <n v="1"/>
    <s v="77, 124"/>
    <s v="free form"/>
    <m/>
    <x v="0"/>
    <s v="Masterfiles"/>
    <m/>
    <m/>
    <s v="1187 dependent on 1137 [VAS]"/>
    <m/>
    <x v="3"/>
    <s v="current"/>
    <x v="5"/>
    <x v="5"/>
    <x v="2"/>
    <x v="2"/>
    <n v="7"/>
    <x v="1"/>
    <n v="0.5"/>
    <x v="5"/>
    <d v="2025-09-22T00:00:00"/>
    <m/>
    <m/>
  </r>
  <r>
    <x v="183"/>
    <x v="5"/>
    <s v="BOM Setup (VAS)"/>
    <x v="183"/>
    <n v="1"/>
    <s v="77, 124"/>
    <s v="free form"/>
    <m/>
    <x v="0"/>
    <s v="Masterfiles"/>
    <m/>
    <m/>
    <s v="1187 dependent on 1137 [VAS]"/>
    <m/>
    <x v="3"/>
    <s v="current"/>
    <x v="5"/>
    <x v="5"/>
    <x v="2"/>
    <x v="2"/>
    <n v="7"/>
    <x v="1"/>
    <n v="0.5"/>
    <x v="5"/>
    <d v="2025-09-22T00:00:00"/>
    <m/>
    <m/>
  </r>
  <r>
    <x v="184"/>
    <x v="5"/>
    <s v="BOM Setup (VAS)"/>
    <x v="184"/>
    <n v="1"/>
    <s v="77, 124"/>
    <s v="dd: GM, OZ"/>
    <m/>
    <x v="0"/>
    <s v="Masterfiles"/>
    <m/>
    <m/>
    <s v="1187 dependent on 1137 [VAS]"/>
    <m/>
    <x v="3"/>
    <s v="current"/>
    <x v="5"/>
    <x v="5"/>
    <x v="2"/>
    <x v="2"/>
    <n v="7"/>
    <x v="1"/>
    <n v="0.5"/>
    <x v="5"/>
    <d v="2025-09-22T00:00:00"/>
    <m/>
    <m/>
  </r>
  <r>
    <x v="185"/>
    <x v="5"/>
    <s v="BOM Setup (VAS)"/>
    <x v="185"/>
    <n v="1"/>
    <s v="77, 124"/>
    <s v="free form"/>
    <m/>
    <x v="0"/>
    <s v="Masterfiles"/>
    <m/>
    <m/>
    <s v="1187 dependent on 1137 [VAS]"/>
    <m/>
    <x v="3"/>
    <s v="current"/>
    <x v="5"/>
    <x v="5"/>
    <x v="2"/>
    <x v="2"/>
    <n v="7"/>
    <x v="1"/>
    <n v="0.5"/>
    <x v="5"/>
    <d v="2025-09-22T00:00:00"/>
    <m/>
    <m/>
  </r>
  <r>
    <x v="186"/>
    <x v="5"/>
    <s v="BOM Setup (VAS)"/>
    <x v="186"/>
    <n v="1"/>
    <s v="77, 124"/>
    <s v="dd: GM, OZ"/>
    <m/>
    <x v="0"/>
    <s v="Masterfiles"/>
    <m/>
    <m/>
    <s v="1187 dependent on 1137 [VAS]"/>
    <m/>
    <x v="3"/>
    <s v="current"/>
    <x v="5"/>
    <x v="5"/>
    <x v="2"/>
    <x v="2"/>
    <n v="7"/>
    <x v="1"/>
    <n v="0.5"/>
    <x v="5"/>
    <d v="2025-09-22T00:00:00"/>
    <m/>
    <m/>
  </r>
  <r>
    <x v="187"/>
    <x v="5"/>
    <s v="BOM Setup (VAS)"/>
    <x v="187"/>
    <n v="1"/>
    <s v="77, 124"/>
    <s v="free form"/>
    <m/>
    <x v="0"/>
    <s v="Masterfiles"/>
    <m/>
    <m/>
    <s v="1187 dependent on 1137 [VAS]"/>
    <m/>
    <x v="3"/>
    <s v="current"/>
    <x v="5"/>
    <x v="5"/>
    <x v="2"/>
    <x v="2"/>
    <n v="7"/>
    <x v="1"/>
    <n v="0.5"/>
    <x v="5"/>
    <d v="2025-09-22T00:00:00"/>
    <m/>
    <m/>
  </r>
  <r>
    <x v="188"/>
    <x v="5"/>
    <s v="BOM Setup (VAS)"/>
    <x v="188"/>
    <n v="1"/>
    <s v="77, 124"/>
    <s v="free form"/>
    <m/>
    <x v="0"/>
    <s v="Masterfiles"/>
    <m/>
    <m/>
    <s v="1187 dependent on 1137 [VAS]"/>
    <m/>
    <x v="3"/>
    <s v="current"/>
    <x v="5"/>
    <x v="5"/>
    <x v="2"/>
    <x v="2"/>
    <n v="7"/>
    <x v="1"/>
    <n v="0.5"/>
    <x v="5"/>
    <d v="2025-09-22T00:00:00"/>
    <m/>
    <m/>
  </r>
  <r>
    <x v="189"/>
    <x v="5"/>
    <s v="BOM Setup (VAS)"/>
    <x v="189"/>
    <n v="1"/>
    <s v="77, 124"/>
    <s v="free form"/>
    <m/>
    <x v="0"/>
    <s v="Masterfiles"/>
    <m/>
    <m/>
    <s v="1187 dependent on 1137 [VAS]"/>
    <m/>
    <x v="3"/>
    <s v="current"/>
    <x v="5"/>
    <x v="5"/>
    <x v="2"/>
    <x v="2"/>
    <n v="7"/>
    <x v="1"/>
    <n v="0.5"/>
    <x v="5"/>
    <d v="2025-09-22T00:00:00"/>
    <m/>
    <m/>
  </r>
  <r>
    <x v="190"/>
    <x v="5"/>
    <s v="BOM Setup (VAS)"/>
    <x v="190"/>
    <n v="1"/>
    <s v="77, 124"/>
    <s v="dd: YES, NO"/>
    <m/>
    <x v="0"/>
    <s v="Masterfiles"/>
    <m/>
    <s v="also called &quot;BOM_Taxable&quot;"/>
    <s v="1187 dependent on 1137 [VAS]"/>
    <m/>
    <x v="3"/>
    <s v="current"/>
    <x v="5"/>
    <x v="5"/>
    <x v="2"/>
    <x v="2"/>
    <n v="7"/>
    <x v="1"/>
    <n v="0.5"/>
    <x v="5"/>
    <d v="2025-09-22T00:00:00"/>
    <m/>
    <m/>
  </r>
  <r>
    <x v="191"/>
    <x v="5"/>
    <s v="Variety Pack 0200 BOM Setup"/>
    <x v="191"/>
    <n v="1"/>
    <s v="77, 124"/>
    <s v="free form"/>
    <m/>
    <x v="0"/>
    <s v="Masterfiles"/>
    <m/>
    <m/>
    <s v="1188 dependent 1031 [VP], 1137 [VAS]"/>
    <m/>
    <x v="3"/>
    <s v="current"/>
    <x v="5"/>
    <x v="5"/>
    <x v="2"/>
    <x v="2"/>
    <n v="7"/>
    <x v="1"/>
    <n v="0.5"/>
    <x v="5"/>
    <d v="2025-09-22T00:00:00"/>
    <d v="2025-09-23T00:00:00"/>
    <m/>
  </r>
  <r>
    <x v="192"/>
    <x v="5"/>
    <s v="Variety Pack 0200 BOM Setup"/>
    <x v="192"/>
    <n v="1"/>
    <s v="77, 124"/>
    <s v="free form"/>
    <m/>
    <x v="0"/>
    <s v="Masterfiles"/>
    <m/>
    <m/>
    <s v="1188 dependent 1031 [VP], 1137 [VAS]"/>
    <m/>
    <x v="3"/>
    <s v="current"/>
    <x v="5"/>
    <x v="5"/>
    <x v="2"/>
    <x v="2"/>
    <n v="7"/>
    <x v="1"/>
    <n v="0.5"/>
    <x v="5"/>
    <d v="2025-09-22T00:00:00"/>
    <d v="2025-09-23T00:00:00"/>
    <m/>
  </r>
  <r>
    <x v="193"/>
    <x v="5"/>
    <s v="Variety Pack 0200 BOM Setup"/>
    <x v="193"/>
    <n v="1"/>
    <s v="77, 124"/>
    <s v="free form"/>
    <m/>
    <x v="0"/>
    <s v="Masterfiles"/>
    <m/>
    <m/>
    <s v="1188 dependent 1031 [VP], 1137 [VAS]"/>
    <m/>
    <x v="3"/>
    <s v="current"/>
    <x v="5"/>
    <x v="5"/>
    <x v="2"/>
    <x v="2"/>
    <n v="7"/>
    <x v="1"/>
    <n v="0.5"/>
    <x v="5"/>
    <d v="2025-09-22T00:00:00"/>
    <d v="2025-09-23T00:00:00"/>
    <m/>
  </r>
  <r>
    <x v="194"/>
    <x v="5"/>
    <s v="Variety Pack 0200 BOM Setup"/>
    <x v="194"/>
    <n v="1"/>
    <s v="77, 124"/>
    <s v="free form"/>
    <m/>
    <x v="0"/>
    <s v="Masterfiles"/>
    <m/>
    <m/>
    <s v="1188 dependent 1031 [VP], 1137 [VAS]"/>
    <m/>
    <x v="3"/>
    <s v="current"/>
    <x v="5"/>
    <x v="5"/>
    <x v="2"/>
    <x v="2"/>
    <n v="7"/>
    <x v="1"/>
    <n v="0.5"/>
    <x v="5"/>
    <d v="2025-09-22T00:00:00"/>
    <d v="2025-09-23T00:00:00"/>
    <m/>
  </r>
  <r>
    <x v="195"/>
    <x v="5"/>
    <s v="Variety Pack 0200 BOM Setup"/>
    <x v="195"/>
    <n v="1"/>
    <s v="77, 124"/>
    <s v="free form"/>
    <m/>
    <x v="0"/>
    <s v="Masterfiles"/>
    <m/>
    <m/>
    <s v="1188 dependent 1031 [VP], 1137 [VAS]"/>
    <m/>
    <x v="3"/>
    <s v="current"/>
    <x v="5"/>
    <x v="5"/>
    <x v="2"/>
    <x v="2"/>
    <n v="7"/>
    <x v="1"/>
    <n v="0.5"/>
    <x v="5"/>
    <d v="2025-09-22T00:00:00"/>
    <d v="2025-09-23T00:00:00"/>
    <m/>
  </r>
  <r>
    <x v="196"/>
    <x v="10"/>
    <s v="General Product Data"/>
    <x v="196"/>
    <n v="1"/>
    <n v="80"/>
    <s v="dd: reference list: PRL: Display Vehicle"/>
    <m/>
    <x v="2"/>
    <m/>
    <m/>
    <s v="dependent on FORM TYPE: DISPLAY; 4 rules; actually part of Requestor Update; after Pack Size"/>
    <s v="4 rules"/>
    <m/>
    <x v="3"/>
    <s v="current"/>
    <x v="10"/>
    <x v="1"/>
    <x v="2"/>
    <x v="2"/>
    <m/>
    <x v="1"/>
    <n v="0.5"/>
    <x v="5"/>
    <m/>
    <m/>
    <m/>
  </r>
  <r>
    <x v="197"/>
    <x v="10"/>
    <s v="General Product Data"/>
    <x v="197"/>
    <n v="1"/>
    <n v="80"/>
    <s v="dd: reference list: PRL: Material Freight Group"/>
    <m/>
    <x v="2"/>
    <m/>
    <m/>
    <m/>
    <m/>
    <m/>
    <x v="1"/>
    <s v="current"/>
    <x v="10"/>
    <x v="1"/>
    <x v="2"/>
    <x v="2"/>
    <m/>
    <x v="1"/>
    <n v="0.5"/>
    <x v="5"/>
    <m/>
    <m/>
    <m/>
  </r>
  <r>
    <x v="198"/>
    <x v="10"/>
    <s v="General Product Data"/>
    <x v="198"/>
    <n v="1"/>
    <n v="80"/>
    <s v="dd: YES, NO"/>
    <m/>
    <x v="2"/>
    <m/>
    <m/>
    <m/>
    <m/>
    <m/>
    <x v="1"/>
    <s v="current"/>
    <x v="10"/>
    <x v="1"/>
    <x v="2"/>
    <x v="2"/>
    <m/>
    <x v="1"/>
    <n v="0.5"/>
    <x v="5"/>
    <m/>
    <m/>
    <m/>
  </r>
  <r>
    <x v="199"/>
    <x v="10"/>
    <s v="General Product Data"/>
    <x v="199"/>
    <n v="0"/>
    <n v="80"/>
    <s v="autofill"/>
    <m/>
    <x v="2"/>
    <m/>
    <m/>
    <m/>
    <m/>
    <m/>
    <x v="1"/>
    <s v="current"/>
    <x v="10"/>
    <x v="1"/>
    <x v="2"/>
    <x v="2"/>
    <m/>
    <x v="0"/>
    <n v="0"/>
    <x v="5"/>
    <m/>
    <m/>
    <m/>
  </r>
  <r>
    <x v="200"/>
    <x v="10"/>
    <s v="General Product Data"/>
    <x v="200"/>
    <n v="0"/>
    <n v="80"/>
    <s v="autofill"/>
    <m/>
    <x v="2"/>
    <m/>
    <m/>
    <m/>
    <m/>
    <m/>
    <x v="1"/>
    <s v="current"/>
    <x v="10"/>
    <x v="1"/>
    <x v="2"/>
    <x v="2"/>
    <m/>
    <x v="0"/>
    <n v="0"/>
    <x v="5"/>
    <m/>
    <m/>
    <m/>
  </r>
  <r>
    <x v="201"/>
    <x v="10"/>
    <s v="General Product Data"/>
    <x v="201"/>
    <n v="0"/>
    <n v="80"/>
    <s v="autofill"/>
    <m/>
    <x v="2"/>
    <m/>
    <m/>
    <m/>
    <m/>
    <m/>
    <x v="1"/>
    <s v="current"/>
    <x v="10"/>
    <x v="1"/>
    <x v="2"/>
    <x v="2"/>
    <m/>
    <x v="0"/>
    <n v="0"/>
    <x v="5"/>
    <m/>
    <m/>
    <m/>
  </r>
  <r>
    <x v="202"/>
    <x v="10"/>
    <s v="General Product Data"/>
    <x v="202"/>
    <n v="0"/>
    <n v="80"/>
    <s v="autofill"/>
    <m/>
    <x v="2"/>
    <m/>
    <m/>
    <m/>
    <m/>
    <m/>
    <x v="1"/>
    <s v="current"/>
    <x v="10"/>
    <x v="1"/>
    <x v="2"/>
    <x v="2"/>
    <m/>
    <x v="0"/>
    <n v="0"/>
    <x v="5"/>
    <m/>
    <m/>
    <m/>
  </r>
  <r>
    <x v="203"/>
    <x v="10"/>
    <s v="General Product Data"/>
    <x v="203"/>
    <n v="1"/>
    <n v="80"/>
    <s v="dd: reference list: PRL: Country of Origin"/>
    <m/>
    <x v="2"/>
    <m/>
    <m/>
    <m/>
    <m/>
    <m/>
    <x v="1"/>
    <s v="current"/>
    <x v="10"/>
    <x v="1"/>
    <x v="2"/>
    <x v="2"/>
    <m/>
    <x v="1"/>
    <n v="0.5"/>
    <x v="5"/>
    <m/>
    <m/>
    <m/>
  </r>
  <r>
    <x v="204"/>
    <x v="10"/>
    <s v="Manufacturing Locations"/>
    <x v="204"/>
    <n v="1"/>
    <s v="81, 82"/>
    <s v="dd: YES, NO"/>
    <m/>
    <x v="2"/>
    <m/>
    <m/>
    <m/>
    <m/>
    <m/>
    <x v="1"/>
    <s v="current"/>
    <x v="10"/>
    <x v="1"/>
    <x v="2"/>
    <x v="2"/>
    <m/>
    <x v="1"/>
    <n v="0.5"/>
    <x v="5"/>
    <m/>
    <m/>
    <m/>
  </r>
  <r>
    <x v="205"/>
    <x v="10"/>
    <s v="(buttons) Returns"/>
    <x v="205"/>
    <n v="1"/>
    <n v="81"/>
    <s v="free form"/>
    <m/>
    <x v="2"/>
    <m/>
    <m/>
    <m/>
    <m/>
    <m/>
    <x v="1"/>
    <s v="current"/>
    <x v="10"/>
    <x v="1"/>
    <x v="2"/>
    <x v="2"/>
    <m/>
    <x v="1"/>
    <n v="0.5"/>
    <x v="5"/>
    <m/>
    <m/>
    <m/>
  </r>
  <r>
    <x v="206"/>
    <x v="10"/>
    <s v="Manufacturing Locations"/>
    <x v="206"/>
    <n v="1"/>
    <n v="82"/>
    <s v="dd: reference list: VAS_PLANTS.XLSX"/>
    <m/>
    <x v="2"/>
    <m/>
    <m/>
    <s v="for REPACKS &amp; DISPLAYS"/>
    <m/>
    <m/>
    <x v="1"/>
    <s v="current"/>
    <x v="10"/>
    <x v="1"/>
    <x v="2"/>
    <x v="2"/>
    <m/>
    <x v="3"/>
    <n v="1"/>
    <x v="5"/>
    <m/>
    <m/>
    <m/>
  </r>
  <r>
    <x v="207"/>
    <x v="11"/>
    <s v="Select Sub-Brand"/>
    <x v="207"/>
    <n v="1"/>
    <n v="84"/>
    <s v="dd: reference list: PRL: Sub Brand (Finance)"/>
    <m/>
    <x v="3"/>
    <m/>
    <m/>
    <m/>
    <m/>
    <m/>
    <x v="1"/>
    <s v="future"/>
    <x v="11"/>
    <x v="6"/>
    <x v="3"/>
    <x v="3"/>
    <m/>
    <x v="1"/>
    <n v="0.5"/>
    <x v="6"/>
    <m/>
    <m/>
    <m/>
  </r>
  <r>
    <x v="208"/>
    <x v="11"/>
    <s v="(buttons) Returns"/>
    <x v="208"/>
    <n v="1"/>
    <n v="84"/>
    <s v="free form"/>
    <m/>
    <x v="3"/>
    <m/>
    <m/>
    <m/>
    <m/>
    <m/>
    <x v="1"/>
    <s v="future"/>
    <x v="11"/>
    <x v="6"/>
    <x v="3"/>
    <x v="3"/>
    <m/>
    <x v="1"/>
    <n v="0.5"/>
    <x v="6"/>
    <m/>
    <m/>
    <m/>
  </r>
  <r>
    <x v="209"/>
    <x v="12"/>
    <s v="Product Details - Brand Derived"/>
    <x v="209"/>
    <n v="1"/>
    <n v="86"/>
    <s v="free form"/>
    <m/>
    <x v="4"/>
    <m/>
    <m/>
    <m/>
    <m/>
    <m/>
    <x v="1"/>
    <s v="future"/>
    <x v="12"/>
    <x v="6"/>
    <x v="3"/>
    <x v="3"/>
    <m/>
    <x v="1"/>
    <n v="0.5"/>
    <x v="6"/>
    <m/>
    <m/>
    <m/>
  </r>
  <r>
    <x v="210"/>
    <x v="13"/>
    <s v="Product Details"/>
    <x v="210"/>
    <n v="1"/>
    <n v="88"/>
    <s v="free form"/>
    <m/>
    <x v="5"/>
    <m/>
    <m/>
    <m/>
    <s v="5 rules"/>
    <m/>
    <x v="3"/>
    <s v="future"/>
    <x v="13"/>
    <x v="6"/>
    <x v="3"/>
    <x v="3"/>
    <m/>
    <x v="1"/>
    <n v="0.5"/>
    <x v="6"/>
    <d v="2025-09-25T00:00:00"/>
    <m/>
    <m/>
  </r>
  <r>
    <x v="211"/>
    <x v="13"/>
    <s v="R &amp; D Quality"/>
    <x v="211"/>
    <n v="1"/>
    <n v="89"/>
    <s v="dd: YES, NO"/>
    <m/>
    <x v="5"/>
    <m/>
    <m/>
    <m/>
    <m/>
    <m/>
    <x v="1"/>
    <s v="future"/>
    <x v="13"/>
    <x v="6"/>
    <x v="3"/>
    <x v="3"/>
    <m/>
    <x v="1"/>
    <n v="0.5"/>
    <x v="6"/>
    <m/>
    <m/>
    <m/>
  </r>
  <r>
    <x v="212"/>
    <x v="13"/>
    <s v="R &amp; D Quality"/>
    <x v="212"/>
    <n v="1"/>
    <n v="89"/>
    <s v="dd: reference list: PRL: Defect Group"/>
    <m/>
    <x v="5"/>
    <m/>
    <m/>
    <m/>
    <m/>
    <m/>
    <x v="1"/>
    <s v="future"/>
    <x v="13"/>
    <x v="6"/>
    <x v="3"/>
    <x v="3"/>
    <m/>
    <x v="1"/>
    <n v="0.5"/>
    <x v="6"/>
    <m/>
    <m/>
    <m/>
  </r>
  <r>
    <x v="213"/>
    <x v="13"/>
    <s v="R &amp; D Quality"/>
    <x v="213"/>
    <n v="1"/>
    <n v="89"/>
    <s v="dd: YES, NO"/>
    <m/>
    <x v="5"/>
    <m/>
    <m/>
    <m/>
    <m/>
    <m/>
    <x v="1"/>
    <s v="future"/>
    <x v="13"/>
    <x v="6"/>
    <x v="3"/>
    <x v="3"/>
    <m/>
    <x v="1"/>
    <n v="0.5"/>
    <x v="6"/>
    <m/>
    <m/>
    <m/>
  </r>
  <r>
    <x v="214"/>
    <x v="14"/>
    <s v="Food Weights"/>
    <x v="214"/>
    <n v="1"/>
    <n v="94"/>
    <s v="free form"/>
    <m/>
    <x v="6"/>
    <m/>
    <m/>
    <m/>
    <m/>
    <m/>
    <x v="1"/>
    <s v="future"/>
    <x v="14"/>
    <x v="7"/>
    <x v="4"/>
    <x v="4"/>
    <m/>
    <x v="1"/>
    <n v="0.5"/>
    <x v="7"/>
    <m/>
    <m/>
    <m/>
  </r>
  <r>
    <x v="215"/>
    <x v="14"/>
    <s v="Food Weights"/>
    <x v="215"/>
    <n v="1"/>
    <n v="94"/>
    <s v="radio button: IMPERIAL, METRIC"/>
    <m/>
    <x v="6"/>
    <m/>
    <m/>
    <m/>
    <m/>
    <m/>
    <x v="1"/>
    <s v="future"/>
    <x v="14"/>
    <x v="7"/>
    <x v="4"/>
    <x v="4"/>
    <m/>
    <x v="1"/>
    <n v="0.5"/>
    <x v="7"/>
    <m/>
    <m/>
    <m/>
  </r>
  <r>
    <x v="216"/>
    <x v="14"/>
    <s v="Food Weights"/>
    <x v="216"/>
    <n v="1"/>
    <n v="94"/>
    <s v="free form"/>
    <m/>
    <x v="6"/>
    <m/>
    <m/>
    <s v="dependent on: Weight Measure=METRIC"/>
    <m/>
    <m/>
    <x v="1"/>
    <s v="future"/>
    <x v="14"/>
    <x v="7"/>
    <x v="4"/>
    <x v="4"/>
    <m/>
    <x v="1"/>
    <n v="0.5"/>
    <x v="7"/>
    <m/>
    <m/>
    <m/>
  </r>
  <r>
    <x v="217"/>
    <x v="14"/>
    <s v="Food Weights"/>
    <x v="217"/>
    <n v="0"/>
    <n v="94"/>
    <s v="autofill"/>
    <m/>
    <x v="6"/>
    <m/>
    <m/>
    <s v="dependent on: Weight Measure=METRIC"/>
    <m/>
    <m/>
    <x v="1"/>
    <s v="future"/>
    <x v="14"/>
    <x v="7"/>
    <x v="4"/>
    <x v="4"/>
    <m/>
    <x v="1"/>
    <n v="0"/>
    <x v="7"/>
    <m/>
    <m/>
    <m/>
  </r>
  <r>
    <x v="218"/>
    <x v="14"/>
    <s v="Food Weights"/>
    <x v="218"/>
    <n v="1"/>
    <n v="94"/>
    <s v="free form"/>
    <m/>
    <x v="6"/>
    <m/>
    <m/>
    <s v="dependent on: Weight Measure=METRIC"/>
    <m/>
    <m/>
    <x v="1"/>
    <s v="future"/>
    <x v="14"/>
    <x v="7"/>
    <x v="4"/>
    <x v="4"/>
    <m/>
    <x v="1"/>
    <n v="0.5"/>
    <x v="7"/>
    <m/>
    <m/>
    <m/>
  </r>
  <r>
    <x v="219"/>
    <x v="14"/>
    <s v="Food Weights"/>
    <x v="219"/>
    <n v="0"/>
    <n v="94"/>
    <s v="autofill"/>
    <m/>
    <x v="6"/>
    <m/>
    <m/>
    <s v="dependent on: Weight Measure=METRIC"/>
    <m/>
    <m/>
    <x v="1"/>
    <s v="future"/>
    <x v="14"/>
    <x v="7"/>
    <x v="4"/>
    <x v="4"/>
    <m/>
    <x v="1"/>
    <n v="0"/>
    <x v="7"/>
    <m/>
    <m/>
    <m/>
  </r>
  <r>
    <x v="220"/>
    <x v="14"/>
    <s v="Food Weights"/>
    <x v="220"/>
    <n v="1"/>
    <n v="94"/>
    <s v="free form"/>
    <m/>
    <x v="6"/>
    <m/>
    <m/>
    <s v="dependent on: Weight Measure=METRIC"/>
    <m/>
    <m/>
    <x v="1"/>
    <s v="future"/>
    <x v="14"/>
    <x v="7"/>
    <x v="4"/>
    <x v="4"/>
    <m/>
    <x v="1"/>
    <n v="0.5"/>
    <x v="7"/>
    <m/>
    <m/>
    <m/>
  </r>
  <r>
    <x v="221"/>
    <x v="14"/>
    <s v="Food Weights"/>
    <x v="221"/>
    <n v="1"/>
    <n v="94"/>
    <s v="free form"/>
    <m/>
    <x v="6"/>
    <m/>
    <m/>
    <s v="dependent on: Weight Measure=IMPERIAL"/>
    <m/>
    <m/>
    <x v="1"/>
    <s v="future"/>
    <x v="14"/>
    <x v="7"/>
    <x v="4"/>
    <x v="4"/>
    <m/>
    <x v="1"/>
    <n v="0.5"/>
    <x v="7"/>
    <m/>
    <m/>
    <m/>
  </r>
  <r>
    <x v="222"/>
    <x v="14"/>
    <s v="Food Weights"/>
    <x v="222"/>
    <n v="0"/>
    <n v="94"/>
    <s v="autofill"/>
    <m/>
    <x v="6"/>
    <m/>
    <m/>
    <s v="dependent on: Weight Measure=IMPERIAL"/>
    <m/>
    <m/>
    <x v="1"/>
    <s v="future"/>
    <x v="14"/>
    <x v="7"/>
    <x v="4"/>
    <x v="4"/>
    <m/>
    <x v="1"/>
    <n v="0"/>
    <x v="7"/>
    <m/>
    <m/>
    <m/>
  </r>
  <r>
    <x v="223"/>
    <x v="14"/>
    <s v="Food Weights"/>
    <x v="223"/>
    <n v="1"/>
    <n v="94"/>
    <s v="free form"/>
    <m/>
    <x v="6"/>
    <m/>
    <m/>
    <s v="dependent on: Weight Measure=IMPERIAL"/>
    <m/>
    <m/>
    <x v="1"/>
    <s v="future"/>
    <x v="14"/>
    <x v="7"/>
    <x v="4"/>
    <x v="4"/>
    <m/>
    <x v="1"/>
    <n v="0.5"/>
    <x v="7"/>
    <m/>
    <m/>
    <m/>
  </r>
  <r>
    <x v="224"/>
    <x v="14"/>
    <s v="Food Weights"/>
    <x v="224"/>
    <n v="1"/>
    <n v="94"/>
    <s v="dd: OZ, LB"/>
    <m/>
    <x v="6"/>
    <m/>
    <m/>
    <s v="dependent on: Weight Measure=IMPERIAL"/>
    <m/>
    <m/>
    <x v="1"/>
    <s v="future"/>
    <x v="14"/>
    <x v="7"/>
    <x v="4"/>
    <x v="4"/>
    <m/>
    <x v="1"/>
    <n v="0.5"/>
    <x v="7"/>
    <m/>
    <m/>
    <m/>
  </r>
  <r>
    <x v="225"/>
    <x v="14"/>
    <s v="Food Weights"/>
    <x v="225"/>
    <n v="1"/>
    <n v="94"/>
    <s v="free form"/>
    <m/>
    <x v="6"/>
    <m/>
    <m/>
    <s v="dependent on: Weight Measure=IMPERIAL"/>
    <m/>
    <m/>
    <x v="1"/>
    <s v="future"/>
    <x v="14"/>
    <x v="7"/>
    <x v="4"/>
    <x v="4"/>
    <m/>
    <x v="1"/>
    <n v="0.5"/>
    <x v="7"/>
    <m/>
    <m/>
    <m/>
  </r>
  <r>
    <x v="226"/>
    <x v="14"/>
    <s v="Food Weights in grams/ounces"/>
    <x v="226"/>
    <n v="1"/>
    <n v="94"/>
    <s v="calculation"/>
    <m/>
    <x v="6"/>
    <m/>
    <m/>
    <s v="calculations"/>
    <m/>
    <m/>
    <x v="1"/>
    <s v="future"/>
    <x v="14"/>
    <x v="7"/>
    <x v="4"/>
    <x v="4"/>
    <m/>
    <x v="2"/>
    <n v="1.5"/>
    <x v="7"/>
    <m/>
    <m/>
    <m/>
  </r>
  <r>
    <x v="227"/>
    <x v="14"/>
    <s v="Food Weights in grams/ounces"/>
    <x v="227"/>
    <n v="1"/>
    <n v="94"/>
    <s v="calculation"/>
    <m/>
    <x v="6"/>
    <m/>
    <m/>
    <s v="calculations"/>
    <m/>
    <m/>
    <x v="1"/>
    <s v="future"/>
    <x v="14"/>
    <x v="7"/>
    <x v="4"/>
    <x v="4"/>
    <m/>
    <x v="2"/>
    <n v="1.5"/>
    <x v="7"/>
    <m/>
    <m/>
    <m/>
  </r>
  <r>
    <x v="228"/>
    <x v="14"/>
    <s v="Food Weights in grams/ounces"/>
    <x v="228"/>
    <n v="1"/>
    <n v="94"/>
    <s v="calculation"/>
    <m/>
    <x v="6"/>
    <m/>
    <m/>
    <s v="calculations"/>
    <m/>
    <m/>
    <x v="1"/>
    <s v="future"/>
    <x v="14"/>
    <x v="7"/>
    <x v="4"/>
    <x v="4"/>
    <m/>
    <x v="2"/>
    <n v="1.5"/>
    <x v="7"/>
    <m/>
    <m/>
    <m/>
  </r>
  <r>
    <x v="229"/>
    <x v="14"/>
    <s v="Food Weights in grams/ounces"/>
    <x v="229"/>
    <n v="1"/>
    <n v="94"/>
    <s v="calculation"/>
    <m/>
    <x v="6"/>
    <m/>
    <m/>
    <s v="calculations"/>
    <m/>
    <m/>
    <x v="1"/>
    <s v="future"/>
    <x v="14"/>
    <x v="7"/>
    <x v="4"/>
    <x v="4"/>
    <m/>
    <x v="2"/>
    <n v="1.5"/>
    <x v="7"/>
    <m/>
    <m/>
    <m/>
  </r>
  <r>
    <x v="230"/>
    <x v="14"/>
    <s v="Data Sync Requirements - Nutrition Labeling"/>
    <x v="230"/>
    <n v="1"/>
    <n v="94"/>
    <s v="free form"/>
    <m/>
    <x v="6"/>
    <m/>
    <m/>
    <s v="dependent on: Form Type=BULK w/pkg upc"/>
    <m/>
    <m/>
    <x v="1"/>
    <s v="future"/>
    <x v="14"/>
    <x v="7"/>
    <x v="4"/>
    <x v="4"/>
    <m/>
    <x v="1"/>
    <n v="0.5"/>
    <x v="7"/>
    <m/>
    <m/>
    <m/>
  </r>
  <r>
    <x v="231"/>
    <x v="14"/>
    <s v="Data Sync Requirements - Nutrition Labeling"/>
    <x v="231"/>
    <n v="1"/>
    <n v="94"/>
    <s v="free form"/>
    <m/>
    <x v="6"/>
    <m/>
    <m/>
    <s v="dependent on: Form Type=BULK w/pkg upc"/>
    <m/>
    <m/>
    <x v="1"/>
    <s v="future"/>
    <x v="14"/>
    <x v="7"/>
    <x v="4"/>
    <x v="4"/>
    <m/>
    <x v="1"/>
    <n v="0.5"/>
    <x v="7"/>
    <m/>
    <m/>
    <m/>
  </r>
  <r>
    <x v="232"/>
    <x v="14"/>
    <s v="Data Sync Requirements - Nutrition Labeling"/>
    <x v="232"/>
    <n v="1"/>
    <n v="94"/>
    <s v="free form"/>
    <m/>
    <x v="6"/>
    <m/>
    <m/>
    <s v="dependent on: Form Type=BULK w/pkg upc"/>
    <m/>
    <m/>
    <x v="1"/>
    <s v="future"/>
    <x v="14"/>
    <x v="7"/>
    <x v="4"/>
    <x v="4"/>
    <m/>
    <x v="1"/>
    <n v="0.5"/>
    <x v="7"/>
    <m/>
    <m/>
    <m/>
  </r>
  <r>
    <x v="233"/>
    <x v="14"/>
    <s v="Canada - Validate Food Form"/>
    <x v="233"/>
    <n v="1"/>
    <n v="94"/>
    <s v="checkbox"/>
    <m/>
    <x v="6"/>
    <m/>
    <m/>
    <s v="dependent on: Product Country=CANADA"/>
    <m/>
    <m/>
    <x v="1"/>
    <s v="future"/>
    <x v="14"/>
    <x v="7"/>
    <x v="4"/>
    <x v="4"/>
    <m/>
    <x v="1"/>
    <n v="0.5"/>
    <x v="7"/>
    <m/>
    <m/>
    <m/>
  </r>
  <r>
    <x v="234"/>
    <x v="14"/>
    <s v="Net Wt. Statement for Graphics"/>
    <x v="234"/>
    <n v="1"/>
    <n v="94"/>
    <s v="free form"/>
    <m/>
    <x v="6"/>
    <m/>
    <m/>
    <m/>
    <m/>
    <m/>
    <x v="1"/>
    <s v="future"/>
    <x v="14"/>
    <x v="7"/>
    <x v="4"/>
    <x v="4"/>
    <m/>
    <x v="1"/>
    <n v="0.5"/>
    <x v="7"/>
    <m/>
    <m/>
    <m/>
  </r>
  <r>
    <x v="235"/>
    <x v="14"/>
    <s v="Net Wt. Statement for Graphics"/>
    <x v="235"/>
    <n v="1"/>
    <n v="94"/>
    <s v="free form"/>
    <m/>
    <x v="6"/>
    <m/>
    <m/>
    <m/>
    <m/>
    <m/>
    <x v="1"/>
    <s v="future"/>
    <x v="14"/>
    <x v="7"/>
    <x v="4"/>
    <x v="4"/>
    <m/>
    <x v="1"/>
    <n v="0.5"/>
    <x v="7"/>
    <m/>
    <m/>
    <m/>
  </r>
  <r>
    <x v="236"/>
    <x v="14"/>
    <s v="Net Wt. Statement for Graphics"/>
    <x v="236"/>
    <n v="1"/>
    <n v="94"/>
    <s v="free form"/>
    <m/>
    <x v="6"/>
    <m/>
    <m/>
    <m/>
    <m/>
    <m/>
    <x v="1"/>
    <s v="future"/>
    <x v="14"/>
    <x v="7"/>
    <x v="4"/>
    <x v="4"/>
    <m/>
    <x v="1"/>
    <n v="0.5"/>
    <x v="7"/>
    <m/>
    <m/>
    <m/>
  </r>
  <r>
    <x v="237"/>
    <x v="14"/>
    <s v="Net Wt. Statement for Graphics"/>
    <x v="237"/>
    <n v="1"/>
    <n v="94"/>
    <s v="free form"/>
    <m/>
    <x v="6"/>
    <m/>
    <m/>
    <m/>
    <m/>
    <m/>
    <x v="1"/>
    <s v="future"/>
    <x v="14"/>
    <x v="7"/>
    <x v="4"/>
    <x v="4"/>
    <m/>
    <x v="1"/>
    <n v="0.5"/>
    <x v="7"/>
    <m/>
    <m/>
    <m/>
  </r>
  <r>
    <x v="238"/>
    <x v="15"/>
    <s v="Packaging Details"/>
    <x v="238"/>
    <n v="0"/>
    <n v="97"/>
    <s v="autofill"/>
    <m/>
    <x v="7"/>
    <m/>
    <m/>
    <s v="Packaging Tech task: For Pringles only, in the Packaging Details section, the Pringles Can Size and Pringles Cube Size are open for population, but not required. If not Pringles, both are grayed out/locked."/>
    <s v="1235 dependent on &quot;pringles&quot; (1011) =open but not required"/>
    <m/>
    <x v="3"/>
    <s v="early"/>
    <x v="15"/>
    <x v="7"/>
    <x v="4"/>
    <x v="4"/>
    <m/>
    <x v="0"/>
    <n v="0"/>
    <x v="7"/>
    <d v="2025-09-19T00:00:00"/>
    <m/>
    <m/>
  </r>
  <r>
    <x v="239"/>
    <x v="15"/>
    <s v="Packaging Details"/>
    <x v="239"/>
    <n v="1"/>
    <n v="97"/>
    <s v="dd: reference list: PRL: Stacking Factor"/>
    <m/>
    <x v="7"/>
    <m/>
    <m/>
    <m/>
    <m/>
    <m/>
    <x v="1"/>
    <s v="future"/>
    <x v="15"/>
    <x v="7"/>
    <x v="4"/>
    <x v="4"/>
    <m/>
    <x v="1"/>
    <n v="0.5"/>
    <x v="7"/>
    <m/>
    <m/>
    <m/>
  </r>
  <r>
    <x v="240"/>
    <x v="15"/>
    <s v="Packaging Details"/>
    <x v="240"/>
    <n v="1"/>
    <n v="97"/>
    <s v="dd: reference list: PRL: Packaging Profile"/>
    <m/>
    <x v="7"/>
    <m/>
    <m/>
    <m/>
    <m/>
    <m/>
    <x v="1"/>
    <s v="future"/>
    <x v="15"/>
    <x v="7"/>
    <x v="4"/>
    <x v="4"/>
    <m/>
    <x v="1"/>
    <n v="0.5"/>
    <x v="7"/>
    <m/>
    <m/>
    <m/>
  </r>
  <r>
    <x v="241"/>
    <x v="15"/>
    <s v="Packaging Details"/>
    <x v="241"/>
    <n v="1"/>
    <n v="97"/>
    <s v="dd: reference list: PRL: Handling Platform Type"/>
    <m/>
    <x v="7"/>
    <m/>
    <m/>
    <m/>
    <m/>
    <m/>
    <x v="1"/>
    <s v="future"/>
    <x v="15"/>
    <x v="7"/>
    <x v="4"/>
    <x v="4"/>
    <m/>
    <x v="1"/>
    <n v="0.5"/>
    <x v="7"/>
    <m/>
    <m/>
    <m/>
  </r>
  <r>
    <x v="242"/>
    <x v="15"/>
    <s v="Packaging Details"/>
    <x v="242"/>
    <n v="1"/>
    <n v="97"/>
    <s v="dd: reference list: PRL: Cube Size"/>
    <m/>
    <x v="7"/>
    <m/>
    <m/>
    <s v="Packaging Tech task: For Pringles only, in the Packaging Details section, the Pringles Can Size and Pringles Cube Size are open for population, but not required. If not Pringles, both are grayed out/locked."/>
    <s v="1239 dependent on &quot;pringles&quot; (1011) =open but not required"/>
    <m/>
    <x v="3"/>
    <s v="early"/>
    <x v="15"/>
    <x v="7"/>
    <x v="4"/>
    <x v="4"/>
    <m/>
    <x v="1"/>
    <n v="0.5"/>
    <x v="7"/>
    <d v="2025-09-19T00:00:00"/>
    <m/>
    <m/>
  </r>
  <r>
    <x v="243"/>
    <x v="15"/>
    <s v="Packaging Details"/>
    <x v="243"/>
    <n v="1"/>
    <n v="97"/>
    <s v="dd: reference list: PRL: Clamp Pressure"/>
    <m/>
    <x v="7"/>
    <m/>
    <m/>
    <m/>
    <m/>
    <m/>
    <x v="1"/>
    <s v="future"/>
    <x v="15"/>
    <x v="7"/>
    <x v="4"/>
    <x v="4"/>
    <m/>
    <x v="1"/>
    <n v="0.5"/>
    <x v="7"/>
    <m/>
    <m/>
    <m/>
  </r>
  <r>
    <x v="244"/>
    <x v="15"/>
    <s v="Alternate Units of Measure"/>
    <x v="244"/>
    <n v="0"/>
    <n v="98"/>
    <s v="autofill"/>
    <m/>
    <x v="7"/>
    <m/>
    <m/>
    <m/>
    <m/>
    <m/>
    <x v="1"/>
    <s v="future"/>
    <x v="15"/>
    <x v="7"/>
    <x v="4"/>
    <x v="4"/>
    <m/>
    <x v="0"/>
    <n v="0"/>
    <x v="7"/>
    <m/>
    <m/>
    <m/>
  </r>
  <r>
    <x v="245"/>
    <x v="15"/>
    <s v="Alternate Units of Measure"/>
    <x v="245"/>
    <n v="0"/>
    <n v="98"/>
    <s v="autofill"/>
    <m/>
    <x v="7"/>
    <m/>
    <m/>
    <m/>
    <m/>
    <m/>
    <x v="1"/>
    <s v="future"/>
    <x v="15"/>
    <x v="7"/>
    <x v="4"/>
    <x v="4"/>
    <m/>
    <x v="0"/>
    <n v="0"/>
    <x v="7"/>
    <m/>
    <m/>
    <m/>
  </r>
  <r>
    <x v="246"/>
    <x v="15"/>
    <s v="Alternate Units of Measure"/>
    <x v="246"/>
    <n v="0"/>
    <n v="98"/>
    <s v="autofill"/>
    <m/>
    <x v="7"/>
    <m/>
    <m/>
    <m/>
    <m/>
    <m/>
    <x v="1"/>
    <s v="future"/>
    <x v="15"/>
    <x v="7"/>
    <x v="4"/>
    <x v="4"/>
    <m/>
    <x v="0"/>
    <n v="0"/>
    <x v="7"/>
    <m/>
    <m/>
    <m/>
  </r>
  <r>
    <x v="247"/>
    <x v="15"/>
    <s v="Packaging Components"/>
    <x v="247"/>
    <n v="1"/>
    <s v="99, 125"/>
    <s v="free form"/>
    <m/>
    <x v="7"/>
    <s v="Masterfiles"/>
    <m/>
    <m/>
    <m/>
    <m/>
    <x v="1"/>
    <s v="future"/>
    <x v="15"/>
    <x v="7"/>
    <x v="4"/>
    <x v="4"/>
    <m/>
    <x v="1"/>
    <n v="0.5"/>
    <x v="7"/>
    <m/>
    <m/>
    <m/>
  </r>
  <r>
    <x v="248"/>
    <x v="15"/>
    <s v="Packaging Components"/>
    <x v="248"/>
    <n v="1"/>
    <s v="99, 125"/>
    <s v="free form"/>
    <m/>
    <x v="7"/>
    <s v="Masterfiles"/>
    <m/>
    <m/>
    <m/>
    <m/>
    <x v="1"/>
    <s v="future"/>
    <x v="15"/>
    <x v="7"/>
    <x v="4"/>
    <x v="4"/>
    <m/>
    <x v="1"/>
    <n v="0.5"/>
    <x v="7"/>
    <m/>
    <m/>
    <m/>
  </r>
  <r>
    <x v="249"/>
    <x v="15"/>
    <s v="Packaging Components"/>
    <x v="249"/>
    <n v="1"/>
    <s v="99, 125"/>
    <s v="dd: reference list"/>
    <m/>
    <x v="7"/>
    <s v="Masterfiles"/>
    <m/>
    <m/>
    <m/>
    <m/>
    <x v="1"/>
    <s v="future"/>
    <x v="15"/>
    <x v="7"/>
    <x v="4"/>
    <x v="4"/>
    <m/>
    <x v="1"/>
    <n v="0.5"/>
    <x v="7"/>
    <m/>
    <m/>
    <m/>
  </r>
  <r>
    <x v="250"/>
    <x v="15"/>
    <s v="Packaging Components"/>
    <x v="250"/>
    <n v="1"/>
    <s v="99, 125"/>
    <s v="free form"/>
    <m/>
    <x v="7"/>
    <s v="Masterfiles"/>
    <m/>
    <m/>
    <m/>
    <m/>
    <x v="1"/>
    <s v="future"/>
    <x v="15"/>
    <x v="7"/>
    <x v="4"/>
    <x v="4"/>
    <m/>
    <x v="1"/>
    <n v="0.5"/>
    <x v="7"/>
    <m/>
    <m/>
    <m/>
  </r>
  <r>
    <x v="251"/>
    <x v="15"/>
    <s v="Packaging Components"/>
    <x v="251"/>
    <n v="1"/>
    <s v="99, 125"/>
    <s v="free form"/>
    <m/>
    <x v="7"/>
    <s v="Masterfiles"/>
    <m/>
    <m/>
    <m/>
    <m/>
    <x v="1"/>
    <s v="future"/>
    <x v="15"/>
    <x v="7"/>
    <x v="4"/>
    <x v="4"/>
    <m/>
    <x v="1"/>
    <n v="0.5"/>
    <x v="7"/>
    <m/>
    <m/>
    <m/>
  </r>
  <r>
    <x v="252"/>
    <x v="15"/>
    <s v="Packaging Components"/>
    <x v="252"/>
    <n v="1"/>
    <s v="99, 125"/>
    <s v="free form"/>
    <m/>
    <x v="7"/>
    <s v="Masterfiles"/>
    <m/>
    <m/>
    <m/>
    <m/>
    <x v="1"/>
    <s v="future"/>
    <x v="15"/>
    <x v="7"/>
    <x v="4"/>
    <x v="4"/>
    <m/>
    <x v="1"/>
    <n v="0.5"/>
    <x v="7"/>
    <m/>
    <m/>
    <m/>
  </r>
  <r>
    <x v="253"/>
    <x v="15"/>
    <s v="Packaging Components"/>
    <x v="253"/>
    <n v="1"/>
    <s v="99, 125"/>
    <s v="dd: YES, NO"/>
    <m/>
    <x v="7"/>
    <s v="Masterfiles"/>
    <m/>
    <m/>
    <m/>
    <m/>
    <x v="1"/>
    <s v="future"/>
    <x v="15"/>
    <x v="7"/>
    <x v="4"/>
    <x v="4"/>
    <m/>
    <x v="1"/>
    <n v="0.5"/>
    <x v="7"/>
    <m/>
    <m/>
    <m/>
  </r>
  <r>
    <x v="254"/>
    <x v="15"/>
    <s v="Packaging Components"/>
    <x v="254"/>
    <n v="1"/>
    <s v="99, 125"/>
    <s v="dd: YES, NO"/>
    <m/>
    <x v="7"/>
    <s v="Masterfiles"/>
    <m/>
    <m/>
    <m/>
    <m/>
    <x v="1"/>
    <s v="future"/>
    <x v="15"/>
    <x v="7"/>
    <x v="4"/>
    <x v="4"/>
    <m/>
    <x v="1"/>
    <n v="0.5"/>
    <x v="7"/>
    <m/>
    <m/>
    <m/>
  </r>
  <r>
    <x v="255"/>
    <x v="15"/>
    <s v="Net Weight if no Nutrition Labeling"/>
    <x v="255"/>
    <n v="1"/>
    <n v="99"/>
    <s v="free form"/>
    <m/>
    <x v="7"/>
    <m/>
    <m/>
    <m/>
    <m/>
    <m/>
    <x v="1"/>
    <s v="future"/>
    <x v="15"/>
    <x v="7"/>
    <x v="4"/>
    <x v="4"/>
    <m/>
    <x v="1"/>
    <n v="0.5"/>
    <x v="7"/>
    <m/>
    <m/>
    <m/>
  </r>
  <r>
    <x v="256"/>
    <x v="15"/>
    <s v="Net Weight if no Nutrition Labeling"/>
    <x v="256"/>
    <n v="1"/>
    <n v="99"/>
    <s v="free form"/>
    <m/>
    <x v="7"/>
    <m/>
    <m/>
    <m/>
    <m/>
    <m/>
    <x v="1"/>
    <s v="future"/>
    <x v="15"/>
    <x v="7"/>
    <x v="4"/>
    <x v="4"/>
    <m/>
    <x v="1"/>
    <n v="0.5"/>
    <x v="7"/>
    <m/>
    <m/>
    <m/>
  </r>
  <r>
    <x v="257"/>
    <x v="16"/>
    <s v="Material Group/Tax Data"/>
    <x v="257"/>
    <n v="1"/>
    <n v="105"/>
    <s v="dd: reference list: PRL: Material Group 5"/>
    <m/>
    <x v="8"/>
    <m/>
    <m/>
    <m/>
    <m/>
    <m/>
    <x v="1"/>
    <s v="future"/>
    <x v="16"/>
    <x v="6"/>
    <x v="3"/>
    <x v="3"/>
    <m/>
    <x v="1"/>
    <n v="0.5"/>
    <x v="6"/>
    <m/>
    <m/>
    <m/>
  </r>
  <r>
    <x v="258"/>
    <x v="16"/>
    <s v="Material Group/Tax Data"/>
    <x v="258"/>
    <n v="1"/>
    <n v="105"/>
    <s v="free form"/>
    <m/>
    <x v="8"/>
    <m/>
    <m/>
    <m/>
    <m/>
    <m/>
    <x v="1"/>
    <s v="future"/>
    <x v="16"/>
    <x v="6"/>
    <x v="3"/>
    <x v="3"/>
    <m/>
    <x v="1"/>
    <n v="0.5"/>
    <x v="6"/>
    <m/>
    <m/>
    <m/>
  </r>
  <r>
    <x v="259"/>
    <x v="17"/>
    <s v="Pricing"/>
    <x v="259"/>
    <n v="1"/>
    <n v="107"/>
    <s v="free form"/>
    <m/>
    <x v="9"/>
    <m/>
    <m/>
    <m/>
    <m/>
    <m/>
    <x v="1"/>
    <s v="future"/>
    <x v="17"/>
    <x v="6"/>
    <x v="3"/>
    <x v="3"/>
    <m/>
    <x v="1"/>
    <n v="0.5"/>
    <x v="6"/>
    <m/>
    <m/>
    <m/>
  </r>
  <r>
    <x v="260"/>
    <x v="18"/>
    <s v="(buttons) Returns"/>
    <x v="260"/>
    <n v="1"/>
    <n v="110"/>
    <s v="free form"/>
    <m/>
    <x v="4"/>
    <m/>
    <m/>
    <m/>
    <m/>
    <m/>
    <x v="1"/>
    <s v="future"/>
    <x v="18"/>
    <x v="6"/>
    <x v="3"/>
    <x v="3"/>
    <m/>
    <x v="1"/>
    <n v="0.5"/>
    <x v="6"/>
    <m/>
    <m/>
    <m/>
  </r>
  <r>
    <x v="261"/>
    <x v="19"/>
    <s v="LIM Dashboard Returns"/>
    <x v="261"/>
    <n v="1"/>
    <s v="71, 111"/>
    <s v="dd: user roles"/>
    <m/>
    <x v="2"/>
    <m/>
    <m/>
    <s v="returning to previous team"/>
    <m/>
    <m/>
    <x v="1"/>
    <s v="current"/>
    <x v="19"/>
    <x v="1"/>
    <x v="2"/>
    <x v="2"/>
    <m/>
    <x v="1"/>
    <n v="0.5"/>
    <x v="5"/>
    <m/>
    <m/>
    <m/>
  </r>
  <r>
    <x v="262"/>
    <x v="19"/>
    <s v="LIM Dashboard Returns"/>
    <x v="262"/>
    <n v="1"/>
    <s v="71, 111"/>
    <s v="free form"/>
    <m/>
    <x v="2"/>
    <m/>
    <m/>
    <s v="can only return to one group at a time"/>
    <m/>
    <m/>
    <x v="1"/>
    <s v="current"/>
    <x v="19"/>
    <x v="1"/>
    <x v="2"/>
    <x v="2"/>
    <m/>
    <x v="1"/>
    <n v="0.5"/>
    <x v="5"/>
    <m/>
    <m/>
    <m/>
  </r>
  <r>
    <x v="263"/>
    <x v="20"/>
    <s v="Review Material Descriptions"/>
    <x v="263"/>
    <n v="1"/>
    <n v="114"/>
    <s v="free form"/>
    <m/>
    <x v="1"/>
    <m/>
    <m/>
    <m/>
    <m/>
    <m/>
    <x v="1"/>
    <s v="future"/>
    <x v="20"/>
    <x v="8"/>
    <x v="3"/>
    <x v="3"/>
    <m/>
    <x v="1"/>
    <n v="0.5"/>
    <x v="6"/>
    <m/>
    <m/>
    <m/>
  </r>
  <r>
    <x v="264"/>
    <x v="20"/>
    <s v="Review Material Descriptions"/>
    <x v="264"/>
    <n v="1"/>
    <n v="114"/>
    <s v="free form"/>
    <m/>
    <x v="1"/>
    <m/>
    <m/>
    <m/>
    <m/>
    <m/>
    <x v="1"/>
    <s v="future"/>
    <x v="20"/>
    <x v="8"/>
    <x v="3"/>
    <x v="3"/>
    <m/>
    <x v="1"/>
    <n v="0.5"/>
    <x v="6"/>
    <m/>
    <m/>
    <m/>
  </r>
  <r>
    <x v="265"/>
    <x v="20"/>
    <s v="Review - Derived Values"/>
    <x v="265"/>
    <n v="1"/>
    <n v="114"/>
    <s v="dd: reference list: DISTRIBUTION_METHODS.XLSX"/>
    <m/>
    <x v="1"/>
    <m/>
    <m/>
    <m/>
    <m/>
    <m/>
    <x v="1"/>
    <s v="future"/>
    <x v="20"/>
    <x v="8"/>
    <x v="3"/>
    <x v="3"/>
    <m/>
    <x v="1"/>
    <n v="0.5"/>
    <x v="6"/>
    <m/>
    <m/>
    <m/>
  </r>
  <r>
    <x v="266"/>
    <x v="20"/>
    <s v="Sales Organization Extension"/>
    <x v="266"/>
    <n v="0"/>
    <n v="115"/>
    <s v="autofill"/>
    <m/>
    <x v="1"/>
    <m/>
    <m/>
    <m/>
    <m/>
    <m/>
    <x v="1"/>
    <s v="future"/>
    <x v="20"/>
    <x v="8"/>
    <x v="3"/>
    <x v="3"/>
    <m/>
    <x v="0"/>
    <n v="0"/>
    <x v="6"/>
    <m/>
    <m/>
    <m/>
  </r>
  <r>
    <x v="267"/>
    <x v="20"/>
    <s v="Sales Organization Extension"/>
    <x v="267"/>
    <n v="0"/>
    <n v="115"/>
    <s v="autofill"/>
    <m/>
    <x v="1"/>
    <m/>
    <m/>
    <m/>
    <m/>
    <m/>
    <x v="1"/>
    <s v="future"/>
    <x v="20"/>
    <x v="8"/>
    <x v="3"/>
    <x v="3"/>
    <m/>
    <x v="0"/>
    <n v="0"/>
    <x v="6"/>
    <m/>
    <m/>
    <m/>
  </r>
  <r>
    <x v="268"/>
    <x v="20"/>
    <s v="Sales Organization Extension"/>
    <x v="268"/>
    <n v="0"/>
    <n v="115"/>
    <s v="autofill"/>
    <m/>
    <x v="1"/>
    <m/>
    <m/>
    <m/>
    <m/>
    <m/>
    <x v="1"/>
    <s v="future"/>
    <x v="20"/>
    <x v="8"/>
    <x v="3"/>
    <x v="3"/>
    <m/>
    <x v="0"/>
    <n v="0"/>
    <x v="6"/>
    <m/>
    <m/>
    <m/>
  </r>
  <r>
    <x v="269"/>
    <x v="20"/>
    <s v="Sales Organization Extension"/>
    <x v="269"/>
    <n v="1"/>
    <n v="115"/>
    <s v="free form"/>
    <m/>
    <x v="1"/>
    <m/>
    <m/>
    <m/>
    <s v="Sales_Org_CA_Tax  (LIM Forecast - field name: Canada Tax Code); see notes from 9/25/25"/>
    <m/>
    <x v="1"/>
    <s v="future"/>
    <x v="20"/>
    <x v="8"/>
    <x v="3"/>
    <x v="3"/>
    <m/>
    <x v="1"/>
    <n v="0.5"/>
    <x v="6"/>
    <m/>
    <m/>
    <m/>
  </r>
  <r>
    <x v="270"/>
    <x v="20"/>
    <s v="Masterfiles Approval Returns"/>
    <x v="270"/>
    <n v="1"/>
    <n v="118"/>
    <s v="checkbox"/>
    <m/>
    <x v="1"/>
    <m/>
    <m/>
    <m/>
    <m/>
    <m/>
    <x v="1"/>
    <s v="future"/>
    <x v="20"/>
    <x v="8"/>
    <x v="3"/>
    <x v="3"/>
    <m/>
    <x v="1"/>
    <n v="0.5"/>
    <x v="6"/>
    <m/>
    <m/>
    <m/>
  </r>
  <r>
    <x v="271"/>
    <x v="20"/>
    <s v="Masterfiles Approval Returns"/>
    <x v="271"/>
    <n v="1"/>
    <n v="118"/>
    <s v="free form"/>
    <m/>
    <x v="1"/>
    <m/>
    <m/>
    <m/>
    <m/>
    <m/>
    <x v="1"/>
    <s v="future"/>
    <x v="20"/>
    <x v="8"/>
    <x v="3"/>
    <x v="3"/>
    <m/>
    <x v="1"/>
    <n v="0.5"/>
    <x v="6"/>
    <m/>
    <m/>
    <m/>
  </r>
  <r>
    <x v="272"/>
    <x v="20"/>
    <s v="Masterfiles Approval Returns"/>
    <x v="272"/>
    <n v="1"/>
    <n v="118"/>
    <s v="checkbox"/>
    <m/>
    <x v="1"/>
    <m/>
    <m/>
    <m/>
    <m/>
    <m/>
    <x v="1"/>
    <s v="future"/>
    <x v="20"/>
    <x v="8"/>
    <x v="3"/>
    <x v="3"/>
    <m/>
    <x v="1"/>
    <n v="0.5"/>
    <x v="6"/>
    <m/>
    <m/>
    <m/>
  </r>
  <r>
    <x v="273"/>
    <x v="20"/>
    <s v="Masterfiles Approval Returns"/>
    <x v="273"/>
    <n v="1"/>
    <n v="118"/>
    <s v="free form"/>
    <m/>
    <x v="1"/>
    <m/>
    <m/>
    <m/>
    <m/>
    <m/>
    <x v="1"/>
    <s v="future"/>
    <x v="20"/>
    <x v="8"/>
    <x v="3"/>
    <x v="3"/>
    <m/>
    <x v="1"/>
    <n v="0.5"/>
    <x v="6"/>
    <m/>
    <m/>
    <m/>
  </r>
  <r>
    <x v="274"/>
    <x v="20"/>
    <s v="Masterfiles Approval Returns"/>
    <x v="274"/>
    <n v="1"/>
    <n v="118"/>
    <s v="checkbox"/>
    <m/>
    <x v="1"/>
    <m/>
    <m/>
    <m/>
    <m/>
    <m/>
    <x v="1"/>
    <s v="future"/>
    <x v="20"/>
    <x v="8"/>
    <x v="3"/>
    <x v="3"/>
    <m/>
    <x v="1"/>
    <n v="0.5"/>
    <x v="6"/>
    <m/>
    <m/>
    <m/>
  </r>
  <r>
    <x v="275"/>
    <x v="20"/>
    <s v="Masterfiles Approval Returns"/>
    <x v="275"/>
    <n v="1"/>
    <n v="118"/>
    <s v="free form"/>
    <m/>
    <x v="1"/>
    <m/>
    <m/>
    <m/>
    <m/>
    <m/>
    <x v="1"/>
    <s v="future"/>
    <x v="20"/>
    <x v="8"/>
    <x v="3"/>
    <x v="3"/>
    <m/>
    <x v="1"/>
    <n v="0.5"/>
    <x v="6"/>
    <m/>
    <m/>
    <m/>
  </r>
  <r>
    <x v="276"/>
    <x v="20"/>
    <s v="Masterfiles Approval Returns"/>
    <x v="276"/>
    <n v="1"/>
    <n v="118"/>
    <s v="checkbox"/>
    <m/>
    <x v="1"/>
    <m/>
    <m/>
    <m/>
    <m/>
    <m/>
    <x v="1"/>
    <s v="future"/>
    <x v="20"/>
    <x v="8"/>
    <x v="3"/>
    <x v="3"/>
    <m/>
    <x v="1"/>
    <n v="0.5"/>
    <x v="6"/>
    <m/>
    <m/>
    <m/>
  </r>
  <r>
    <x v="277"/>
    <x v="20"/>
    <s v="Masterfiles Approval Returns"/>
    <x v="277"/>
    <n v="1"/>
    <n v="118"/>
    <s v="free form"/>
    <m/>
    <x v="1"/>
    <m/>
    <m/>
    <m/>
    <m/>
    <m/>
    <x v="1"/>
    <s v="future"/>
    <x v="20"/>
    <x v="8"/>
    <x v="3"/>
    <x v="3"/>
    <m/>
    <x v="1"/>
    <n v="0.5"/>
    <x v="6"/>
    <m/>
    <m/>
    <m/>
  </r>
  <r>
    <x v="278"/>
    <x v="20"/>
    <s v="Masterfiles Approval Returns"/>
    <x v="278"/>
    <n v="1"/>
    <n v="118"/>
    <s v="checkbox"/>
    <m/>
    <x v="1"/>
    <m/>
    <m/>
    <m/>
    <m/>
    <m/>
    <x v="1"/>
    <s v="future"/>
    <x v="20"/>
    <x v="8"/>
    <x v="3"/>
    <x v="3"/>
    <m/>
    <x v="1"/>
    <n v="0.5"/>
    <x v="6"/>
    <m/>
    <m/>
    <m/>
  </r>
  <r>
    <x v="279"/>
    <x v="20"/>
    <s v="Masterfiles Approval Returns"/>
    <x v="279"/>
    <n v="1"/>
    <n v="118"/>
    <s v="free form"/>
    <m/>
    <x v="1"/>
    <m/>
    <m/>
    <m/>
    <m/>
    <m/>
    <x v="1"/>
    <s v="future"/>
    <x v="20"/>
    <x v="8"/>
    <x v="3"/>
    <x v="3"/>
    <m/>
    <x v="1"/>
    <n v="0.5"/>
    <x v="6"/>
    <m/>
    <m/>
    <m/>
  </r>
  <r>
    <x v="280"/>
    <x v="20"/>
    <s v="Masterfiles Approval Returns"/>
    <x v="280"/>
    <n v="1"/>
    <n v="118"/>
    <s v="button"/>
    <m/>
    <x v="1"/>
    <m/>
    <m/>
    <m/>
    <m/>
    <m/>
    <x v="1"/>
    <s v="future"/>
    <x v="20"/>
    <x v="8"/>
    <x v="3"/>
    <x v="3"/>
    <m/>
    <x v="1"/>
    <n v="0.5"/>
    <x v="6"/>
    <m/>
    <m/>
    <m/>
  </r>
  <r>
    <x v="281"/>
    <x v="21"/>
    <s v="ZMMU_PLANT_Query"/>
    <x v="281"/>
    <n v="1"/>
    <n v="120"/>
    <s v="dd: reference list"/>
    <m/>
    <x v="1"/>
    <m/>
    <m/>
    <m/>
    <m/>
    <m/>
    <x v="1"/>
    <s v="future"/>
    <x v="21"/>
    <x v="8"/>
    <x v="3"/>
    <x v="3"/>
    <m/>
    <x v="1"/>
    <n v="0.5"/>
    <x v="6"/>
    <m/>
    <m/>
    <m/>
  </r>
  <r>
    <x v="282"/>
    <x v="21"/>
    <s v="ZMMU_PLANT_Query"/>
    <x v="282"/>
    <n v="1"/>
    <n v="120"/>
    <s v="dd: reference list"/>
    <m/>
    <x v="1"/>
    <m/>
    <m/>
    <m/>
    <m/>
    <m/>
    <x v="1"/>
    <s v="future"/>
    <x v="21"/>
    <x v="8"/>
    <x v="3"/>
    <x v="3"/>
    <m/>
    <x v="1"/>
    <n v="0.5"/>
    <x v="6"/>
    <m/>
    <m/>
    <m/>
  </r>
  <r>
    <x v="283"/>
    <x v="21"/>
    <s v="ZMMU_PLANT_Query"/>
    <x v="283"/>
    <n v="0"/>
    <n v="120"/>
    <s v="autofill"/>
    <m/>
    <x v="1"/>
    <m/>
    <m/>
    <m/>
    <m/>
    <m/>
    <x v="1"/>
    <s v="future"/>
    <x v="21"/>
    <x v="8"/>
    <x v="3"/>
    <x v="3"/>
    <m/>
    <x v="0"/>
    <n v="0"/>
    <x v="6"/>
    <m/>
    <m/>
    <m/>
  </r>
  <r>
    <x v="284"/>
    <x v="21"/>
    <s v="Plant Extension Selection"/>
    <x v="284"/>
    <n v="1"/>
    <n v="120"/>
    <s v="checkbox"/>
    <m/>
    <x v="1"/>
    <m/>
    <m/>
    <m/>
    <m/>
    <m/>
    <x v="1"/>
    <s v="future"/>
    <x v="21"/>
    <x v="8"/>
    <x v="3"/>
    <x v="3"/>
    <m/>
    <x v="1"/>
    <n v="0.5"/>
    <x v="6"/>
    <m/>
    <m/>
    <m/>
  </r>
  <r>
    <x v="285"/>
    <x v="21"/>
    <s v="Plant Extension Selection"/>
    <x v="285"/>
    <n v="1"/>
    <n v="120"/>
    <s v="free form"/>
    <m/>
    <x v="1"/>
    <m/>
    <m/>
    <m/>
    <m/>
    <m/>
    <x v="1"/>
    <s v="future"/>
    <x v="21"/>
    <x v="8"/>
    <x v="3"/>
    <x v="3"/>
    <m/>
    <x v="1"/>
    <n v="0.5"/>
    <x v="6"/>
    <m/>
    <m/>
    <m/>
  </r>
  <r>
    <x v="286"/>
    <x v="21"/>
    <s v="Plant Extension Selection"/>
    <x v="286"/>
    <n v="1"/>
    <n v="120"/>
    <s v="free form"/>
    <m/>
    <x v="1"/>
    <m/>
    <m/>
    <m/>
    <m/>
    <m/>
    <x v="1"/>
    <s v="future"/>
    <x v="21"/>
    <x v="8"/>
    <x v="3"/>
    <x v="3"/>
    <m/>
    <x v="1"/>
    <n v="0.5"/>
    <x v="6"/>
    <m/>
    <m/>
    <m/>
  </r>
  <r>
    <x v="287"/>
    <x v="21"/>
    <s v="Packaging - Merge with BOM"/>
    <x v="287"/>
    <n v="1"/>
    <n v="125"/>
    <s v="free form"/>
    <m/>
    <x v="1"/>
    <m/>
    <m/>
    <m/>
    <m/>
    <m/>
    <x v="1"/>
    <s v="future"/>
    <x v="21"/>
    <x v="8"/>
    <x v="3"/>
    <x v="3"/>
    <m/>
    <x v="1"/>
    <n v="0.5"/>
    <x v="6"/>
    <m/>
    <m/>
    <m/>
  </r>
  <r>
    <x v="288"/>
    <x v="21"/>
    <s v="Packaging - Merge with BOM"/>
    <x v="288"/>
    <n v="1"/>
    <n v="125"/>
    <s v="free form"/>
    <m/>
    <x v="1"/>
    <m/>
    <m/>
    <m/>
    <m/>
    <m/>
    <x v="1"/>
    <s v="future"/>
    <x v="21"/>
    <x v="8"/>
    <x v="3"/>
    <x v="3"/>
    <m/>
    <x v="1"/>
    <n v="0.5"/>
    <x v="6"/>
    <m/>
    <m/>
    <m/>
  </r>
  <r>
    <x v="289"/>
    <x v="21"/>
    <s v="Packaging - Merge with BOM"/>
    <x v="289"/>
    <n v="1"/>
    <n v="125"/>
    <s v="free form"/>
    <m/>
    <x v="1"/>
    <m/>
    <m/>
    <m/>
    <m/>
    <m/>
    <x v="1"/>
    <s v="future"/>
    <x v="21"/>
    <x v="8"/>
    <x v="3"/>
    <x v="3"/>
    <m/>
    <x v="1"/>
    <n v="0.5"/>
    <x v="6"/>
    <m/>
    <m/>
    <m/>
  </r>
  <r>
    <x v="290"/>
    <x v="21"/>
    <s v="VAS BOM Plant Assingments (CS07)"/>
    <x v="290"/>
    <n v="1"/>
    <n v="125"/>
    <s v="checkbox"/>
    <m/>
    <x v="1"/>
    <m/>
    <m/>
    <m/>
    <m/>
    <m/>
    <x v="1"/>
    <s v="future"/>
    <x v="21"/>
    <x v="8"/>
    <x v="3"/>
    <x v="3"/>
    <m/>
    <x v="1"/>
    <n v="0.5"/>
    <x v="6"/>
    <m/>
    <m/>
    <m/>
  </r>
  <r>
    <x v="291"/>
    <x v="21"/>
    <s v="VAS BOM Plant Assingments (CS07)"/>
    <x v="291"/>
    <n v="1"/>
    <n v="125"/>
    <s v="free form"/>
    <m/>
    <x v="1"/>
    <m/>
    <m/>
    <m/>
    <m/>
    <m/>
    <x v="1"/>
    <s v="future"/>
    <x v="21"/>
    <x v="8"/>
    <x v="3"/>
    <x v="3"/>
    <m/>
    <x v="1"/>
    <n v="0.5"/>
    <x v="6"/>
    <m/>
    <m/>
    <m/>
  </r>
  <r>
    <x v="292"/>
    <x v="21"/>
    <s v="VAS BOM Plant Assingments (CS07)"/>
    <x v="292"/>
    <n v="1"/>
    <n v="125"/>
    <s v="free form"/>
    <m/>
    <x v="1"/>
    <m/>
    <m/>
    <m/>
    <m/>
    <m/>
    <x v="1"/>
    <s v="future"/>
    <x v="21"/>
    <x v="8"/>
    <x v="3"/>
    <x v="3"/>
    <m/>
    <x v="1"/>
    <n v="0.5"/>
    <x v="6"/>
    <m/>
    <m/>
    <m/>
  </r>
  <r>
    <x v="293"/>
    <x v="21"/>
    <s v="VAS BOM Plant Assingments (CS07)"/>
    <x v="293"/>
    <n v="1"/>
    <n v="125"/>
    <s v="free form"/>
    <m/>
    <x v="1"/>
    <m/>
    <m/>
    <m/>
    <m/>
    <m/>
    <x v="1"/>
    <s v="future"/>
    <x v="21"/>
    <x v="8"/>
    <x v="3"/>
    <x v="3"/>
    <m/>
    <x v="1"/>
    <n v="0.5"/>
    <x v="6"/>
    <m/>
    <m/>
    <m/>
  </r>
  <r>
    <x v="294"/>
    <x v="21"/>
    <s v="DTC Questions"/>
    <x v="294"/>
    <n v="1"/>
    <n v="125"/>
    <s v="dd: YES, NO"/>
    <m/>
    <x v="1"/>
    <m/>
    <m/>
    <m/>
    <m/>
    <m/>
    <x v="1"/>
    <s v="future"/>
    <x v="21"/>
    <x v="8"/>
    <x v="3"/>
    <x v="3"/>
    <m/>
    <x v="1"/>
    <n v="0.5"/>
    <x v="6"/>
    <m/>
    <m/>
    <m/>
  </r>
  <r>
    <x v="295"/>
    <x v="21"/>
    <s v="DTC Questions"/>
    <x v="295"/>
    <n v="1"/>
    <n v="125"/>
    <s v="free form"/>
    <m/>
    <x v="1"/>
    <m/>
    <m/>
    <m/>
    <s v=" 1292 dependent on 1012 DTC"/>
    <m/>
    <x v="1"/>
    <s v="future"/>
    <x v="21"/>
    <x v="8"/>
    <x v="3"/>
    <x v="3"/>
    <m/>
    <x v="1"/>
    <n v="0.5"/>
    <x v="6"/>
    <m/>
    <m/>
    <m/>
  </r>
  <r>
    <x v="296"/>
    <x v="21"/>
    <s v="Masterfiles Manual Checklist"/>
    <x v="296"/>
    <n v="1"/>
    <n v="126"/>
    <s v="checkbox"/>
    <m/>
    <x v="1"/>
    <m/>
    <m/>
    <s v="Manually perform all steps"/>
    <m/>
    <m/>
    <x v="1"/>
    <s v="future"/>
    <x v="21"/>
    <x v="8"/>
    <x v="3"/>
    <x v="3"/>
    <m/>
    <x v="0"/>
    <n v="0"/>
    <x v="6"/>
    <m/>
    <m/>
    <m/>
  </r>
  <r>
    <x v="297"/>
    <x v="21"/>
    <s v="Returns"/>
    <x v="297"/>
    <n v="1"/>
    <n v="126"/>
    <s v="button"/>
    <m/>
    <x v="1"/>
    <m/>
    <m/>
    <m/>
    <m/>
    <m/>
    <x v="1"/>
    <s v="future"/>
    <x v="21"/>
    <x v="8"/>
    <x v="3"/>
    <x v="3"/>
    <m/>
    <x v="1"/>
    <n v="0.5"/>
    <x v="6"/>
    <m/>
    <m/>
    <m/>
  </r>
  <r>
    <x v="298"/>
    <x v="22"/>
    <s v="DTC Product Details"/>
    <x v="298"/>
    <n v="1"/>
    <n v="128"/>
    <s v="dd: reference list: COUNTRY (not in RDL or PRL)"/>
    <m/>
    <x v="0"/>
    <m/>
    <m/>
    <m/>
    <m/>
    <m/>
    <x v="1"/>
    <s v="current"/>
    <x v="22"/>
    <x v="5"/>
    <x v="2"/>
    <x v="2"/>
    <n v="8"/>
    <x v="1"/>
    <n v="0.5"/>
    <x v="5"/>
    <m/>
    <m/>
    <m/>
  </r>
  <r>
    <x v="299"/>
    <x v="22"/>
    <s v="DTC Product Details"/>
    <x v="299"/>
    <n v="1"/>
    <n v="128"/>
    <s v="free form"/>
    <m/>
    <x v="0"/>
    <m/>
    <m/>
    <m/>
    <m/>
    <m/>
    <x v="1"/>
    <s v="current"/>
    <x v="22"/>
    <x v="5"/>
    <x v="2"/>
    <x v="2"/>
    <n v="8"/>
    <x v="1"/>
    <n v="0.5"/>
    <x v="5"/>
    <m/>
    <m/>
    <m/>
  </r>
  <r>
    <x v="300"/>
    <x v="22"/>
    <s v="DTC Product Details"/>
    <x v="300"/>
    <n v="0"/>
    <n v="128"/>
    <s v="script button"/>
    <m/>
    <x v="0"/>
    <m/>
    <m/>
    <m/>
    <m/>
    <m/>
    <x v="1"/>
    <s v="current"/>
    <x v="22"/>
    <x v="5"/>
    <x v="2"/>
    <x v="2"/>
    <n v="8"/>
    <x v="2"/>
    <n v="0"/>
    <x v="5"/>
    <m/>
    <m/>
    <m/>
  </r>
  <r>
    <x v="301"/>
    <x v="22"/>
    <s v="DTC Product Details"/>
    <x v="301"/>
    <n v="0"/>
    <n v="129"/>
    <s v="script button"/>
    <m/>
    <x v="0"/>
    <m/>
    <m/>
    <m/>
    <m/>
    <m/>
    <x v="1"/>
    <s v="current"/>
    <x v="22"/>
    <x v="5"/>
    <x v="2"/>
    <x v="2"/>
    <n v="8"/>
    <x v="2"/>
    <n v="0"/>
    <x v="5"/>
    <m/>
    <m/>
    <m/>
  </r>
  <r>
    <x v="302"/>
    <x v="22"/>
    <s v="DTC Product Details"/>
    <x v="302"/>
    <n v="0"/>
    <n v="130"/>
    <s v="script button"/>
    <m/>
    <x v="0"/>
    <m/>
    <m/>
    <m/>
    <m/>
    <m/>
    <x v="1"/>
    <s v="current"/>
    <x v="22"/>
    <x v="5"/>
    <x v="2"/>
    <x v="2"/>
    <n v="8"/>
    <x v="2"/>
    <n v="0"/>
    <x v="5"/>
    <m/>
    <m/>
    <m/>
  </r>
  <r>
    <x v="303"/>
    <x v="22"/>
    <s v="Attachments"/>
    <x v="303"/>
    <n v="1"/>
    <n v="130"/>
    <s v="dd: directory"/>
    <m/>
    <x v="0"/>
    <m/>
    <m/>
    <m/>
    <m/>
    <m/>
    <x v="1"/>
    <s v="current"/>
    <x v="22"/>
    <x v="5"/>
    <x v="2"/>
    <x v="2"/>
    <n v="8"/>
    <x v="3"/>
    <n v="1"/>
    <x v="5"/>
    <m/>
    <m/>
    <m/>
  </r>
  <r>
    <x v="304"/>
    <x v="22"/>
    <s v="DTC Launch Validation"/>
    <x v="304"/>
    <n v="1"/>
    <n v="130"/>
    <s v="dd: YES, NO"/>
    <m/>
    <x v="0"/>
    <m/>
    <m/>
    <m/>
    <s v=" 1301 dependent on 1012 DTC"/>
    <m/>
    <x v="1"/>
    <s v="current"/>
    <x v="22"/>
    <x v="5"/>
    <x v="2"/>
    <x v="2"/>
    <n v="8"/>
    <x v="1"/>
    <n v="0.5"/>
    <x v="5"/>
    <m/>
    <m/>
    <m/>
  </r>
  <r>
    <x v="305"/>
    <x v="22"/>
    <s v="DTC Launch Validation"/>
    <x v="305"/>
    <n v="0"/>
    <n v="130"/>
    <s v="script button"/>
    <m/>
    <x v="0"/>
    <m/>
    <m/>
    <m/>
    <s v=" 1302 dependent on 1012 DTC"/>
    <m/>
    <x v="1"/>
    <s v="current"/>
    <x v="22"/>
    <x v="5"/>
    <x v="2"/>
    <x v="2"/>
    <n v="8"/>
    <x v="2"/>
    <n v="0"/>
    <x v="5"/>
    <m/>
    <m/>
    <m/>
  </r>
  <r>
    <x v="306"/>
    <x v="22"/>
    <s v="DTC Launch Validation"/>
    <x v="306"/>
    <n v="0"/>
    <n v="130"/>
    <s v="script button"/>
    <m/>
    <x v="0"/>
    <m/>
    <m/>
    <m/>
    <m/>
    <m/>
    <x v="1"/>
    <s v="current"/>
    <x v="22"/>
    <x v="5"/>
    <x v="2"/>
    <x v="2"/>
    <n v="8"/>
    <x v="2"/>
    <n v="0"/>
    <x v="5"/>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n v="1001"/>
    <x v="0"/>
    <s v="Requestor Initiate"/>
    <s v="Requestor Name"/>
    <n v="0"/>
    <n v="23"/>
    <s v="autofill"/>
    <s v="yes"/>
    <s v="Requestor"/>
    <m/>
    <m/>
    <m/>
    <s v="pull name from user logged in"/>
    <m/>
    <s v="done"/>
    <s v="complete"/>
    <x v="0"/>
    <x v="0"/>
    <x v="0"/>
    <x v="0"/>
    <n v="9"/>
    <x v="0"/>
    <n v="0"/>
    <s v="E"/>
  </r>
  <r>
    <n v="1002"/>
    <x v="0"/>
    <s v="Requestor Initiate"/>
    <s v="Requestor Email"/>
    <n v="0"/>
    <n v="23"/>
    <s v="autofill"/>
    <s v="yes"/>
    <s v="Requestor"/>
    <m/>
    <m/>
    <m/>
    <s v="pull email from user logged in"/>
    <m/>
    <s v="done"/>
    <s v="complete"/>
    <x v="0"/>
    <x v="0"/>
    <x v="0"/>
    <x v="0"/>
    <n v="9"/>
    <x v="0"/>
    <n v="0"/>
    <s v="E"/>
  </r>
  <r>
    <n v="1003"/>
    <x v="0"/>
    <s v="Requestor Initiate"/>
    <s v="Requestor Date"/>
    <n v="0"/>
    <n v="23"/>
    <s v="autofill"/>
    <s v="yes"/>
    <s v="Requestor"/>
    <m/>
    <m/>
    <m/>
    <s v="pull date from computer"/>
    <m/>
    <s v="done"/>
    <s v="complete"/>
    <x v="0"/>
    <x v="0"/>
    <x v="0"/>
    <x v="0"/>
    <n v="9"/>
    <x v="0"/>
    <n v="0"/>
    <s v="E"/>
  </r>
  <r>
    <n v="1004"/>
    <x v="0"/>
    <s v="Requestor Initiate"/>
    <s v="Version"/>
    <n v="0"/>
    <n v="23"/>
    <s v="autofill"/>
    <s v="yes"/>
    <s v="Requestor"/>
    <m/>
    <m/>
    <m/>
    <s v="pull NIF version of the form"/>
    <m/>
    <s v="done"/>
    <s v="complete"/>
    <x v="0"/>
    <x v="0"/>
    <x v="0"/>
    <x v="0"/>
    <n v="9"/>
    <x v="0"/>
    <n v="0"/>
    <s v="E"/>
  </r>
  <r>
    <n v="1005"/>
    <x v="0"/>
    <s v="Person Responsible"/>
    <s v="Requestor"/>
    <n v="0"/>
    <n v="23"/>
    <s v="dd: user roles"/>
    <s v="yes"/>
    <s v="Requestor"/>
    <m/>
    <m/>
    <m/>
    <s v="pull name from user logged in"/>
    <m/>
    <s v="done"/>
    <s v="complete"/>
    <x v="0"/>
    <x v="0"/>
    <x v="0"/>
    <x v="0"/>
    <n v="9"/>
    <x v="0"/>
    <n v="0"/>
    <s v="E"/>
  </r>
  <r>
    <n v="1006"/>
    <x v="0"/>
    <s v="Person Responsible"/>
    <s v="LIM"/>
    <n v="1"/>
    <s v="23, 32, 61"/>
    <s v="dd: user roles"/>
    <s v="yes"/>
    <s v="Requestor"/>
    <s v="LIM"/>
    <m/>
    <m/>
    <s v="no Business Rules"/>
    <m/>
    <s v="done"/>
    <s v="complete"/>
    <x v="0"/>
    <x v="0"/>
    <x v="0"/>
    <x v="0"/>
    <n v="4"/>
    <x v="1"/>
    <n v="0.5"/>
    <s v="D"/>
  </r>
  <r>
    <n v="1305"/>
    <x v="0"/>
    <s v="Product Setup"/>
    <s v="Business Area"/>
    <n v="0"/>
    <n v="0"/>
    <s v="dd: WKKC, KELLANOVA"/>
    <s v="yes"/>
    <s v="Requestor"/>
    <m/>
    <m/>
    <s v="9/24/25 new field identified"/>
    <s v="autofill to KELLANOVA"/>
    <m/>
    <s v="done"/>
    <s v="complete"/>
    <x v="0"/>
    <x v="0"/>
    <x v="0"/>
    <x v="0"/>
    <m/>
    <x v="1"/>
    <n v="0"/>
    <s v="E"/>
  </r>
  <r>
    <n v="1007"/>
    <x v="0"/>
    <s v="Product Setup"/>
    <s v="Form Type"/>
    <n v="1"/>
    <n v="24"/>
    <s v="dd: CASE, DISPLAY, WIP"/>
    <s v="yes"/>
    <s v="Requestor"/>
    <m/>
    <s v="col A"/>
    <m/>
    <s v="Flowchart: Product Type / Product Sub Type"/>
    <m/>
    <s v="done"/>
    <s v="complete"/>
    <x v="0"/>
    <x v="0"/>
    <x v="1"/>
    <x v="1"/>
    <n v="1"/>
    <x v="2"/>
    <n v="1.5"/>
    <s v="A"/>
  </r>
  <r>
    <n v="1008"/>
    <x v="0"/>
    <s v="Product Setup"/>
    <s v="Product Country"/>
    <n v="1"/>
    <n v="24"/>
    <s v="dd: reference list: PRODUCT_COUNTRY.XLSX"/>
    <s v="yes"/>
    <s v="Requestor"/>
    <m/>
    <s v="NOT in BR.xlsx"/>
    <m/>
    <s v="Flowchart: Product Type / Product Sub Type"/>
    <m/>
    <s v="done"/>
    <s v="complete"/>
    <x v="0"/>
    <x v="0"/>
    <x v="1"/>
    <x v="1"/>
    <n v="1"/>
    <x v="2"/>
    <n v="1.5"/>
    <s v="A"/>
  </r>
  <r>
    <n v="1009"/>
    <x v="0"/>
    <s v="Product Setup"/>
    <s v="Product Type"/>
    <n v="1"/>
    <n v="24"/>
    <s v="dd: reference list: PRODUCT_SETUP_TYPE.XLSX, Setup_Type column"/>
    <s v="yes"/>
    <s v="Requestor"/>
    <m/>
    <s v="col B"/>
    <s v="dependent on FORM TYPE"/>
    <s v="Flowchart: Product Type / Product Sub Type"/>
    <m/>
    <s v="done"/>
    <s v="complete"/>
    <x v="0"/>
    <x v="0"/>
    <x v="1"/>
    <x v="1"/>
    <n v="1"/>
    <x v="2"/>
    <n v="1.5"/>
    <s v="A"/>
  </r>
  <r>
    <n v="1010"/>
    <x v="0"/>
    <s v="Product Setup"/>
    <s v="Product Sub Type"/>
    <n v="1"/>
    <n v="24"/>
    <s v="dd: reference list: PRODUCT_SETUP_TYPE.XLSX, Setup_Qualifier column"/>
    <s v="yes"/>
    <s v="Requestor"/>
    <m/>
    <s v="col C"/>
    <s v="dependent on PRODUCT TYPE"/>
    <s v="Flowchart: Product Type / Product Sub Type"/>
    <m/>
    <s v="done"/>
    <s v="complete"/>
    <x v="0"/>
    <x v="0"/>
    <x v="1"/>
    <x v="1"/>
    <n v="1"/>
    <x v="2"/>
    <n v="1.5"/>
    <s v="A"/>
  </r>
  <r>
    <n v="1011"/>
    <x v="0"/>
    <s v="Product Setup"/>
    <s v="Is this a Pringles product"/>
    <n v="1"/>
    <n v="24"/>
    <s v="dd: YES, NO"/>
    <s v="yes"/>
    <s v="Requestor"/>
    <m/>
    <s v="NOT in BR.xlsx"/>
    <m/>
    <s v="1011 predecessor for pringles naming convention for country sold in as part of description (1175); plus Pringles Can Size (1235), and RTEC/Pringles Cube Size (1239) is required"/>
    <m/>
    <s v="done"/>
    <s v="complete"/>
    <x v="0"/>
    <x v="0"/>
    <x v="1"/>
    <x v="1"/>
    <n v="1"/>
    <x v="1"/>
    <n v="0.5"/>
    <s v="A"/>
  </r>
  <r>
    <n v="1012"/>
    <x v="0"/>
    <s v="Product Setup"/>
    <s v="Is this an RX Product"/>
    <n v="1"/>
    <n v="24"/>
    <s v="dd: YES, NO"/>
    <s v="yes"/>
    <s v="Requestor"/>
    <m/>
    <s v="NOT in BR.xlsx"/>
    <m/>
    <s v="1012 predecessor to: &quot;Will product be sold DTC question&quot; (1162), this will also kick off the DTC form at end of process;   Dependencies 1292, 1301, 1302"/>
    <m/>
    <s v="done"/>
    <s v="complete"/>
    <x v="0"/>
    <x v="0"/>
    <x v="1"/>
    <x v="1"/>
    <n v="1"/>
    <x v="1"/>
    <n v="0.5"/>
    <s v="A"/>
  </r>
  <r>
    <n v="1013"/>
    <x v="0"/>
    <s v="Product Setup"/>
    <s v="SAP Material Number"/>
    <n v="0"/>
    <s v="24, 45"/>
    <s v="free form"/>
    <s v="no"/>
    <s v="Masterfiles"/>
    <m/>
    <m/>
    <s v="same as field 1070"/>
    <s v="duplicate of 1070"/>
    <m/>
    <s v="done"/>
    <s v="complete"/>
    <x v="0"/>
    <x v="0"/>
    <x v="1"/>
    <x v="1"/>
    <n v="1"/>
    <x v="1"/>
    <n v="0"/>
    <s v="B"/>
  </r>
  <r>
    <n v="1014"/>
    <x v="0"/>
    <s v="Product Setup"/>
    <s v="Project Type"/>
    <n v="1"/>
    <n v="24"/>
    <s v="dd: KUBIC, PDR, PWR, SCR"/>
    <s v="yes"/>
    <s v="Requestor"/>
    <m/>
    <s v="col E"/>
    <m/>
    <s v="1014: predecessor for: 1015, 1025"/>
    <m/>
    <s v="done"/>
    <s v="complete"/>
    <x v="0"/>
    <x v="0"/>
    <x v="1"/>
    <x v="1"/>
    <n v="1"/>
    <x v="3"/>
    <n v="1"/>
    <s v="A"/>
  </r>
  <r>
    <n v="1015"/>
    <x v="0"/>
    <s v="Product Setup"/>
    <s v="Project Name or Number"/>
    <n v="1"/>
    <n v="24"/>
    <s v="free form"/>
    <s v="yes"/>
    <s v="Requestor"/>
    <m/>
    <s v="col G"/>
    <m/>
    <s v="1015: dependent on 1014 PROJECT TYPE: PDR and SCR is text (ex Tasty) PWR is numeric"/>
    <m/>
    <s v="done"/>
    <s v="complete"/>
    <x v="0"/>
    <x v="0"/>
    <x v="1"/>
    <x v="1"/>
    <n v="1"/>
    <x v="1"/>
    <n v="0.5"/>
    <s v="A"/>
  </r>
  <r>
    <n v="1016"/>
    <x v="0"/>
    <s v="Product Setup"/>
    <s v="Set Category"/>
    <n v="1"/>
    <n v="0"/>
    <s v="dd: reference list: RDL_Categories.xlsx"/>
    <s v="yes"/>
    <s v="Requestor"/>
    <m/>
    <s v="col I"/>
    <s v="…not in Trng_deck.ppt;_x000a_Bars, Crackers, Other Convenience, Salty Snacks, Frozen, Toaster Pastries, Veggies"/>
    <s v="no known BR based on data entered"/>
    <m/>
    <s v="done"/>
    <s v="complete"/>
    <x v="0"/>
    <x v="0"/>
    <x v="1"/>
    <x v="1"/>
    <n v="1"/>
    <x v="1"/>
    <n v="0.5"/>
    <s v="A"/>
  </r>
  <r>
    <n v="1017"/>
    <x v="0"/>
    <s v="Product Setup"/>
    <s v="Brief Product Description"/>
    <n v="1"/>
    <s v="24, 33, 73"/>
    <s v="free form"/>
    <s v="yes"/>
    <s v="Requestor"/>
    <s v="LIM"/>
    <s v="col K"/>
    <s v="used for naming NIF form, but do not incorporate into AI"/>
    <s v="no more than 40 characters"/>
    <m/>
    <s v="done"/>
    <s v="complete"/>
    <x v="0"/>
    <x v="0"/>
    <x v="1"/>
    <x v="1"/>
    <n v="1"/>
    <x v="3"/>
    <n v="1"/>
    <s v="B"/>
  </r>
  <r>
    <n v="1018"/>
    <x v="0"/>
    <s v="Product Setup"/>
    <s v="Brief Project Overview and Technical Notes"/>
    <n v="1"/>
    <s v="24, 33, 73"/>
    <s v="free form"/>
    <s v="yes"/>
    <s v="Requestor"/>
    <s v="LIM"/>
    <s v="col M"/>
    <s v="Be as detailed as possible and provide the flavor, package size and can size, if known"/>
    <s v="no known BR based on data entered"/>
    <m/>
    <s v="done"/>
    <s v="complete"/>
    <x v="0"/>
    <x v="0"/>
    <x v="1"/>
    <x v="1"/>
    <n v="1"/>
    <x v="3"/>
    <n v="1"/>
    <s v="B"/>
  </r>
  <r>
    <n v="1019"/>
    <x v="0"/>
    <s v="Stated Weights/Case Count"/>
    <s v="Stated Weight Applicable For"/>
    <n v="1"/>
    <s v="24, 33, 73"/>
    <s v="dd: PACKAGE, INNER ITEM/POUCH"/>
    <s v="yes"/>
    <s v="Requestor"/>
    <s v="LIM"/>
    <s v="col O"/>
    <s v="informational only"/>
    <s v="no known BR based on data entered"/>
    <m/>
    <s v="done"/>
    <s v="complete"/>
    <x v="0"/>
    <x v="0"/>
    <x v="1"/>
    <x v="1"/>
    <n v="2"/>
    <x v="3"/>
    <n v="1"/>
    <s v="B"/>
  </r>
  <r>
    <n v="1020"/>
    <x v="0"/>
    <s v="Stated Weights/Case Count"/>
    <s v="Stated Weight Status"/>
    <n v="1"/>
    <s v="24, 33, 73"/>
    <s v="dd: ESTIMATED, FINALIZED"/>
    <s v="yes"/>
    <s v="Requestor"/>
    <s v="LIM"/>
    <s v="col Q"/>
    <s v="informational only"/>
    <s v="no known BR based on data entered"/>
    <m/>
    <s v="done"/>
    <s v="complete"/>
    <x v="0"/>
    <x v="0"/>
    <x v="1"/>
    <x v="1"/>
    <n v="2"/>
    <x v="3"/>
    <n v="1"/>
    <s v="B"/>
  </r>
  <r>
    <n v="1021"/>
    <x v="0"/>
    <s v="Stated Weights/Case Count"/>
    <s v="Stated Net Weight"/>
    <n v="1"/>
    <s v="24, 33, 73, 99"/>
    <s v="free form"/>
    <s v="yes"/>
    <s v="Requestor"/>
    <s v="LIM, Packaging Tech"/>
    <s v="col S"/>
    <s v="informational only"/>
    <s v="no known BR based on data entered"/>
    <m/>
    <s v="done"/>
    <s v="complete"/>
    <x v="0"/>
    <x v="0"/>
    <x v="1"/>
    <x v="1"/>
    <n v="2"/>
    <x v="1"/>
    <n v="0.5"/>
    <s v="B"/>
  </r>
  <r>
    <n v="1022"/>
    <x v="0"/>
    <s v="Stated Weights/Case Count"/>
    <s v="Stated Net Weight UOM"/>
    <n v="1"/>
    <s v="24, 33, 73"/>
    <s v="dd: OZ, LB, G, KG"/>
    <s v="yes"/>
    <s v="Requestor"/>
    <s v="LIM"/>
    <s v="col U"/>
    <s v="informational only"/>
    <s v="no known BR based on data entered"/>
    <m/>
    <s v="done"/>
    <s v="complete"/>
    <x v="0"/>
    <x v="0"/>
    <x v="1"/>
    <x v="1"/>
    <n v="2"/>
    <x v="1"/>
    <n v="0.5"/>
    <s v="B"/>
  </r>
  <r>
    <n v="1023"/>
    <x v="0"/>
    <s v="Stated Weights/Case Count"/>
    <s v="Case Count Status"/>
    <n v="1"/>
    <s v="24, 33, 73"/>
    <s v="dd: ESTIMATED, FINALIZED"/>
    <s v="yes"/>
    <s v="Requestor"/>
    <s v="LIM"/>
    <s v="col W"/>
    <s v="informational only"/>
    <s v="no known BR based on data entered"/>
    <m/>
    <s v="done"/>
    <s v="complete"/>
    <x v="0"/>
    <x v="0"/>
    <x v="1"/>
    <x v="1"/>
    <n v="2"/>
    <x v="3"/>
    <n v="1"/>
    <s v="B"/>
  </r>
  <r>
    <n v="1024"/>
    <x v="0"/>
    <s v="Stated Weights/Case Count"/>
    <s v="Case Count"/>
    <n v="1"/>
    <s v="24, 33, 73"/>
    <s v="free form"/>
    <s v="yes"/>
    <s v="Requestor"/>
    <s v="LIM"/>
    <s v="col Y"/>
    <s v="informational only"/>
    <s v="no known BR based on data entered"/>
    <m/>
    <s v="done"/>
    <s v="complete"/>
    <x v="0"/>
    <x v="0"/>
    <x v="1"/>
    <x v="1"/>
    <n v="2"/>
    <x v="2"/>
    <n v="1.5"/>
    <s v="B"/>
  </r>
  <r>
    <n v="1025"/>
    <x v="0"/>
    <s v="Reference Material"/>
    <s v="Like SKU / Reference Material Number"/>
    <n v="1"/>
    <n v="25"/>
    <s v="SAP db list"/>
    <s v="conditional"/>
    <s v="Requestor"/>
    <m/>
    <s v="NOT in BR.xlsx"/>
    <s v="functionality of the SAP db is not needed in AI tool"/>
    <s v="1025: dependent on 1014 PROJECT TYPE: KUBIC (required)"/>
    <m/>
    <s v="done"/>
    <s v="complete"/>
    <x v="0"/>
    <x v="0"/>
    <x v="1"/>
    <x v="1"/>
    <n v="3"/>
    <x v="2"/>
    <n v="1.5"/>
    <s v="B"/>
  </r>
  <r>
    <n v="1026"/>
    <x v="0"/>
    <s v="Product Determination Questions"/>
    <s v="Approved to sell via Ecommerce"/>
    <n v="1"/>
    <s v="25, 26"/>
    <s v="dd: YES, NO"/>
    <s v="yes"/>
    <s v="Requestor"/>
    <m/>
    <s v="col Z"/>
    <s v="CASE and DISPLAY only;   If YES, then loads record: TRADE CHANNEL (1166)=ONLINE"/>
    <s v="1026 dependent PRODUCT TYPE (1009)=ECOMM or DTC BUNDLE, then this is defaulted to YES (locks field);  _x000a_If Product Country (1008) CANADA then default to NO; Form Type (1007) DISPLAY=open but not required, CASE=required, WIP=not available_x000a_"/>
    <m/>
    <s v="done"/>
    <s v="complete"/>
    <x v="0"/>
    <x v="0"/>
    <x v="1"/>
    <x v="1"/>
    <n v="3"/>
    <x v="1"/>
    <n v="0.5"/>
    <s v="B"/>
  </r>
  <r>
    <n v="1027"/>
    <x v="0"/>
    <s v="Product Determination Questions"/>
    <s v="Is product designated to one customer"/>
    <n v="1"/>
    <s v="25, 26"/>
    <s v="dd: YES, NO"/>
    <s v="yes"/>
    <s v="Requestor"/>
    <m/>
    <s v="col AB"/>
    <s v="CASE and DISPLAY"/>
    <s v="1027: predecessor to 1028, 1029"/>
    <m/>
    <s v="done"/>
    <s v="complete"/>
    <x v="0"/>
    <x v="0"/>
    <x v="1"/>
    <x v="1"/>
    <n v="3"/>
    <x v="1"/>
    <n v="0.5"/>
    <s v="B"/>
  </r>
  <r>
    <n v="1028"/>
    <x v="0"/>
    <s v="Product Determination Questions"/>
    <s v="Designated Customer Name"/>
    <n v="1"/>
    <s v="25, 26"/>
    <s v="dd: reference list: PRL: Designated Customer Name"/>
    <s v="conditional"/>
    <s v="Requestor"/>
    <m/>
    <s v="col AD"/>
    <s v="CASE and DISPLAY"/>
    <s v="1028 dependent on: Is product designated to one customer (1027) =YES"/>
    <m/>
    <s v="done"/>
    <s v="complete"/>
    <x v="0"/>
    <x v="0"/>
    <x v="1"/>
    <x v="1"/>
    <n v="3"/>
    <x v="3"/>
    <n v="1"/>
    <s v="B"/>
  </r>
  <r>
    <n v="1029"/>
    <x v="0"/>
    <s v="Product Determination Questions"/>
    <s v="Include Designated Cust In Material Desc"/>
    <n v="1"/>
    <s v="25, 26"/>
    <s v="dd: YES, NO"/>
    <s v="yes"/>
    <s v="Requestor"/>
    <m/>
    <s v="col AF"/>
    <s v="CASE and DISPLAY"/>
    <s v="1029 dependent on: Is product designated to one customer (1027)=YES;  1029 predecessor to 1129"/>
    <m/>
    <s v="done"/>
    <s v="complete"/>
    <x v="0"/>
    <x v="0"/>
    <x v="1"/>
    <x v="1"/>
    <n v="3"/>
    <x v="1"/>
    <n v="0.5"/>
    <s v="B"/>
  </r>
  <r>
    <n v="1030"/>
    <x v="0"/>
    <s v="Product Determination Questions"/>
    <s v="Variety Pack"/>
    <n v="1"/>
    <n v="25"/>
    <s v="dd: YES, NO"/>
    <s v="yes"/>
    <s v="Requestor"/>
    <m/>
    <s v="col AH"/>
    <s v="CASE"/>
    <s v="1030 dependent on Product Type (1009) and Product Subtype (1010);  Flowchart: Variety Pack"/>
    <m/>
    <s v="done"/>
    <s v="complete"/>
    <x v="0"/>
    <x v="0"/>
    <x v="1"/>
    <x v="1"/>
    <n v="3"/>
    <x v="1"/>
    <n v="0.5"/>
    <s v="B"/>
  </r>
  <r>
    <n v="1031"/>
    <x v="0"/>
    <s v="Product Determination Questions"/>
    <s v="Variety Pack components have UPC codes"/>
    <n v="1"/>
    <n v="25"/>
    <s v="dd: YES, NO"/>
    <s v="yes"/>
    <s v="Requestor"/>
    <m/>
    <s v="col AJ"/>
    <s v="CASE"/>
    <s v="1031 predecessor to 1188-1192;  Flowchart: Variety Pack"/>
    <m/>
    <s v="done"/>
    <s v="complete"/>
    <x v="0"/>
    <x v="0"/>
    <x v="1"/>
    <x v="1"/>
    <n v="3"/>
    <x v="1"/>
    <n v="0.5"/>
    <s v="B"/>
  </r>
  <r>
    <n v="1032"/>
    <x v="0"/>
    <s v="Product Determination Questions"/>
    <s v="Build SKU Using Existing Package UPCs"/>
    <n v="1"/>
    <s v="25, 26, 27"/>
    <s v="dd: YES, NO"/>
    <s v="yes"/>
    <s v="Requestor"/>
    <m/>
    <s v="col AL"/>
    <s v="autofill by FORM TYPE: CASE=YES, DISPLAY=NO, and WIP=NO"/>
    <s v="Flowchart: Build SKU / Existing Printed"/>
    <m/>
    <s v="done"/>
    <s v="complete"/>
    <x v="0"/>
    <x v="0"/>
    <x v="0"/>
    <x v="0"/>
    <n v="3"/>
    <x v="1"/>
    <n v="0.5"/>
    <s v="C"/>
  </r>
  <r>
    <n v="1033"/>
    <x v="0"/>
    <s v="Product Determination Questions"/>
    <s v="Is this item owned by Away From Home"/>
    <n v="1"/>
    <s v="25, 26, 27"/>
    <s v="dd: YES, NO"/>
    <s v="yes"/>
    <s v="Requestor"/>
    <m/>
    <s v="col AN"/>
    <s v="CASE, DISPLAY and WIP"/>
    <s v="1033 predecessor to: external material group (1085)"/>
    <m/>
    <s v="done"/>
    <s v="complete"/>
    <x v="0"/>
    <x v="0"/>
    <x v="0"/>
    <x v="0"/>
    <n v="3"/>
    <x v="1"/>
    <n v="0.5"/>
    <s v="C"/>
  </r>
  <r>
    <n v="1034"/>
    <x v="0"/>
    <s v="Product Determination Questions"/>
    <s v="Is this an Export Product"/>
    <n v="1"/>
    <s v="26, 27, 28"/>
    <s v="dd: YES, NO"/>
    <s v="yes"/>
    <s v="Requestor"/>
    <m/>
    <s v="col AP"/>
    <s v="CASE, DISPLAY and WIP"/>
    <s v="1034 predecessor to: external material group (1085), build sku..export (1035), list existing export (1036)"/>
    <m/>
    <s v="done"/>
    <s v="complete"/>
    <x v="0"/>
    <x v="0"/>
    <x v="0"/>
    <x v="0"/>
    <n v="3"/>
    <x v="1"/>
    <n v="0.5"/>
    <s v="C"/>
  </r>
  <r>
    <n v="1035"/>
    <x v="0"/>
    <s v="Product Determination Questions"/>
    <s v="Build SKU Using Existing Export UPCs"/>
    <n v="1"/>
    <s v="27, 28"/>
    <s v="dd: YES, NO"/>
    <s v="yes"/>
    <s v="Requestor"/>
    <m/>
    <s v="col AR"/>
    <s v="CASE and WIP"/>
    <s v="1035 dependent on 1034"/>
    <m/>
    <s v="done"/>
    <s v="complete"/>
    <x v="0"/>
    <x v="0"/>
    <x v="0"/>
    <x v="0"/>
    <n v="3"/>
    <x v="1"/>
    <n v="0.5"/>
    <s v="C"/>
  </r>
  <r>
    <n v="1036"/>
    <x v="0"/>
    <s v="Product Determination Questions"/>
    <s v="List Existing Export UPC Codes"/>
    <n v="1"/>
    <s v="27, 28"/>
    <s v="free form"/>
    <s v="conditional"/>
    <s v="Requestor"/>
    <m/>
    <s v="col AT"/>
    <s v="CASE and WIP"/>
    <s v="1036 dependent on 1034"/>
    <m/>
    <s v="done"/>
    <s v="complete"/>
    <x v="0"/>
    <x v="0"/>
    <x v="0"/>
    <x v="0"/>
    <n v="3"/>
    <x v="3"/>
    <n v="1"/>
    <s v="C"/>
  </r>
  <r>
    <n v="1037"/>
    <x v="0"/>
    <s v="Product Determination Questions"/>
    <s v="Private Label"/>
    <n v="1"/>
    <s v="27, 28"/>
    <s v="dd: YES, NO"/>
    <s v="yes"/>
    <s v="Requestor"/>
    <m/>
    <s v="col AU"/>
    <s v="CASE and WIP"/>
    <s v="1037 predecessor to 1038, 1039, 1040"/>
    <m/>
    <s v="done"/>
    <s v="complete"/>
    <x v="0"/>
    <x v="0"/>
    <x v="0"/>
    <x v="0"/>
    <n v="3"/>
    <x v="1"/>
    <n v="0.5"/>
    <s v="C"/>
  </r>
  <r>
    <n v="1038"/>
    <x v="0"/>
    <s v="Product Determination Questions"/>
    <s v="Private Label Name"/>
    <n v="1"/>
    <s v="27, 28"/>
    <s v="dd: reference list: PRL: Private Label Customers"/>
    <s v="conditional"/>
    <s v="Requestor"/>
    <m/>
    <s v="col AW"/>
    <s v="CASE and WIP"/>
    <s v="1038 dependent on 1037"/>
    <m/>
    <s v="done"/>
    <s v="complete"/>
    <x v="0"/>
    <x v="0"/>
    <x v="0"/>
    <x v="0"/>
    <n v="3"/>
    <x v="3"/>
    <n v="1"/>
    <s v="C"/>
  </r>
  <r>
    <n v="1039"/>
    <x v="0"/>
    <s v="Product Determination Questions"/>
    <s v="Build SKU Using Existing Private UPCs"/>
    <n v="1"/>
    <s v="27, 28"/>
    <s v="dd: YES, NO"/>
    <s v="yes"/>
    <s v="Requestor"/>
    <m/>
    <s v="col AY"/>
    <s v="CASE and WIP"/>
    <s v="1039 dependent on 1037"/>
    <m/>
    <s v="done"/>
    <s v="complete"/>
    <x v="0"/>
    <x v="0"/>
    <x v="0"/>
    <x v="0"/>
    <n v="3"/>
    <x v="1"/>
    <n v="0.5"/>
    <s v="C"/>
  </r>
  <r>
    <n v="1040"/>
    <x v="0"/>
    <s v="Product Determination Questions"/>
    <s v="List Existing Private UPCs"/>
    <n v="1"/>
    <s v="27, 28"/>
    <s v="free form"/>
    <s v="conditional"/>
    <s v="Requestor"/>
    <m/>
    <s v="col BA"/>
    <s v="CASE and WIP"/>
    <s v="1040 dependent on 1037"/>
    <m/>
    <s v="done"/>
    <s v="complete"/>
    <x v="0"/>
    <x v="0"/>
    <x v="0"/>
    <x v="0"/>
    <n v="3"/>
    <x v="3"/>
    <n v="1"/>
    <s v="C"/>
  </r>
  <r>
    <n v="1041"/>
    <x v="0"/>
    <s v="Product Determination Questions"/>
    <s v="Data Sync(GDSN)"/>
    <n v="1"/>
    <s v="26, 27, 28"/>
    <s v="dd: YES, NO"/>
    <s v="no, appears that blank is viable"/>
    <s v="Requestor"/>
    <m/>
    <s v="NOT in BR.xlsx"/>
    <s v="CASE, DISPLAY, and WIP"/>
    <s v="Tamara:  should always be YES per Shanan Walker; unless there are extinuating circumstances where they would not want the data to go to the customers"/>
    <m/>
    <s v="done"/>
    <s v="complete"/>
    <x v="0"/>
    <x v="0"/>
    <x v="0"/>
    <x v="0"/>
    <n v="3"/>
    <x v="1"/>
    <n v="0.5"/>
    <s v="C"/>
  </r>
  <r>
    <n v="1304"/>
    <x v="0"/>
    <s v="Product Determination Questions"/>
    <s v="Is this Non Sellable FERT WIP"/>
    <n v="1"/>
    <n v="0"/>
    <s v="dd: YES, NO"/>
    <s v="no, appears that blank is viable"/>
    <s v="Requestor"/>
    <m/>
    <s v="NOT in BR.xlsx"/>
    <s v="9/22/25 new field identified (FALB); _x000a_currently on WIP form, but should be on CASE (Tamara to get NIF fixed) {as of 9/25/25 the distinction of the Form Type is not included in Expert System Rules}"/>
    <s v="1304 predecessor to Planning Variant (1151) and Material Description (1127)"/>
    <m/>
    <s v="done"/>
    <s v="complete"/>
    <x v="0"/>
    <x v="0"/>
    <x v="0"/>
    <x v="0"/>
    <n v="3"/>
    <x v="2"/>
    <n v="1.5"/>
    <s v="C"/>
  </r>
  <r>
    <n v="1042"/>
    <x v="0"/>
    <s v="Other UPC Requirements"/>
    <s v="Material Prefix Description"/>
    <n v="1"/>
    <n v="28"/>
    <s v="dd: reference list: MATERIAL_PREFIX.XLSX"/>
    <s v="yes"/>
    <s v="Requestor"/>
    <m/>
    <s v="col BB"/>
    <m/>
    <s v="no known BR based on data entered"/>
    <m/>
    <s v="done"/>
    <s v="complete"/>
    <x v="0"/>
    <x v="0"/>
    <x v="0"/>
    <x v="0"/>
    <n v="3"/>
    <x v="3"/>
    <n v="1"/>
    <s v="D"/>
  </r>
  <r>
    <n v="1043"/>
    <x v="0"/>
    <s v="Other UPC Requirements"/>
    <s v="Is a Compressed UPC Required for the Components"/>
    <n v="1"/>
    <n v="28"/>
    <s v="dd: NO, POUCH, PACKAGE, BOTH"/>
    <s v="no, appears that blank is viable"/>
    <s v="Requestor"/>
    <m/>
    <s v="col BD"/>
    <s v="no defaults exist; Used when space is limited (e.g., small packages or pouches)"/>
    <s v="SAP Classification fields: PACKAGE BAR CODE TYPE, POUCH BAR CODE TYPE; no - (pkgcode=upc_a &amp; pouchcode=upc_a); pouch=(pouchcode=upc_e &amp; pkgcode=upc_a); pkg=(pkgcode=upc_e &amp; pouchcode=upc_a); both=(pkgcode=upc_e &amp; pouchcode=upc_e); Also drives how Masterfiles assigns the codes"/>
    <m/>
    <s v="done"/>
    <s v="complete"/>
    <x v="0"/>
    <x v="0"/>
    <x v="0"/>
    <x v="0"/>
    <n v="3"/>
    <x v="3"/>
    <n v="1"/>
    <s v="D"/>
  </r>
  <r>
    <n v="1044"/>
    <x v="0"/>
    <s v="Existing Printed Material Codes"/>
    <s v="Package UPC Code"/>
    <n v="1"/>
    <n v="29"/>
    <s v="free form"/>
    <s v="no"/>
    <s v="Requestor"/>
    <m/>
    <s v="col BF"/>
    <s v="CASE only"/>
    <s v="Flowchart: Build SKU / Existing Printed"/>
    <m/>
    <s v="done"/>
    <s v="complete"/>
    <x v="0"/>
    <x v="0"/>
    <x v="0"/>
    <x v="0"/>
    <n v="4"/>
    <x v="3"/>
    <n v="1"/>
    <s v="D"/>
  </r>
  <r>
    <n v="1045"/>
    <x v="0"/>
    <s v="Existing Printed Material Codes"/>
    <s v="Package K Number"/>
    <n v="1"/>
    <n v="29"/>
    <s v="free form"/>
    <s v="no"/>
    <s v="Requestor"/>
    <m/>
    <s v="col BH"/>
    <s v="CASE only"/>
    <s v="Flowchart: Build SKU / Existing Printed"/>
    <m/>
    <s v="done"/>
    <s v="complete"/>
    <x v="0"/>
    <x v="0"/>
    <x v="0"/>
    <x v="0"/>
    <n v="4"/>
    <x v="3"/>
    <n v="1"/>
    <s v="D"/>
  </r>
  <r>
    <n v="1046"/>
    <x v="0"/>
    <s v="Existing Printed Material Codes"/>
    <s v="Pouch UPC Code"/>
    <n v="1"/>
    <n v="29"/>
    <s v="free form"/>
    <s v="no"/>
    <s v="Requestor"/>
    <m/>
    <s v="col BJ"/>
    <s v="CASE only"/>
    <s v="Flowchart: Build SKU / Existing Printed"/>
    <m/>
    <s v="done"/>
    <s v="complete"/>
    <x v="0"/>
    <x v="0"/>
    <x v="0"/>
    <x v="0"/>
    <n v="4"/>
    <x v="3"/>
    <n v="1"/>
    <s v="D"/>
  </r>
  <r>
    <n v="1047"/>
    <x v="0"/>
    <s v="Existing Printed Material Codes"/>
    <s v="Pouch K Number"/>
    <n v="1"/>
    <n v="29"/>
    <s v="free form"/>
    <s v="no"/>
    <s v="Requestor"/>
    <m/>
    <s v="col BL"/>
    <s v="CASE only"/>
    <s v="Flowchart: Build SKU / Existing Printed"/>
    <m/>
    <s v="done"/>
    <s v="complete"/>
    <x v="0"/>
    <x v="0"/>
    <x v="0"/>
    <x v="0"/>
    <n v="4"/>
    <x v="3"/>
    <n v="1"/>
    <s v="D"/>
  </r>
  <r>
    <n v="1048"/>
    <x v="0"/>
    <s v="Existing Printed Material Codes"/>
    <s v="List UPC Codes If Already Assigned"/>
    <n v="1"/>
    <n v="29"/>
    <s v="free form"/>
    <s v="no"/>
    <s v="Requestor"/>
    <m/>
    <s v="NOT in BR.xlsx"/>
    <s v="CASE only"/>
    <s v="Flowchart: Build SKU / Existing Printed"/>
    <m/>
    <s v="done"/>
    <s v="complete"/>
    <x v="0"/>
    <x v="0"/>
    <x v="0"/>
    <x v="0"/>
    <n v="4"/>
    <x v="3"/>
    <n v="1"/>
    <s v="D"/>
  </r>
  <r>
    <n v="1049"/>
    <x v="0"/>
    <s v="Existing Printed Material Codes"/>
    <s v="Compressed UPC Existing"/>
    <n v="1"/>
    <n v="29"/>
    <s v="dd: NO, POUCH, PACKAGE, BOTH"/>
    <s v="no"/>
    <s v="Requestor"/>
    <m/>
    <s v="NOT in BR.xlsx"/>
    <s v="CASE only; defaulted to NO (for all form types), but can be changed"/>
    <s v="Flowchart: Build SKU / Existing Printed"/>
    <m/>
    <s v="done"/>
    <s v="complete"/>
    <x v="0"/>
    <x v="0"/>
    <x v="0"/>
    <x v="0"/>
    <n v="4"/>
    <x v="3"/>
    <n v="1"/>
    <s v="D"/>
  </r>
  <r>
    <n v="1050"/>
    <x v="0"/>
    <s v="Special Packaging Requirements"/>
    <s v="Sale Samples may be needed"/>
    <n v="1"/>
    <n v="0"/>
    <s v="dd: YES, NO"/>
    <s v="no, appears that blank is viable"/>
    <s v="Requestor"/>
    <m/>
    <s v="col BN"/>
    <s v="…not in Trng_deck.ppt; only open for US and required: STRAIGHT CASE (not Repack); DISPLAY &amp; WIP is locked/blank"/>
    <s v="Tech name: [Sales_Sample_Question]; 1050 predecessor to &quot;additional pkg for launch&quot; (1053); "/>
    <m/>
    <s v="done"/>
    <s v="complete"/>
    <x v="0"/>
    <x v="0"/>
    <x v="0"/>
    <x v="0"/>
    <n v="4"/>
    <x v="1"/>
    <n v="0.5"/>
    <s v="D"/>
  </r>
  <r>
    <n v="1051"/>
    <x v="0"/>
    <s v="UPC Table"/>
    <s v="Unique UPC"/>
    <n v="0"/>
    <n v="29"/>
    <s v="autofill"/>
    <s v="no"/>
    <s v="Requestor"/>
    <m/>
    <m/>
    <s v="This section corresponds to the Setup Type that has been chosen, and will show you the UPC requirements._x000a_Not sure how this section gets triggered to pull in the correct data (as I can't seem to find it in the NIF Rules.docx).  Maybe from the RDL: ALT_UOM {Alternate Unit Of Meaure table}"/>
    <s v="(only displays for the requestor to review if the levels of the packaging look correct: ie is there a pouch level, if needed);  no need to put in AI BOT: unless there is a way to pull the table from the NIF Evolve business rules automatically"/>
    <m/>
    <s v="done"/>
    <s v="complete"/>
    <x v="0"/>
    <x v="0"/>
    <x v="0"/>
    <x v="0"/>
    <n v="9"/>
    <x v="0"/>
    <n v="0"/>
    <s v="E"/>
  </r>
  <r>
    <n v="1052"/>
    <x v="0"/>
    <s v="List Existing K Numbers"/>
    <s v="List Any Existing Knumbers That Will Be Used"/>
    <n v="1"/>
    <n v="30"/>
    <s v="free form"/>
    <s v="no"/>
    <s v="Requestor"/>
    <m/>
    <s v="NOT in BR.xlsx"/>
    <m/>
    <s v="no known BR based on data entered"/>
    <m/>
    <s v="done"/>
    <s v="complete"/>
    <x v="0"/>
    <x v="0"/>
    <x v="0"/>
    <x v="0"/>
    <n v="4"/>
    <x v="3"/>
    <n v="1"/>
    <s v="D"/>
  </r>
  <r>
    <n v="1053"/>
    <x v="0"/>
    <s v="Special Packaging Requirements"/>
    <s v="Additional Packaging for Launch"/>
    <n v="1"/>
    <s v="30, 47, 56, 113"/>
    <s v="dd: reference list: ADDITIONAL_PACKAGING_LAUNCH.XLSX"/>
    <s v="conditional"/>
    <s v="Requestor"/>
    <s v="Masterfiles"/>
    <s v="col BP"/>
    <s v="Multiple rows possible."/>
    <s v="Tech name: [Special_Launch_Selection]; 1053 dependent on 1050; open for all Form Type=CASE, not required; not DISPLAY or WIP; if &quot;Sale Samples may be needed&quot; (1050)=yes, set 1053 to &quot;Sales Sample Package K number 999 Variant (KXXXXXX999)&quot;; "/>
    <m/>
    <s v="done"/>
    <s v="complete"/>
    <x v="0"/>
    <x v="0"/>
    <x v="0"/>
    <x v="0"/>
    <n v="4"/>
    <x v="3"/>
    <n v="1"/>
    <s v="D"/>
  </r>
  <r>
    <n v="1054"/>
    <x v="1"/>
    <s v="Priority"/>
    <s v="Priority"/>
    <n v="1"/>
    <n v="31"/>
    <s v="radio button: NORMAL, CBP, URGENT"/>
    <m/>
    <s v="LIM"/>
    <m/>
    <m/>
    <s v="used for naming NIF form"/>
    <m/>
    <m/>
    <s v="upcoming"/>
    <s v="current"/>
    <x v="1"/>
    <x v="1"/>
    <x v="2"/>
    <x v="2"/>
    <m/>
    <x v="1"/>
    <n v="0.5"/>
    <s v="F"/>
  </r>
  <r>
    <n v="1055"/>
    <x v="1"/>
    <s v="Packaging Tech Assignment"/>
    <s v="Select Packaging Tech Assignment"/>
    <n v="1"/>
    <s v="32, 61"/>
    <s v="radio button: BPS, Menasha/12 Associates, Canada VAS"/>
    <m/>
    <s v="LIM"/>
    <m/>
    <m/>
    <m/>
    <m/>
    <m/>
    <s v="upcoming"/>
    <s v="current"/>
    <x v="1"/>
    <x v="1"/>
    <x v="2"/>
    <x v="2"/>
    <m/>
    <x v="1"/>
    <n v="0.5"/>
    <s v="F"/>
  </r>
  <r>
    <n v="1056"/>
    <x v="1"/>
    <s v="Person Responsible"/>
    <s v="Masterfiles"/>
    <n v="1"/>
    <s v="32, 61"/>
    <s v="dd: user roles"/>
    <m/>
    <s v="LIM"/>
    <m/>
    <m/>
    <m/>
    <m/>
    <m/>
    <s v="upcoming"/>
    <s v="current"/>
    <x v="1"/>
    <x v="1"/>
    <x v="2"/>
    <x v="2"/>
    <m/>
    <x v="1"/>
    <n v="0.5"/>
    <s v="F"/>
  </r>
  <r>
    <n v="1057"/>
    <x v="1"/>
    <s v="Person Responsible"/>
    <s v="EPM Finance"/>
    <n v="1"/>
    <s v="32, 61"/>
    <s v="dd: user roles"/>
    <m/>
    <s v="LIM"/>
    <m/>
    <m/>
    <m/>
    <m/>
    <m/>
    <s v="upcoming"/>
    <s v="current"/>
    <x v="1"/>
    <x v="1"/>
    <x v="2"/>
    <x v="2"/>
    <m/>
    <x v="1"/>
    <n v="0.5"/>
    <s v="F"/>
  </r>
  <r>
    <n v="1058"/>
    <x v="1"/>
    <s v="Person Responsible"/>
    <s v="Data Integrity"/>
    <n v="1"/>
    <s v="32, 61"/>
    <s v="dd: user roles"/>
    <m/>
    <s v="LIM"/>
    <m/>
    <m/>
    <m/>
    <m/>
    <m/>
    <s v="upcoming"/>
    <s v="current"/>
    <x v="1"/>
    <x v="1"/>
    <x v="2"/>
    <x v="2"/>
    <m/>
    <x v="1"/>
    <n v="0.5"/>
    <s v="F"/>
  </r>
  <r>
    <n v="1059"/>
    <x v="1"/>
    <s v="Person Responsible"/>
    <s v="Data Integrity (CA)"/>
    <n v="1"/>
    <s v="32, 61"/>
    <s v="dd: user roles"/>
    <m/>
    <s v="LIM"/>
    <m/>
    <m/>
    <m/>
    <m/>
    <m/>
    <s v="upcoming"/>
    <s v="current"/>
    <x v="1"/>
    <x v="1"/>
    <x v="2"/>
    <x v="2"/>
    <m/>
    <x v="1"/>
    <n v="0.5"/>
    <s v="F"/>
  </r>
  <r>
    <n v="1060"/>
    <x v="1"/>
    <s v="Person Responsible"/>
    <s v="R&amp;D Quality"/>
    <n v="1"/>
    <s v="32, 61"/>
    <s v="dd: user roles"/>
    <m/>
    <s v="LIM"/>
    <m/>
    <m/>
    <m/>
    <m/>
    <m/>
    <s v="upcoming"/>
    <s v="current"/>
    <x v="1"/>
    <x v="1"/>
    <x v="2"/>
    <x v="2"/>
    <m/>
    <x v="1"/>
    <n v="0.5"/>
    <s v="F"/>
  </r>
  <r>
    <n v="1061"/>
    <x v="1"/>
    <s v="Person Responsible"/>
    <s v="Nutrition Labeling"/>
    <n v="1"/>
    <s v="32, 61"/>
    <s v="dd: user roles"/>
    <m/>
    <s v="LIM"/>
    <m/>
    <m/>
    <m/>
    <m/>
    <m/>
    <s v="upcoming"/>
    <s v="current"/>
    <x v="1"/>
    <x v="1"/>
    <x v="2"/>
    <x v="2"/>
    <m/>
    <x v="1"/>
    <n v="0.5"/>
    <s v="F"/>
  </r>
  <r>
    <n v="1062"/>
    <x v="1"/>
    <s v="Person Responsible"/>
    <s v="Packaging Tech (Engineer)"/>
    <n v="1"/>
    <s v="32, 61"/>
    <s v="dd: user roles"/>
    <m/>
    <s v="LIM"/>
    <m/>
    <m/>
    <m/>
    <m/>
    <m/>
    <s v="upcoming"/>
    <s v="current"/>
    <x v="1"/>
    <x v="1"/>
    <x v="2"/>
    <x v="2"/>
    <m/>
    <x v="1"/>
    <n v="0.5"/>
    <s v="F"/>
  </r>
  <r>
    <n v="1063"/>
    <x v="1"/>
    <s v="Person Responsible"/>
    <s v="Category Finance"/>
    <n v="1"/>
    <s v="32, 61"/>
    <s v="dd: user roles"/>
    <m/>
    <s v="LIM"/>
    <m/>
    <m/>
    <m/>
    <m/>
    <m/>
    <s v="upcoming"/>
    <s v="current"/>
    <x v="1"/>
    <x v="1"/>
    <x v="2"/>
    <x v="2"/>
    <m/>
    <x v="1"/>
    <n v="0.5"/>
    <s v="F"/>
  </r>
  <r>
    <n v="1064"/>
    <x v="1"/>
    <s v="Person Responsible"/>
    <s v="Packaging Tech (BPS)"/>
    <n v="1"/>
    <s v="32, 61"/>
    <s v="dd: user roles"/>
    <m/>
    <s v="LIM"/>
    <m/>
    <m/>
    <m/>
    <m/>
    <m/>
    <s v="upcoming"/>
    <s v="current"/>
    <x v="1"/>
    <x v="1"/>
    <x v="2"/>
    <x v="2"/>
    <m/>
    <x v="1"/>
    <n v="0.5"/>
    <s v="F"/>
  </r>
  <r>
    <n v="1065"/>
    <x v="1"/>
    <s v="Person Responsible"/>
    <s v="Packaging Tech (Menasha)"/>
    <n v="1"/>
    <s v="32, 61"/>
    <s v="dd: user roles"/>
    <m/>
    <s v="LIM"/>
    <m/>
    <m/>
    <m/>
    <m/>
    <m/>
    <s v="upcoming"/>
    <s v="current"/>
    <x v="1"/>
    <x v="1"/>
    <x v="2"/>
    <x v="2"/>
    <m/>
    <x v="1"/>
    <n v="0.5"/>
    <s v="F"/>
  </r>
  <r>
    <n v="1066"/>
    <x v="1"/>
    <s v="Person Responsible"/>
    <s v="Packaging Tech (Canada VAS)"/>
    <n v="1"/>
    <s v="32, 61"/>
    <s v="dd: user roles"/>
    <m/>
    <s v="LIM"/>
    <m/>
    <m/>
    <m/>
    <m/>
    <m/>
    <s v="upcoming"/>
    <s v="current"/>
    <x v="1"/>
    <x v="1"/>
    <x v="2"/>
    <x v="2"/>
    <m/>
    <x v="1"/>
    <n v="0.5"/>
    <s v="F"/>
  </r>
  <r>
    <n v="1067"/>
    <x v="1"/>
    <s v="Product Setup"/>
    <s v="Supply Chain Budget Forecast SKU"/>
    <n v="1"/>
    <n v="33"/>
    <s v="dd: YES, NO"/>
    <m/>
    <s v="LIM"/>
    <m/>
    <m/>
    <s v="CASE only (not DISPLAY or WIP)"/>
    <s v="1067 predecessor to 1083-1097; if YES opens 1083+, if NO then skips Forecast section"/>
    <m/>
    <s v="code rules"/>
    <s v="current"/>
    <x v="1"/>
    <x v="1"/>
    <x v="2"/>
    <x v="2"/>
    <m/>
    <x v="3"/>
    <n v="1"/>
    <s v="F"/>
  </r>
  <r>
    <n v="1068"/>
    <x v="1"/>
    <s v="(buttons) Returns"/>
    <s v="(LIM Initial) Return Comments"/>
    <n v="1"/>
    <n v="36"/>
    <s v="free form"/>
    <m/>
    <s v="LIM"/>
    <m/>
    <m/>
    <m/>
    <m/>
    <m/>
    <s v="upcoming"/>
    <s v="current"/>
    <x v="1"/>
    <x v="1"/>
    <x v="2"/>
    <x v="2"/>
    <m/>
    <x v="1"/>
    <n v="0.5"/>
    <s v="F"/>
  </r>
  <r>
    <n v="1069"/>
    <x v="2"/>
    <s v="LIM REPORT section"/>
    <s v="5 export (buttons)"/>
    <n v="1"/>
    <s v="37-41"/>
    <s v="export buttons"/>
    <m/>
    <s v="LIM"/>
    <m/>
    <m/>
    <s v="read only form for exporting data to Excel"/>
    <m/>
    <m/>
    <s v="upcoming"/>
    <s v="future"/>
    <x v="2"/>
    <x v="2"/>
    <x v="3"/>
    <x v="3"/>
    <m/>
    <x v="1"/>
    <n v="0.5"/>
    <s v="H"/>
  </r>
  <r>
    <n v="1070"/>
    <x v="3"/>
    <s v="Material Number"/>
    <s v="Material Number"/>
    <n v="1"/>
    <s v="45, 56"/>
    <s v="free form"/>
    <m/>
    <s v="Masterfiles"/>
    <m/>
    <m/>
    <s v="(field 1013 is same but view only)"/>
    <s v="no known BR based on data entered"/>
    <m/>
    <s v="pending"/>
    <s v="early"/>
    <x v="3"/>
    <x v="3"/>
    <x v="3"/>
    <x v="3"/>
    <m/>
    <x v="1"/>
    <n v="0.5"/>
    <s v="H"/>
  </r>
  <r>
    <n v="1072"/>
    <x v="3"/>
    <s v="UPC, K#, and GTIN Codes"/>
    <s v="UPC #"/>
    <n v="1"/>
    <s v="47, 56, 113"/>
    <s v="free form"/>
    <m/>
    <s v="Masterfiles"/>
    <m/>
    <m/>
    <s v="rows of data: 4 (CS, PKG, LYR, UL);  PCH"/>
    <m/>
    <m/>
    <s v="upcoming"/>
    <s v="future"/>
    <x v="3"/>
    <x v="3"/>
    <x v="3"/>
    <x v="3"/>
    <m/>
    <x v="1"/>
    <n v="0.5"/>
    <s v="H"/>
  </r>
  <r>
    <n v="1073"/>
    <x v="3"/>
    <s v="UPC, K#, and GTIN Codes"/>
    <s v="K #"/>
    <n v="1"/>
    <s v="47, 56, 113"/>
    <s v="free form"/>
    <m/>
    <s v="Masterfiles"/>
    <m/>
    <m/>
    <s v="rows of data: 4 (CS, PKG, LYR, UL);  PCH"/>
    <m/>
    <m/>
    <s v="upcoming"/>
    <s v="future"/>
    <x v="3"/>
    <x v="3"/>
    <x v="3"/>
    <x v="3"/>
    <m/>
    <x v="1"/>
    <n v="0.5"/>
    <s v="H"/>
  </r>
  <r>
    <n v="1074"/>
    <x v="3"/>
    <s v="UPC, K#, and GTIN Codes"/>
    <s v="Ct"/>
    <n v="0"/>
    <n v="113"/>
    <s v="autofill"/>
    <m/>
    <s v="Masterfiles"/>
    <m/>
    <m/>
    <s v="value appears to be ZU; need to verify; &quot;EAN Cat&quot; "/>
    <m/>
    <m/>
    <s v="upcoming"/>
    <s v="future"/>
    <x v="3"/>
    <x v="3"/>
    <x v="3"/>
    <x v="3"/>
    <m/>
    <x v="0"/>
    <n v="0"/>
    <s v="H"/>
  </r>
  <r>
    <n v="1075"/>
    <x v="3"/>
    <s v="UPC, K#, and GTIN Codes"/>
    <s v="UPC Required"/>
    <n v="0"/>
    <s v="47, 56, 113"/>
    <s v="autofill"/>
    <m/>
    <s v="Masterfiles"/>
    <m/>
    <m/>
    <m/>
    <m/>
    <m/>
    <s v="upcoming"/>
    <s v="future"/>
    <x v="3"/>
    <x v="3"/>
    <x v="3"/>
    <x v="3"/>
    <m/>
    <x v="0"/>
    <n v="0"/>
    <s v="H"/>
  </r>
  <r>
    <n v="1076"/>
    <x v="3"/>
    <s v="UPC, K#, and GTIN Codes"/>
    <s v="Unique or Same UPC"/>
    <n v="0"/>
    <s v="47, 56, 113"/>
    <s v="autofill"/>
    <m/>
    <s v="Masterfiles"/>
    <m/>
    <m/>
    <m/>
    <m/>
    <m/>
    <s v="upcoming"/>
    <s v="future"/>
    <x v="3"/>
    <x v="3"/>
    <x v="3"/>
    <x v="3"/>
    <m/>
    <x v="0"/>
    <n v="0"/>
    <s v="H"/>
  </r>
  <r>
    <n v="1077"/>
    <x v="3"/>
    <s v="UPC, K#, and GTIN Codes"/>
    <s v="GTIN Number"/>
    <n v="1"/>
    <s v="47, 56, 113"/>
    <s v="free form"/>
    <m/>
    <s v="Masterfiles"/>
    <m/>
    <m/>
    <s v="rows of data: 4 (CS, PKG, LYR, UL);  PCH"/>
    <m/>
    <m/>
    <s v="upcoming"/>
    <s v="future"/>
    <x v="3"/>
    <x v="3"/>
    <x v="3"/>
    <x v="3"/>
    <m/>
    <x v="1"/>
    <n v="0.5"/>
    <s v="H"/>
  </r>
  <r>
    <n v="1078"/>
    <x v="3"/>
    <s v="UPC, K#, and GTIN Codes"/>
    <s v="GTIN Required"/>
    <n v="0"/>
    <s v="47, 56, 113"/>
    <s v="autofill"/>
    <m/>
    <s v="Masterfiles"/>
    <m/>
    <m/>
    <m/>
    <m/>
    <m/>
    <s v="upcoming"/>
    <s v="future"/>
    <x v="3"/>
    <x v="3"/>
    <x v="3"/>
    <x v="3"/>
    <m/>
    <x v="0"/>
    <n v="0"/>
    <s v="H"/>
  </r>
  <r>
    <n v="1079"/>
    <x v="3"/>
    <s v="UPC, K#, and GTIN Codes"/>
    <s v="GTIN Prefix"/>
    <n v="0"/>
    <s v="47, 56, 113"/>
    <s v="autofill"/>
    <m/>
    <s v="Masterfiles"/>
    <m/>
    <m/>
    <m/>
    <m/>
    <m/>
    <s v="upcoming"/>
    <s v="future"/>
    <x v="3"/>
    <x v="3"/>
    <x v="3"/>
    <x v="3"/>
    <m/>
    <x v="0"/>
    <n v="0"/>
    <s v="H"/>
  </r>
  <r>
    <n v="1080"/>
    <x v="3"/>
    <s v="UPC, K#, and GTIN Codes"/>
    <s v="Unique or Same GTIN"/>
    <n v="0"/>
    <s v="47, 56, 113"/>
    <s v="autofill"/>
    <m/>
    <s v="Masterfiles"/>
    <m/>
    <m/>
    <m/>
    <m/>
    <m/>
    <s v="upcoming"/>
    <s v="future"/>
    <x v="3"/>
    <x v="3"/>
    <x v="3"/>
    <x v="3"/>
    <m/>
    <x v="0"/>
    <n v="0"/>
    <s v="H"/>
  </r>
  <r>
    <n v="1081"/>
    <x v="3"/>
    <s v="UPC, K#, and GTIN Codes"/>
    <s v="Special Launch K Number"/>
    <n v="1"/>
    <s v="30, 47, 56, 113"/>
    <s v="free form"/>
    <m/>
    <s v="Masterfiles"/>
    <m/>
    <m/>
    <s v="Multiple rows possible."/>
    <m/>
    <m/>
    <s v="pending"/>
    <s v="future"/>
    <x v="3"/>
    <x v="3"/>
    <x v="3"/>
    <x v="3"/>
    <m/>
    <x v="1"/>
    <n v="0.5"/>
    <s v="H"/>
  </r>
  <r>
    <n v="1082"/>
    <x v="3"/>
    <s v="(buttons) Returns"/>
    <s v="(MF Get Codes) Return Comments"/>
    <n v="1"/>
    <n v="47"/>
    <s v="free form"/>
    <m/>
    <s v="Masterfiles"/>
    <m/>
    <m/>
    <m/>
    <m/>
    <m/>
    <s v="upcoming"/>
    <s v="future"/>
    <x v="3"/>
    <x v="3"/>
    <x v="3"/>
    <x v="3"/>
    <m/>
    <x v="1"/>
    <n v="0.5"/>
    <s v="H"/>
  </r>
  <r>
    <n v="1083"/>
    <x v="4"/>
    <s v="Forecast SKU Requirements"/>
    <s v="MFG Company"/>
    <n v="0"/>
    <n v="51"/>
    <s v="dd: reference list: PRL: Manufacturing Company"/>
    <s v="yes"/>
    <s v="LIM"/>
    <m/>
    <m/>
    <s v="LIM approval to setup Forecast sku; SAP Classification-Manufacturer Company"/>
    <s v="1083 dependent on 1107 Brand"/>
    <m/>
    <s v="done"/>
    <s v="complete"/>
    <x v="4"/>
    <x v="4"/>
    <x v="0"/>
    <x v="0"/>
    <m/>
    <x v="0"/>
    <n v="0"/>
    <s v="E"/>
  </r>
  <r>
    <n v="1084"/>
    <x v="4"/>
    <s v="Forecast SKU Requirements"/>
    <s v="Material Group"/>
    <n v="1"/>
    <s v="51, 74"/>
    <s v="dd: reference list: PRL: Material Group"/>
    <s v="yes"/>
    <s v="LIM"/>
    <s v="Requestor"/>
    <m/>
    <m/>
    <s v="if Product Type=BUNDLE (DTC) then MATERIAL Group=REPACK; otherwise select from dd"/>
    <m/>
    <s v="done"/>
    <s v="complete"/>
    <x v="4"/>
    <x v="4"/>
    <x v="0"/>
    <x v="0"/>
    <n v="5"/>
    <x v="3"/>
    <n v="1"/>
    <s v="E"/>
  </r>
  <r>
    <n v="1085"/>
    <x v="4"/>
    <s v="Forecast SKU Requirements"/>
    <s v="External Material Group"/>
    <n v="1"/>
    <s v="51, 74, 105"/>
    <s v="dd: reference list: PRL: External Material Group"/>
    <s v="yes"/>
    <s v="LIM"/>
    <s v="Requestor, CA Finance Tax"/>
    <m/>
    <s v="Bev - check w/TT regarding specific wording in drop down (not part of RDL list)"/>
    <s v="1085 dependent on where CHANNEL=:  AFH/Specialty (1033), Canada (1008), Export (1034), CLUB, RX- where there is a subselection of the list for these areas; otherwise it shows RETAIL choices"/>
    <m/>
    <s v="done"/>
    <s v="complete"/>
    <x v="4"/>
    <x v="4"/>
    <x v="0"/>
    <x v="0"/>
    <n v="5"/>
    <x v="3"/>
    <n v="1"/>
    <s v="E"/>
  </r>
  <r>
    <n v="1086"/>
    <x v="4"/>
    <s v="Forecast SKU Requirements"/>
    <s v="Estimated Standard Cost"/>
    <n v="1"/>
    <s v="51, 107"/>
    <s v="free form"/>
    <s v="yes"/>
    <s v="LIM"/>
    <s v="Category Finance"/>
    <m/>
    <m/>
    <s v="no Business Rules, numbers and decimals only"/>
    <m/>
    <s v="done"/>
    <s v="complete"/>
    <x v="4"/>
    <x v="4"/>
    <x v="0"/>
    <x v="0"/>
    <m/>
    <x v="1"/>
    <n v="0.5"/>
    <s v="E"/>
  </r>
  <r>
    <n v="1155"/>
    <x v="5"/>
    <s v="Product Details"/>
    <s v="Specialty Channels Field Category"/>
    <n v="1"/>
    <s v="(not on pg 51), 74"/>
    <s v="dd: reference list: PRL: KSC Field Category"/>
    <s v="yes"/>
    <s v="Requestor"/>
    <m/>
    <m/>
    <s v="9/24/25 - in NIF PROD this field is on the LIM - Forecast Approval training section"/>
    <s v="no known BR based on data entered"/>
    <m/>
    <s v="done"/>
    <s v="complete"/>
    <x v="5"/>
    <x v="5"/>
    <x v="0"/>
    <x v="0"/>
    <n v="5"/>
    <x v="1"/>
    <n v="0.5"/>
    <s v="E"/>
  </r>
  <r>
    <n v="1087"/>
    <x v="4"/>
    <s v="Forecast SKU Requirements"/>
    <s v="Red K Price"/>
    <n v="1"/>
    <n v="51"/>
    <s v="free form"/>
    <s v="yes"/>
    <s v="LIM"/>
    <m/>
    <m/>
    <s v="Tamara to test - Canada_x000a_9/26/25 - Query not included in Expert System Rules"/>
    <s v="numbers and decimals; runs query_tax_classification query (what does this do"/>
    <m/>
    <s v="done"/>
    <s v="last week"/>
    <x v="4"/>
    <x v="4"/>
    <x v="0"/>
    <x v="0"/>
    <m/>
    <x v="1"/>
    <n v="0.5"/>
    <s v="E"/>
  </r>
  <r>
    <n v="1088"/>
    <x v="4"/>
    <s v="Forecast SKU Requirements"/>
    <s v="Material Prefix"/>
    <n v="0"/>
    <n v="51"/>
    <s v="autofill"/>
    <m/>
    <s v="LIM"/>
    <m/>
    <m/>
    <s v="based off SUB-TYPE DESCRIPTION"/>
    <s v="display only - duplicate of Material Prefix Description (1042)"/>
    <m/>
    <s v="done"/>
    <s v="complete"/>
    <x v="4"/>
    <x v="4"/>
    <x v="0"/>
    <x v="0"/>
    <m/>
    <x v="0"/>
    <n v="0"/>
    <s v="E"/>
  </r>
  <r>
    <n v="1089"/>
    <x v="4"/>
    <s v="Forecast SKU Requirements"/>
    <s v="Transportation Group"/>
    <n v="1"/>
    <s v="51, 80"/>
    <s v="dd: reference list: PRL: Transportation Group"/>
    <s v="yes"/>
    <s v="LIM"/>
    <m/>
    <m/>
    <m/>
    <s v="no known BR based on data entered"/>
    <m/>
    <s v="done"/>
    <s v="complete"/>
    <x v="4"/>
    <x v="4"/>
    <x v="0"/>
    <x v="0"/>
    <m/>
    <x v="3"/>
    <n v="1"/>
    <s v="E"/>
  </r>
  <r>
    <n v="1090"/>
    <x v="4"/>
    <s v="Forecast SKU Requirements"/>
    <s v="Net Case Weight"/>
    <n v="1"/>
    <n v="51"/>
    <s v="free form"/>
    <s v="yes"/>
    <s v="LIM"/>
    <m/>
    <m/>
    <m/>
    <s v="1090 predecessor to: If US then Imperial (1092) is required and Metric (1091) is open but not required, otherwise if NOT-US then Metric is required and Imperial is open but not required"/>
    <m/>
    <s v="done"/>
    <s v="complete"/>
    <x v="4"/>
    <x v="4"/>
    <x v="0"/>
    <x v="0"/>
    <m/>
    <x v="1"/>
    <n v="0.5"/>
    <s v="E"/>
  </r>
  <r>
    <n v="1091"/>
    <x v="4"/>
    <s v="Forecast SKU Requirements"/>
    <s v="Metric Stated Net Pkg Wt"/>
    <n v="1"/>
    <n v="51"/>
    <s v="free form"/>
    <s v="conditional"/>
    <s v="LIM"/>
    <m/>
    <m/>
    <m/>
    <s v="1091 dependent on 1090"/>
    <m/>
    <s v="done"/>
    <s v="complete"/>
    <x v="4"/>
    <x v="4"/>
    <x v="0"/>
    <x v="0"/>
    <m/>
    <x v="1"/>
    <n v="0.5"/>
    <s v="E"/>
  </r>
  <r>
    <n v="1092"/>
    <x v="4"/>
    <s v="Forecast SKU Requirements"/>
    <s v="Imperial Stated Net Pkg Wt"/>
    <n v="1"/>
    <n v="51"/>
    <s v="free form"/>
    <s v="conditional"/>
    <s v="LIM"/>
    <m/>
    <m/>
    <m/>
    <s v="1092 dependent on 1090"/>
    <m/>
    <s v="done"/>
    <s v="complete"/>
    <x v="4"/>
    <x v="4"/>
    <x v="0"/>
    <x v="0"/>
    <m/>
    <x v="1"/>
    <n v="0.5"/>
    <s v="E"/>
  </r>
  <r>
    <n v="1093"/>
    <x v="4"/>
    <s v="Forecast SKU Requirements"/>
    <s v="Country Sold In"/>
    <n v="1"/>
    <s v="51, 76"/>
    <s v="dd: reference list: COUNTRY (not in RDL or PRL)"/>
    <s v="yes"/>
    <s v="LIM"/>
    <s v="Requestor"/>
    <m/>
    <s v="Multiple rows possible._x000a_9/29/25 - DataSync would like this to only be one answer, as it causes issues otherwise. (not yet in NIF code)"/>
    <s v="9/29/25 - did not code: if AA then change to US (might be because Jon put US at the top of the list with the AA); _x000a_no other business rules"/>
    <m/>
    <s v="done"/>
    <s v="complete"/>
    <x v="4"/>
    <x v="4"/>
    <x v="0"/>
    <x v="0"/>
    <n v="6"/>
    <x v="3"/>
    <n v="1"/>
    <s v="E"/>
  </r>
  <r>
    <n v="1094"/>
    <x v="4"/>
    <s v="Forecast SKU Requirements"/>
    <s v="Location"/>
    <n v="1"/>
    <s v="51, 81"/>
    <s v="dd: reference list: ZMMU table (not in RDL or PRL)"/>
    <s v="yes"/>
    <s v="LIM"/>
    <m/>
    <m/>
    <s v="Multiple rows possible."/>
    <s v="1094 predecessor to 1095 populates from ref list; if VAS=yes, then In/Out required"/>
    <m/>
    <s v="done"/>
    <s v="complete"/>
    <x v="4"/>
    <x v="4"/>
    <x v="0"/>
    <x v="0"/>
    <m/>
    <x v="3"/>
    <n v="1"/>
    <s v="E"/>
  </r>
  <r>
    <n v="1095"/>
    <x v="4"/>
    <s v="Forecast SKU Requirements"/>
    <s v="Location Description"/>
    <n v="0"/>
    <s v="51, 81"/>
    <s v="autofill"/>
    <s v="no"/>
    <s v="LIM"/>
    <m/>
    <m/>
    <s v="Multiple rows possible."/>
    <s v="1095 dependent on 1094"/>
    <m/>
    <s v="done"/>
    <s v="complete"/>
    <x v="4"/>
    <x v="4"/>
    <x v="0"/>
    <x v="0"/>
    <m/>
    <x v="0"/>
    <n v="0"/>
    <s v="E"/>
  </r>
  <r>
    <n v="1096"/>
    <x v="4"/>
    <s v="Forecast SKU Requirements"/>
    <s v="Inbound or Outbound"/>
    <n v="1"/>
    <s v="51, 81"/>
    <s v="dd: INBOUND, OUTBOUND"/>
    <s v="yes"/>
    <s v="LIM"/>
    <m/>
    <m/>
    <s v="Multiple rows possible."/>
    <s v="If VAS=yes, then required"/>
    <m/>
    <s v="done"/>
    <s v="complete"/>
    <x v="4"/>
    <x v="4"/>
    <x v="0"/>
    <x v="0"/>
    <m/>
    <x v="1"/>
    <n v="0.5"/>
    <s v="E"/>
  </r>
  <r>
    <n v="1097"/>
    <x v="4"/>
    <s v="Forecast SKU Requirements"/>
    <s v="Kellogg Owned/Not Owned (Coman)"/>
    <n v="1"/>
    <s v="51, 81"/>
    <s v="dd: KELLOGG OWNED, NOT OWNED (COMAN)"/>
    <s v="no"/>
    <s v="LIM"/>
    <m/>
    <m/>
    <s v="Multiple rows possible."/>
    <s v="no known BR based on data entered"/>
    <m/>
    <s v="done"/>
    <s v="complete"/>
    <x v="4"/>
    <x v="4"/>
    <x v="0"/>
    <x v="0"/>
    <m/>
    <x v="1"/>
    <n v="0.5"/>
    <s v="E"/>
  </r>
  <r>
    <n v="1098"/>
    <x v="4"/>
    <s v="Fields Used for Material Description"/>
    <s v="Flavor"/>
    <n v="1"/>
    <s v="51, 76, 81"/>
    <s v="dd: reference list: PRL: Flavor"/>
    <s v="yes"/>
    <s v="LIM"/>
    <s v="Requestor"/>
    <m/>
    <s v="9/28/25 - did not code flavor abbreviation; pull in at Material Description field"/>
    <s v="Flavor_Abbrv from ref list;"/>
    <m/>
    <s v="done"/>
    <s v="complete"/>
    <x v="4"/>
    <x v="4"/>
    <x v="0"/>
    <x v="0"/>
    <n v="6"/>
    <x v="3"/>
    <n v="1"/>
    <s v="E"/>
  </r>
  <r>
    <n v="1099"/>
    <x v="4"/>
    <s v="Fields Used for Material Description"/>
    <s v="Food Form"/>
    <n v="1"/>
    <s v="51, 76, 81, 94"/>
    <s v="dd: reference list: PRL: Food Form"/>
    <s v="yes"/>
    <s v="LIM"/>
    <s v="Requestor, Nutrition Labeling"/>
    <m/>
    <s v="9/28/25 - did not code food form abbreviation; pull in at Material Description field"/>
    <s v="1099 predecessor to 1173; gets the Food_Form_Abbrv from ref list; "/>
    <m/>
    <s v="done"/>
    <s v="complete"/>
    <x v="4"/>
    <x v="4"/>
    <x v="0"/>
    <x v="0"/>
    <n v="6"/>
    <x v="3"/>
    <n v="1"/>
    <s v="E"/>
  </r>
  <r>
    <n v="1100"/>
    <x v="4"/>
    <s v="Fields Used for Material Description"/>
    <s v="Sub-Food Form"/>
    <n v="1"/>
    <s v="51, 76, 81"/>
    <s v="dd: reference list: PRL: Sub Food Form"/>
    <s v="open not req"/>
    <s v="LIM"/>
    <s v="Requestor"/>
    <m/>
    <m/>
    <s v="no known BR based on data entered"/>
    <m/>
    <s v="done"/>
    <s v="complete"/>
    <x v="4"/>
    <x v="4"/>
    <x v="0"/>
    <x v="0"/>
    <n v="6"/>
    <x v="3"/>
    <n v="1"/>
    <s v="E"/>
  </r>
  <r>
    <n v="1101"/>
    <x v="4"/>
    <s v="Product Hierarchy-Brand"/>
    <s v="Material Segment Description"/>
    <n v="0"/>
    <n v="51"/>
    <s v="dd: reference list: PRL: Product Hierarchy Market Segment"/>
    <s v="yes"/>
    <s v="LIM"/>
    <m/>
    <m/>
    <s v="based off BRAND DESCRIPTION"/>
    <s v="no known BR based on data entered"/>
    <m/>
    <s v="done"/>
    <s v="complete"/>
    <x v="4"/>
    <x v="4"/>
    <x v="0"/>
    <x v="0"/>
    <m/>
    <x v="0"/>
    <n v="0"/>
    <s v="E"/>
  </r>
  <r>
    <n v="1102"/>
    <x v="4"/>
    <s v="Product Hierarchy-Brand"/>
    <s v="Material Segment #"/>
    <n v="0"/>
    <n v="51"/>
    <s v="dd: reference list: PRL: Product Hierarchy Market Segment"/>
    <s v="yes"/>
    <s v="LIM"/>
    <m/>
    <m/>
    <s v="based off BRAND DESCRIPTION"/>
    <s v="move these rules to the proper field:_x000a_if CA &amp; VAS=yes, BOM_plant=1460; _x000a_if US &amp; VAS=yes &amp; Pringles=no, BOM_plant=1485; _x000a_if US &amp;VAS=yes &amp; Pringles=yes, BOM_plant=1409;_x000a_if US &amp; VAS=yes &amp; Form_type=Case, BOM_plant=1485;_x000a_PH1_Material_Segment=40 &amp; VAS=yes, BOM_plant=1724;"/>
    <m/>
    <s v="done"/>
    <s v="last week"/>
    <x v="4"/>
    <x v="4"/>
    <x v="0"/>
    <x v="0"/>
    <m/>
    <x v="0"/>
    <n v="0"/>
    <s v="E"/>
  </r>
  <r>
    <n v="1103"/>
    <x v="4"/>
    <s v="Product Hierarchy-Brand"/>
    <s v="Category Description"/>
    <n v="0"/>
    <n v="51"/>
    <s v="dd: reference list: PRL: Product Hierarchy Market Category"/>
    <s v="yes"/>
    <s v="LIM"/>
    <m/>
    <m/>
    <s v="based off BRAND DESCRIPTION"/>
    <s v="no known BR based on data entered"/>
    <m/>
    <s v="done"/>
    <s v="complete"/>
    <x v="4"/>
    <x v="4"/>
    <x v="0"/>
    <x v="0"/>
    <m/>
    <x v="0"/>
    <n v="0"/>
    <s v="E"/>
  </r>
  <r>
    <n v="1104"/>
    <x v="4"/>
    <s v="Product Hierarchy-Brand"/>
    <s v="Category #"/>
    <n v="0"/>
    <n v="51"/>
    <s v="dd: reference list: PRL: Product Hierarchy Market Category"/>
    <s v="yes"/>
    <s v="LIM"/>
    <m/>
    <m/>
    <s v="based off BRAND DESCRIPTION"/>
    <s v="no known BR based on data entered"/>
    <m/>
    <s v="done"/>
    <s v="complete"/>
    <x v="4"/>
    <x v="4"/>
    <x v="0"/>
    <x v="0"/>
    <m/>
    <x v="0"/>
    <n v="0"/>
    <s v="E"/>
  </r>
  <r>
    <n v="1105"/>
    <x v="4"/>
    <s v="Product Hierarchy-Brand"/>
    <s v="Sub-Category Description"/>
    <n v="0"/>
    <n v="51"/>
    <s v="dd: reference list: PRL: Product Hierarchy Market Sub-Category"/>
    <s v="yes"/>
    <s v="LIM"/>
    <m/>
    <m/>
    <s v="based off BRAND DESCRIPTION"/>
    <s v="no known BR based on data entered"/>
    <m/>
    <s v="done"/>
    <s v="complete"/>
    <x v="4"/>
    <x v="4"/>
    <x v="0"/>
    <x v="0"/>
    <m/>
    <x v="0"/>
    <n v="0"/>
    <s v="E"/>
  </r>
  <r>
    <n v="1106"/>
    <x v="4"/>
    <s v="Product Hierarchy-Brand"/>
    <s v="Sub-Category #"/>
    <n v="0"/>
    <n v="51"/>
    <s v="dd: reference list: PRL: Product Hierarchy Market Sub-Category"/>
    <s v="yes"/>
    <s v="LIM"/>
    <m/>
    <m/>
    <s v="based off BRAND DESCRIPTION"/>
    <s v="no known BR based on data entered"/>
    <m/>
    <s v="done"/>
    <s v="complete"/>
    <x v="4"/>
    <x v="4"/>
    <x v="0"/>
    <x v="0"/>
    <m/>
    <x v="0"/>
    <n v="0"/>
    <s v="E"/>
  </r>
  <r>
    <n v="1107"/>
    <x v="4"/>
    <s v="Product Hierarchy-Brand"/>
    <s v="Brand Description"/>
    <n v="1"/>
    <s v="51, 75, 86"/>
    <s v="dd: reference list: PRL: Product Hierarchy Brand"/>
    <s v="yes"/>
    <s v="LIM"/>
    <s v="Requestor"/>
    <m/>
    <m/>
    <s v="1107 predecessor to 1083; _x000a_Tech name [PH4_Brand_Desc] (26 rules)"/>
    <m/>
    <s v="done"/>
    <s v="last week"/>
    <x v="4"/>
    <x v="4"/>
    <x v="0"/>
    <x v="0"/>
    <n v="6"/>
    <x v="2"/>
    <n v="1.5"/>
    <s v="E"/>
  </r>
  <r>
    <n v="1108"/>
    <x v="4"/>
    <s v="Product Hierarchy-Brand"/>
    <s v="Brand Number"/>
    <n v="0"/>
    <n v="51"/>
    <s v="dd: reference list: PRL: Product Hierarchy Brand"/>
    <s v="yes"/>
    <s v="LIM"/>
    <m/>
    <m/>
    <s v="based off BRAND DESCRIPTION"/>
    <s v="no known BR based on data entered"/>
    <m/>
    <s v="done"/>
    <s v="complete"/>
    <x v="4"/>
    <x v="4"/>
    <x v="0"/>
    <x v="0"/>
    <m/>
    <x v="0"/>
    <n v="0"/>
    <s v="E"/>
  </r>
  <r>
    <n v="1109"/>
    <x v="4"/>
    <s v="Product Hierarchy-Brand"/>
    <s v="Type Description"/>
    <n v="1"/>
    <s v="51, 110"/>
    <s v="dd: reference list: PRL: Product Hierarchy Type"/>
    <s v="yes"/>
    <s v="LIM"/>
    <s v="Data Integrity"/>
    <m/>
    <m/>
    <s v="no known BR based on data entered"/>
    <m/>
    <s v="done"/>
    <s v="complete"/>
    <x v="4"/>
    <x v="4"/>
    <x v="0"/>
    <x v="0"/>
    <m/>
    <x v="2"/>
    <n v="1.5"/>
    <s v="E"/>
  </r>
  <r>
    <n v="1110"/>
    <x v="4"/>
    <s v="Product Hierarchy-Brand"/>
    <s v="Type #"/>
    <n v="0"/>
    <n v="51"/>
    <s v="dd: reference list: PRL: Product Hierarchy Type"/>
    <s v="yes"/>
    <s v="LIM"/>
    <m/>
    <m/>
    <s v="based off TYPE DESCRIPTION"/>
    <s v="no known BR based on data entered"/>
    <m/>
    <s v="done"/>
    <s v="complete"/>
    <x v="4"/>
    <x v="4"/>
    <x v="0"/>
    <x v="0"/>
    <m/>
    <x v="0"/>
    <n v="0"/>
    <s v="E"/>
  </r>
  <r>
    <n v="1111"/>
    <x v="4"/>
    <s v="Product Hierarchy-Brand"/>
    <s v="Sub-Type Description"/>
    <n v="1"/>
    <s v="51, 110"/>
    <s v="dd: reference list: PRL: Product Hierarchy Sub-Type"/>
    <s v="yes"/>
    <s v="LIM"/>
    <s v="Data Integrity"/>
    <m/>
    <m/>
    <s v="no known BR based on data entered"/>
    <m/>
    <s v="done"/>
    <s v="complete"/>
    <x v="4"/>
    <x v="4"/>
    <x v="0"/>
    <x v="0"/>
    <m/>
    <x v="2"/>
    <n v="1.5"/>
    <s v="E"/>
  </r>
  <r>
    <n v="1112"/>
    <x v="4"/>
    <s v="Product Hierarchy-Brand"/>
    <s v="Sub-Type #"/>
    <n v="0"/>
    <n v="51"/>
    <s v="dd: reference list: PRL: Product Hierarchy Sub-Type"/>
    <s v="yes"/>
    <s v="LIM"/>
    <m/>
    <m/>
    <s v="based off SUB-TYPE DESCRIPTION"/>
    <s v="no known BR based on data entered"/>
    <m/>
    <s v="done"/>
    <s v="complete"/>
    <x v="4"/>
    <x v="4"/>
    <x v="0"/>
    <x v="0"/>
    <m/>
    <x v="0"/>
    <n v="0"/>
    <s v="E"/>
  </r>
  <r>
    <n v="1113"/>
    <x v="4"/>
    <s v="Alternate Units of Measure"/>
    <s v="Forecast Entry Options"/>
    <n v="1"/>
    <n v="52"/>
    <s v="radio button: DEFAULTS, ESTIMATED, ACTUALS"/>
    <s v="yes"/>
    <s v="LIM"/>
    <m/>
    <m/>
    <s v="informational only"/>
    <s v="if &quot;Forecast Entry Options&quot; is DEFAULTS, then &quot;Y&quot; (1116) [Numerator_for_Conversion_to_Base_Units_of_Measure]= '1' and &quot;X&quot; (1114) [Denominator_for_conversion_to_base_units_of_measure]= '1' and &quot;Length&quot; (1118) = '1' and &quot;Width&quot; (1119) = '1' and &quot;Height&quot; (1120) = '1'"/>
    <m/>
    <s v="hand off"/>
    <s v="last week"/>
    <x v="4"/>
    <x v="4"/>
    <x v="0"/>
    <x v="0"/>
    <m/>
    <x v="1"/>
    <n v="0.5"/>
    <s v="E"/>
  </r>
  <r>
    <n v="1114"/>
    <x v="4"/>
    <s v="Alternate Units of Measure"/>
    <s v="X"/>
    <n v="1"/>
    <s v="52, 98"/>
    <s v="free form"/>
    <m/>
    <s v="LIM"/>
    <s v="Packaging Tech"/>
    <m/>
    <s v="rows of data: 4 (CS, PKG, LYR, UL);  PCH"/>
    <s v="Tech name: [Denominator_for_conversion_to_base_units_of_measure] (10 rules) then executed 4 times throughout rules"/>
    <m/>
    <s v="pending"/>
    <s v="last week"/>
    <x v="4"/>
    <x v="4"/>
    <x v="0"/>
    <x v="0"/>
    <m/>
    <x v="1"/>
    <n v="0.5"/>
    <s v="E"/>
  </r>
  <r>
    <n v="1071"/>
    <x v="3"/>
    <s v="UPC, K#, and GTIN Codes"/>
    <s v="Alt UOM"/>
    <n v="0"/>
    <s v="29, 47, 52, 56, 98, 113"/>
    <s v="autofill"/>
    <m/>
    <s v="Masterfiles"/>
    <m/>
    <m/>
    <m/>
    <s v="Tech name: [Alternative_Unit_of_Measure_for_Stockkeeping_Unit] (1 rule)"/>
    <m/>
    <s v="upcoming"/>
    <s v="future"/>
    <x v="3"/>
    <x v="3"/>
    <x v="3"/>
    <x v="3"/>
    <m/>
    <x v="0"/>
    <n v="0"/>
    <s v="H"/>
  </r>
  <r>
    <n v="1115"/>
    <x v="4"/>
    <s v="Alternate Units of Measure"/>
    <s v="&lt;=&gt;"/>
    <n v="0"/>
    <s v="52, 98"/>
    <s v="autofill"/>
    <m/>
    <s v="LIM"/>
    <s v="Packaging Tech"/>
    <m/>
    <m/>
    <s v="constant variable for display only"/>
    <m/>
    <s v="pending"/>
    <s v="last week"/>
    <x v="4"/>
    <x v="4"/>
    <x v="0"/>
    <x v="0"/>
    <m/>
    <x v="0"/>
    <n v="0"/>
    <s v="E"/>
  </r>
  <r>
    <n v="1116"/>
    <x v="4"/>
    <s v="Alternate Units of Measure"/>
    <s v="Y"/>
    <n v="1"/>
    <s v="52, 98"/>
    <s v="free form"/>
    <m/>
    <s v="LIM"/>
    <s v="Packaging Tech"/>
    <m/>
    <s v="rows of data: 4 (CS, PKG, LYR, UL);  PCH"/>
    <s v="Tech name: [Numerator_for_Conversion_to_Base_Units_of_Measure] (13 rules) then executed 4 times throughout rules"/>
    <m/>
    <s v="pending"/>
    <s v="last week"/>
    <x v="4"/>
    <x v="4"/>
    <x v="0"/>
    <x v="0"/>
    <m/>
    <x v="1"/>
    <n v="0.5"/>
    <s v="E"/>
  </r>
  <r>
    <n v="1117"/>
    <x v="4"/>
    <s v="Alternate Units of Measure"/>
    <s v="Base UOM"/>
    <n v="0"/>
    <s v="29, 52, 98"/>
    <s v="autofill"/>
    <m/>
    <s v="LIM"/>
    <s v="Packaging Tech"/>
    <m/>
    <m/>
    <s v="based off of RDL: ALT_UOM  (ie: CS, HUL, QUL, FUL, …)_x000a_Tech name: [Base_Unit_of_Measure] (referenced 3 times, but no rules on actual field)"/>
    <m/>
    <s v="pending"/>
    <s v="last week"/>
    <x v="4"/>
    <x v="4"/>
    <x v="0"/>
    <x v="0"/>
    <m/>
    <x v="0"/>
    <n v="0"/>
    <s v="E"/>
  </r>
  <r>
    <n v="1118"/>
    <x v="4"/>
    <s v="Alternate Units of Measure"/>
    <s v="Length"/>
    <n v="1"/>
    <s v="52, 98"/>
    <s v="free form"/>
    <m/>
    <s v="LIM"/>
    <s v="Packaging Tech"/>
    <m/>
    <s v="rows of data: 4 (CS, PKG, LYR, UL);  PCH"/>
    <s v="Tech name: [Length] (5 rules)"/>
    <m/>
    <s v="pending"/>
    <s v="last week"/>
    <x v="4"/>
    <x v="4"/>
    <x v="0"/>
    <x v="0"/>
    <m/>
    <x v="1"/>
    <n v="0.5"/>
    <s v="E"/>
  </r>
  <r>
    <n v="1119"/>
    <x v="4"/>
    <s v="Alternate Units of Measure"/>
    <s v="Width"/>
    <n v="1"/>
    <s v="52, 98"/>
    <s v="free form"/>
    <m/>
    <s v="LIM"/>
    <s v="Packaging Tech"/>
    <m/>
    <s v="rows of data: 4 (CS, PKG, LYR, UL);  PCH"/>
    <s v="Tech name: [Width] (5 rules)"/>
    <m/>
    <s v="pending"/>
    <s v="last week"/>
    <x v="4"/>
    <x v="4"/>
    <x v="0"/>
    <x v="0"/>
    <m/>
    <x v="1"/>
    <n v="0.5"/>
    <s v="E"/>
  </r>
  <r>
    <n v="1120"/>
    <x v="4"/>
    <s v="Alternate Units of Measure"/>
    <s v="Height"/>
    <n v="1"/>
    <s v="52, 98"/>
    <s v="free form"/>
    <m/>
    <s v="LIM"/>
    <s v="Packaging Tech"/>
    <m/>
    <s v="rows of data: 4 (CS, PKG, LYR, UL);  PCH"/>
    <s v="Tech name: [Height] (5 rules)"/>
    <m/>
    <s v="pending"/>
    <s v="last week"/>
    <x v="4"/>
    <x v="4"/>
    <x v="0"/>
    <x v="0"/>
    <m/>
    <x v="1"/>
    <n v="0.5"/>
    <s v="E"/>
  </r>
  <r>
    <n v="1121"/>
    <x v="4"/>
    <s v="Alternate Units of Measure"/>
    <s v="Unit of Dimension"/>
    <n v="0"/>
    <s v="52, 98"/>
    <s v="autofill"/>
    <m/>
    <s v="LIM"/>
    <s v="Packaging Tech"/>
    <m/>
    <m/>
    <s v="based off of RDL: ALT_UOM -- this field is not in ALT_UOM table; assuming it is always 'IN'"/>
    <m/>
    <s v="pending"/>
    <s v="last week"/>
    <x v="4"/>
    <x v="4"/>
    <x v="0"/>
    <x v="0"/>
    <m/>
    <x v="0"/>
    <n v="0"/>
    <s v="E"/>
  </r>
  <r>
    <n v="1122"/>
    <x v="4"/>
    <s v="Alternate Units of Measure"/>
    <s v="Volume"/>
    <n v="0"/>
    <s v="52, 98"/>
    <s v="autofill"/>
    <m/>
    <s v="LIM"/>
    <s v="Packaging Tech"/>
    <m/>
    <m/>
    <s v="Tech name: [Volume] (1 rule)"/>
    <m/>
    <s v="pending"/>
    <s v="last week"/>
    <x v="4"/>
    <x v="4"/>
    <x v="0"/>
    <x v="0"/>
    <m/>
    <x v="0"/>
    <n v="0"/>
    <s v="E"/>
  </r>
  <r>
    <n v="1123"/>
    <x v="4"/>
    <s v="Alternate Units of Measure"/>
    <s v="Volume Unit"/>
    <n v="0"/>
    <s v="52, 98"/>
    <s v="autofill"/>
    <m/>
    <s v="LIM"/>
    <s v="Packaging Tech"/>
    <m/>
    <m/>
    <s v="based off of RDL: ALT_UOM -- this field is not in ALT_UOM table; assuming it is always 'FT3'"/>
    <m/>
    <s v="pending"/>
    <s v="last week"/>
    <x v="4"/>
    <x v="4"/>
    <x v="0"/>
    <x v="0"/>
    <m/>
    <x v="0"/>
    <n v="0"/>
    <s v="E"/>
  </r>
  <r>
    <n v="1124"/>
    <x v="4"/>
    <s v="Alternate Units of Measure"/>
    <s v="Gross Weight"/>
    <n v="1"/>
    <s v="52, 98"/>
    <s v="free form"/>
    <m/>
    <s v="LIM"/>
    <s v="Packaging Tech"/>
    <m/>
    <s v="rows of data: 4 (CS, PKG, LYR, UL);  PCH"/>
    <s v="Tech name: [Gross_Weight] (14 rules); _x000a_Tech name: [Gross_Weight_UL] (2 rules); _x000a_Tech name: [Gross_Case_Weight] (1 rule)"/>
    <m/>
    <s v="pending"/>
    <s v="last week"/>
    <x v="4"/>
    <x v="4"/>
    <x v="0"/>
    <x v="0"/>
    <m/>
    <x v="1"/>
    <n v="0.5"/>
    <s v="E"/>
  </r>
  <r>
    <n v="1125"/>
    <x v="4"/>
    <s v="Alternate Units of Measure"/>
    <s v="Weight Unit"/>
    <n v="0"/>
    <s v="52, 98"/>
    <s v="autofill"/>
    <m/>
    <s v="LIM"/>
    <s v="Packaging Tech"/>
    <m/>
    <m/>
    <s v="based off of RDL: ALT_UOM; different values depending on the level of the Alternate Units of Measure"/>
    <m/>
    <s v="pending"/>
    <s v="last week"/>
    <x v="4"/>
    <x v="4"/>
    <x v="0"/>
    <x v="0"/>
    <m/>
    <x v="0"/>
    <n v="0"/>
    <s v="E"/>
  </r>
  <r>
    <n v="1126"/>
    <x v="4"/>
    <s v="Material Description(s)"/>
    <s v="Language"/>
    <n v="0"/>
    <s v="52, 58"/>
    <s v="dd: reference list: DESCRIPTION_LANGUAGES.XLSX"/>
    <m/>
    <s v="LIM"/>
    <m/>
    <m/>
    <m/>
    <s v="If &quot;Product Country&quot; (1008) is not 'CA' then 'E'._x000a_If &quot;Product Country&quot; (1008) is 'CA' then Select * from dd: reference list: DESCRIPTION_LANGUAGES.XLSX."/>
    <m/>
    <s v="hand off"/>
    <s v="last week"/>
    <x v="4"/>
    <x v="4"/>
    <x v="0"/>
    <x v="0"/>
    <m/>
    <x v="0"/>
    <n v="0"/>
    <s v="E"/>
  </r>
  <r>
    <n v="1127"/>
    <x v="4"/>
    <s v="Material Description(s)"/>
    <s v="Material Description"/>
    <n v="0"/>
    <s v="52, 58"/>
    <s v="autofill"/>
    <m/>
    <s v="LIM"/>
    <s v="Requestor, Masterfiles"/>
    <m/>
    <s v="Multiple rows possible. because of languages"/>
    <s v="max 40"/>
    <m/>
    <s v="code rules"/>
    <s v="last week"/>
    <x v="4"/>
    <x v="4"/>
    <x v="0"/>
    <x v="0"/>
    <n v="7"/>
    <x v="0"/>
    <n v="0"/>
    <s v="E"/>
  </r>
  <r>
    <n v="1128"/>
    <x v="4"/>
    <s v="Material Description(s)"/>
    <s v="Material Description Length"/>
    <n v="0"/>
    <s v="52, 58"/>
    <s v="autofill"/>
    <m/>
    <s v="LIM"/>
    <m/>
    <m/>
    <m/>
    <s v="no known BR based on data entered"/>
    <m/>
    <s v="code rules"/>
    <s v="last week"/>
    <x v="4"/>
    <x v="4"/>
    <x v="0"/>
    <x v="0"/>
    <m/>
    <x v="0"/>
    <n v="0"/>
    <s v="E"/>
  </r>
  <r>
    <n v="1129"/>
    <x v="4"/>
    <s v="Material Description(s)"/>
    <s v="Generate Material Description"/>
    <n v="0"/>
    <n v="52"/>
    <s v="button"/>
    <m/>
    <s v="LIM"/>
    <m/>
    <m/>
    <s v="part of the 22 rules are these which were captured earlier:  1127 dependent on 1009 Product Type='Rainbow' then RNBW must be at end of Material Description (for DataSync compliancy); max 40; dependent on 1304 &quot;is this non sellable FERT WIP&quot; = YES, then add WIP to end"/>
    <s v="1129 dependent on 1029; run button; (22 rules)"/>
    <m/>
    <s v="code rules"/>
    <s v="last week"/>
    <x v="4"/>
    <x v="4"/>
    <x v="0"/>
    <x v="0"/>
    <m/>
    <x v="1"/>
    <n v="0"/>
    <s v="E"/>
  </r>
  <r>
    <n v="1130"/>
    <x v="4"/>
    <s v="Material Description(s)"/>
    <s v="Suggested Material Desc"/>
    <n v="1"/>
    <s v="52, 58, 81"/>
    <s v="free form"/>
    <m/>
    <s v="LIM"/>
    <s v="Masterfiles"/>
    <m/>
    <m/>
    <s v="1130 predecessor to 1131; 40 max"/>
    <m/>
    <s v="hand off"/>
    <s v="last week"/>
    <x v="4"/>
    <x v="4"/>
    <x v="0"/>
    <x v="0"/>
    <m/>
    <x v="3"/>
    <n v="1"/>
    <s v="E"/>
  </r>
  <r>
    <n v="1131"/>
    <x v="4"/>
    <s v="Material Description(s)"/>
    <s v="Length (of Sugg Matl Desc)"/>
    <n v="0"/>
    <s v="52, 58"/>
    <s v="autofill"/>
    <m/>
    <s v="LIM"/>
    <m/>
    <m/>
    <m/>
    <s v="1131 dependent on: Suggested Material Desc (1130)"/>
    <m/>
    <s v="hand off"/>
    <s v="last week"/>
    <x v="4"/>
    <x v="4"/>
    <x v="0"/>
    <x v="0"/>
    <m/>
    <x v="0"/>
    <n v="0"/>
    <s v="E"/>
  </r>
  <r>
    <n v="1132"/>
    <x v="4"/>
    <s v="Taxes"/>
    <s v="Departure Country"/>
    <n v="1"/>
    <s v="52, 105"/>
    <s v="dd: reference list: COUNTRY (not in RDL or PRL)"/>
    <m/>
    <s v="LIM"/>
    <s v="CA Finance Tax"/>
    <m/>
    <s v="If &quot;Product Country&quot; (1008) is 'US' then &quot;Departure Country&quot; (1132) is 'US' and &quot;Tax Category&quot; (1133) is 'UTXJ' and &quot;Tax Classification&quot; (1134) is '0'._x000a_Can't find any rules for 'CA', so assuming fields are open for population. ??"/>
    <s v="Tech name: [Departure_country__country_from_which_the_goods_are_sent] (2 rules set this value, but rules are not on the field itself)"/>
    <m/>
    <s v="pending"/>
    <s v="last week"/>
    <x v="4"/>
    <x v="4"/>
    <x v="0"/>
    <x v="0"/>
    <m/>
    <x v="1"/>
    <n v="0.5"/>
    <s v="E"/>
  </r>
  <r>
    <n v="1133"/>
    <x v="4"/>
    <s v="Taxes"/>
    <s v="Tax Category"/>
    <n v="0"/>
    <s v="52, 105"/>
    <s v="autofill"/>
    <m/>
    <s v="LIM"/>
    <s v="CA Finance Tax"/>
    <m/>
    <m/>
    <s v="Tech name: [Tax_category__sales_tax__federal_sales_tax_____] (1 rule) (2 other rules set this value, but they are not on the field itself)"/>
    <m/>
    <s v="pending"/>
    <s v="last week"/>
    <x v="4"/>
    <x v="4"/>
    <x v="0"/>
    <x v="0"/>
    <m/>
    <x v="0"/>
    <n v="0"/>
    <s v="E"/>
  </r>
  <r>
    <n v="1134"/>
    <x v="4"/>
    <s v="Taxes"/>
    <s v="Tax Classification"/>
    <n v="1"/>
    <s v="52, 105"/>
    <s v="dd: reference list: TAX_CLASSIFICATION.XLSX"/>
    <m/>
    <s v="LIM"/>
    <s v="CA Finance Tax"/>
    <m/>
    <s v="Pull data from dd list"/>
    <s v="Tech name: [Tax_classification_material] (5 rules set this value, but rules are not on the field itself)"/>
    <m/>
    <s v="pending"/>
    <s v="last week"/>
    <x v="4"/>
    <x v="4"/>
    <x v="0"/>
    <x v="0"/>
    <m/>
    <x v="1"/>
    <n v="0.5"/>
    <s v="E"/>
  </r>
  <r>
    <n v="1135"/>
    <x v="6"/>
    <s v="Forecast Scripts"/>
    <s v="Create Forecast Material"/>
    <n v="0"/>
    <n v="59"/>
    <s v="button"/>
    <m/>
    <s v="Masterfiles"/>
    <m/>
    <m/>
    <s v="Masterfiles setup of Forecast sku"/>
    <m/>
    <m/>
    <s v="upcoming"/>
    <s v="future"/>
    <x v="6"/>
    <x v="3"/>
    <x v="3"/>
    <x v="3"/>
    <m/>
    <x v="1"/>
    <n v="0"/>
    <s v="H"/>
  </r>
  <r>
    <n v="1136"/>
    <x v="6"/>
    <s v="Forecast Scripts"/>
    <s v="Manually Execute Scripts"/>
    <n v="0"/>
    <n v="60"/>
    <s v="expand group with more buttons"/>
    <m/>
    <s v="Masterfiles"/>
    <m/>
    <m/>
    <m/>
    <m/>
    <m/>
    <s v="upcoming"/>
    <s v="future"/>
    <x v="6"/>
    <x v="3"/>
    <x v="3"/>
    <x v="3"/>
    <m/>
    <x v="1"/>
    <n v="0"/>
    <s v="H"/>
  </r>
  <r>
    <n v="1137"/>
    <x v="7"/>
    <s v="Product Setup"/>
    <s v="VAS"/>
    <n v="1"/>
    <n v="62"/>
    <s v="dd: YES, NO"/>
    <m/>
    <s v="LIM"/>
    <m/>
    <m/>
    <s v="if yes, there will be a BOM requirement in the form, and the Material Group will be set to REPACK."/>
    <s v="1137 [VAS] predecessor for 1176-1192"/>
    <m/>
    <s v="pending"/>
    <s v="current"/>
    <x v="7"/>
    <x v="1"/>
    <x v="2"/>
    <x v="2"/>
    <m/>
    <x v="3"/>
    <n v="1"/>
    <s v="F"/>
  </r>
  <r>
    <n v="1138"/>
    <x v="8"/>
    <s v="(buttons) Returns"/>
    <s v="(LIM Launch) Return Comments"/>
    <n v="1"/>
    <n v="63"/>
    <s v="free form"/>
    <m/>
    <s v="LIM"/>
    <m/>
    <m/>
    <m/>
    <m/>
    <m/>
    <s v="upcoming"/>
    <s v="current"/>
    <x v="8"/>
    <x v="1"/>
    <x v="2"/>
    <x v="2"/>
    <m/>
    <x v="1"/>
    <n v="0.5"/>
    <s v="F"/>
  </r>
  <r>
    <n v="1139"/>
    <x v="9"/>
    <s v="NIF Dashboard"/>
    <s v="statuses of the workflow (X, R, C…)"/>
    <n v="0"/>
    <n v="64"/>
    <s v="autofill"/>
    <m/>
    <s v="LIM"/>
    <m/>
    <m/>
    <s v="statuses of the workflow (X, R, C…)"/>
    <m/>
    <m/>
    <s v="upcoming"/>
    <s v="future"/>
    <x v="9"/>
    <x v="2"/>
    <x v="3"/>
    <x v="3"/>
    <m/>
    <x v="0"/>
    <n v="0"/>
    <s v="H"/>
  </r>
  <r>
    <n v="1140"/>
    <x v="5"/>
    <s v="Product Details"/>
    <s v="Proposed Red K Price"/>
    <n v="1"/>
    <n v="74"/>
    <s v="free form"/>
    <m/>
    <s v="Requestor"/>
    <m/>
    <m/>
    <s v="These fields are open for updating: Project Type, Project Name or Number, Set Category, Brief Product Description, Brief Project Overview and Technical Notes, Stated Weights/Case Count section, Data Sync(GDSN)?"/>
    <s v="no known BR based on data entered"/>
    <m/>
    <s v="code rules"/>
    <s v="last week"/>
    <x v="5"/>
    <x v="5"/>
    <x v="0"/>
    <x v="0"/>
    <n v="5"/>
    <x v="1"/>
    <n v="0.5"/>
    <s v="E"/>
  </r>
  <r>
    <n v="1141"/>
    <x v="5"/>
    <s v="Product Details"/>
    <s v="Proposed Red K Currency"/>
    <n v="1"/>
    <n v="74"/>
    <s v="dd: USD, CAD"/>
    <s v="conditional"/>
    <s v="Requestor"/>
    <m/>
    <m/>
    <s v="autofill as default: if country=US then USD; country=CA then CAD"/>
    <s v="no known BR based on data entered"/>
    <m/>
    <s v="code rules"/>
    <s v="last week"/>
    <x v="5"/>
    <x v="5"/>
    <x v="0"/>
    <x v="0"/>
    <n v="5"/>
    <x v="1"/>
    <n v="0.5"/>
    <s v="E"/>
  </r>
  <r>
    <n v="1142"/>
    <x v="5"/>
    <s v="Product Details"/>
    <s v="Business Unit"/>
    <n v="1"/>
    <n v="74"/>
    <s v="dd: reference list: PRL: Business Unit"/>
    <m/>
    <s v="Requestor"/>
    <m/>
    <m/>
    <m/>
    <s v="no known BR based on data entered"/>
    <m/>
    <s v="code rules"/>
    <s v="last week"/>
    <x v="5"/>
    <x v="5"/>
    <x v="0"/>
    <x v="0"/>
    <n v="5"/>
    <x v="1"/>
    <n v="0.5"/>
    <s v="E"/>
  </r>
  <r>
    <n v="1143"/>
    <x v="5"/>
    <s v="Product Details"/>
    <s v="Material Group 1"/>
    <n v="0"/>
    <n v="74"/>
    <s v="dd: reference list: PRL: Material Group 1"/>
    <m/>
    <s v="Requestor"/>
    <m/>
    <m/>
    <m/>
    <s v="populated based on the Brand"/>
    <m/>
    <s v="code rules"/>
    <s v="last week"/>
    <x v="5"/>
    <x v="5"/>
    <x v="0"/>
    <x v="0"/>
    <n v="5"/>
    <x v="0"/>
    <n v="0"/>
    <s v="E"/>
  </r>
  <r>
    <n v="1144"/>
    <x v="5"/>
    <s v="Product Details"/>
    <s v="1st Arrival Date"/>
    <n v="1"/>
    <n v="74"/>
    <s v="date"/>
    <m/>
    <s v="Requestor"/>
    <m/>
    <m/>
    <s v="Canada only"/>
    <s v="if &quot;Product Country&quot; is 'CA - Canada' then &quot;1st Arrival Date&quot; must be a Thursday; _x000a_Tech name: [First_Arrival_Date] - set first_ship_date=first_arrival_date-11; set pricing_validity_date=first_arrival_date-11; "/>
    <m/>
    <s v="pending"/>
    <s v="last week"/>
    <x v="5"/>
    <x v="5"/>
    <x v="0"/>
    <x v="0"/>
    <n v="5"/>
    <x v="1"/>
    <n v="0.5"/>
    <s v="E"/>
  </r>
  <r>
    <n v="1145"/>
    <x v="5"/>
    <s v="Product Details"/>
    <s v="1st Arrival Date (Day)"/>
    <n v="0"/>
    <n v="74"/>
    <s v="autofill"/>
    <m/>
    <s v="Requestor"/>
    <m/>
    <m/>
    <s v="Canada only"/>
    <s v="has to be Thursday and for CANADA"/>
    <m/>
    <s v="code rules"/>
    <s v="last week"/>
    <x v="5"/>
    <x v="5"/>
    <x v="0"/>
    <x v="0"/>
    <n v="5"/>
    <x v="0"/>
    <n v="0"/>
    <s v="E"/>
  </r>
  <r>
    <n v="1146"/>
    <x v="5"/>
    <s v="Product Details"/>
    <s v="1st Ship Date"/>
    <n v="1"/>
    <s v="74, 80"/>
    <s v="date"/>
    <m/>
    <s v="Requestor"/>
    <s v="LIM"/>
    <m/>
    <s v="Marie's notes: For Canada, First Arrival Date = Thursday; First Ship &amp; Pricing Dates are Sunday Prior (First Arrival - 11 days)"/>
    <s v="Tech name: [First_Ship_Date] - _x000a_if Country=US and first_ship_date=Monday and Forecast=Yes, then set &quot;Pricing Validity Date&quot; (1149)=first_ship_date-1; {what to do if Forecast=No};_x000a_if Country=CA, set &quot;Pricing Validity Date&quot; (1149)=first_arrival_date-11;_x000a_"/>
    <m/>
    <s v="pending"/>
    <s v="last week"/>
    <x v="5"/>
    <x v="5"/>
    <x v="0"/>
    <x v="0"/>
    <n v="5"/>
    <x v="1"/>
    <n v="0.5"/>
    <s v="E"/>
  </r>
  <r>
    <n v="1147"/>
    <x v="5"/>
    <s v="Product Details"/>
    <s v="1st Ship Date (Day)"/>
    <n v="0"/>
    <n v="74"/>
    <s v="autofill"/>
    <m/>
    <s v="Requestor"/>
    <m/>
    <m/>
    <m/>
    <s v="has to be Monday and for US"/>
    <m/>
    <s v="code rules"/>
    <s v="last week"/>
    <x v="5"/>
    <x v="5"/>
    <x v="0"/>
    <x v="0"/>
    <n v="5"/>
    <x v="0"/>
    <n v="0"/>
    <s v="E"/>
  </r>
  <r>
    <n v="1148"/>
    <x v="5"/>
    <s v="Product Details"/>
    <s v="FERT Type"/>
    <n v="1"/>
    <n v="74"/>
    <s v="dd: reference list: PRL: FERT Type"/>
    <m/>
    <s v="Requestor"/>
    <m/>
    <m/>
    <m/>
    <s v="no known BR based on data entered"/>
    <m/>
    <s v="code rules"/>
    <s v="last week"/>
    <x v="5"/>
    <x v="5"/>
    <x v="0"/>
    <x v="0"/>
    <n v="5"/>
    <x v="1"/>
    <n v="0.5"/>
    <s v="E"/>
  </r>
  <r>
    <n v="1149"/>
    <x v="5"/>
    <s v="Product Details"/>
    <s v="Pricing Validity Date"/>
    <n v="0"/>
    <n v="74"/>
    <s v="autofill"/>
    <m/>
    <s v="Requestor"/>
    <m/>
    <m/>
    <m/>
    <s v="rule for formatting the date"/>
    <m/>
    <s v="pending"/>
    <s v="last week"/>
    <x v="5"/>
    <x v="5"/>
    <x v="0"/>
    <x v="0"/>
    <n v="5"/>
    <x v="0"/>
    <n v="0"/>
    <s v="E"/>
  </r>
  <r>
    <n v="1150"/>
    <x v="5"/>
    <s v="Product Details"/>
    <s v="Pack Type Use"/>
    <n v="1"/>
    <s v="74, 80"/>
    <s v="dd: reference list: PRL: Pack Type Use"/>
    <m/>
    <s v="Requestor"/>
    <m/>
    <m/>
    <s v="Marie: field is owned by AFH (Speciality); default to GROCERY if it is not AFH; except might be for DISPLAY where it might be SHIPPER"/>
    <s v="5 rules"/>
    <m/>
    <s v="pending"/>
    <s v="last week"/>
    <x v="5"/>
    <x v="5"/>
    <x v="0"/>
    <x v="0"/>
    <n v="5"/>
    <x v="1"/>
    <n v="0.5"/>
    <s v="E"/>
  </r>
  <r>
    <n v="1151"/>
    <x v="5"/>
    <s v="Product Details"/>
    <s v="Planning Variant"/>
    <n v="1"/>
    <n v="74"/>
    <s v="dd: reference list: PRL: Planning Variant"/>
    <m/>
    <s v="Requestor"/>
    <m/>
    <m/>
    <s v="EDI references this to find which item is considered the Base Material. If items share package UPC’s, there can only be one that is considered the Base Material. The Planning Variant field is where thisis indicated within SAP. Other items(children sku’s) that use the same package UPC as the Base (most often seen with Repack/RCP’s and Promo Codes), will use National, Customer or Limited. Therefore, if yoursetup type IS NOT Repack/RCP that is using an existing package UPC, your Planning Variantshould always be Base Material. If your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 Click here for more information, and list of customers that order by the package UPC."/>
    <s v="EDI uses it to find the BASE MATERIAL; {Customers usually order with a CASE CODE, which is good.  But if they order with a PACKAGE CODE, EDI uses the XREF table to reference the proper CASE CODE related to the Customer for the PACKAGE CODE they are sending (like Dollar General has its own ~EDI PARTNER #)};_x000a_1151 dependent on FALB (1304)=yes then can't be BASE MATERIAL; 4 rules, but doesn't seem to include the FALB one, so make sure it's included"/>
    <m/>
    <s v="pending"/>
    <s v="last week"/>
    <x v="5"/>
    <x v="5"/>
    <x v="0"/>
    <x v="0"/>
    <n v="5"/>
    <x v="1"/>
    <n v="0.5"/>
    <s v="E"/>
  </r>
  <r>
    <n v="1152"/>
    <x v="5"/>
    <s v="Product Details"/>
    <s v="SKU Type"/>
    <n v="1"/>
    <n v="74"/>
    <s v="dd: PERMANENT, LIMITED"/>
    <m/>
    <s v="Requestor"/>
    <m/>
    <m/>
    <m/>
    <s v="4 rules"/>
    <m/>
    <s v="pending"/>
    <s v="last week"/>
    <x v="5"/>
    <x v="5"/>
    <x v="0"/>
    <x v="0"/>
    <n v="5"/>
    <x v="1"/>
    <n v="0.5"/>
    <s v="E"/>
  </r>
  <r>
    <n v="1306"/>
    <x v="5"/>
    <s v="Product Details"/>
    <s v="Promo End Date"/>
    <n v="1"/>
    <n v="0"/>
    <s v="date"/>
    <s v="conditional"/>
    <s v="Requestor"/>
    <m/>
    <m/>
    <s v="9/25/25 new field identified"/>
    <s v="if SKU Type=LIMITED then opens, then Remarket Date &amp; Stop Ship date are auto calculated; otherwise locked"/>
    <m/>
    <s v="pending"/>
    <s v="last week"/>
    <x v="5"/>
    <x v="5"/>
    <x v="0"/>
    <x v="0"/>
    <m/>
    <x v="3"/>
    <n v="1"/>
    <s v="E"/>
  </r>
  <r>
    <n v="1153"/>
    <x v="5"/>
    <s v="Product Details"/>
    <s v="Stop Ship/Target Discontinuance"/>
    <n v="1"/>
    <n v="74"/>
    <s v="date"/>
    <m/>
    <s v="Requestor"/>
    <m/>
    <m/>
    <s v="dependent on SKU TYPE"/>
    <s v="2 rules - probably a month afterwards (28 days after Promo End Date)"/>
    <m/>
    <s v="pending"/>
    <s v="last week"/>
    <x v="5"/>
    <x v="5"/>
    <x v="0"/>
    <x v="0"/>
    <n v="5"/>
    <x v="1"/>
    <n v="0.5"/>
    <s v="E"/>
  </r>
  <r>
    <n v="1154"/>
    <x v="5"/>
    <s v="Product Details"/>
    <s v="Remarket Date"/>
    <n v="0"/>
    <n v="74"/>
    <s v="autofill"/>
    <m/>
    <s v="Requestor"/>
    <m/>
    <m/>
    <m/>
    <s v="rule for formatting the date, check br doc; 14 days after Promo End Date"/>
    <m/>
    <s v="pending"/>
    <s v="last week"/>
    <x v="5"/>
    <x v="5"/>
    <x v="0"/>
    <x v="0"/>
    <n v="5"/>
    <x v="0"/>
    <n v="0"/>
    <s v="E"/>
  </r>
  <r>
    <n v="1156"/>
    <x v="5"/>
    <s v="Product Details"/>
    <s v="Is this a SKU to SKU Transition"/>
    <n v="1"/>
    <n v="74"/>
    <s v="dd: YES, NO"/>
    <m/>
    <s v="Requestor"/>
    <m/>
    <m/>
    <m/>
    <s v="2 rules; opens next 2 fields"/>
    <m/>
    <s v="pending"/>
    <s v="last week"/>
    <x v="5"/>
    <x v="5"/>
    <x v="0"/>
    <x v="0"/>
    <n v="5"/>
    <x v="1"/>
    <n v="0.5"/>
    <s v="E"/>
  </r>
  <r>
    <n v="1157"/>
    <x v="5"/>
    <s v="Product Details"/>
    <s v="Conversion Case Code"/>
    <n v="1"/>
    <n v="74"/>
    <s v="free form"/>
    <m/>
    <s v="Requestor"/>
    <m/>
    <m/>
    <s v="dependent on IS THIS A SKU TO SKU TRANSITION"/>
    <s v="no known BR based on data entered"/>
    <m/>
    <s v="code rules"/>
    <s v="last week"/>
    <x v="5"/>
    <x v="5"/>
    <x v="0"/>
    <x v="0"/>
    <n v="5"/>
    <x v="1"/>
    <n v="0.5"/>
    <s v="E"/>
  </r>
  <r>
    <n v="1158"/>
    <x v="5"/>
    <s v="Product Details"/>
    <s v="Conversion Date"/>
    <n v="1"/>
    <n v="74"/>
    <s v="date"/>
    <m/>
    <s v="Requestor"/>
    <m/>
    <m/>
    <s v="dependent on IS THIS A SKU TO SKU TRANSITION"/>
    <s v="no known BR based on data entered"/>
    <m/>
    <s v="code rules"/>
    <s v="last week"/>
    <x v="5"/>
    <x v="5"/>
    <x v="0"/>
    <x v="0"/>
    <n v="5"/>
    <x v="1"/>
    <n v="0.5"/>
    <s v="E"/>
  </r>
  <r>
    <n v="1159"/>
    <x v="5"/>
    <s v="Product Details"/>
    <s v="OTG Type"/>
    <n v="1"/>
    <n v="74"/>
    <s v="dd: reference list: PRL: OTG Type"/>
    <m/>
    <s v="Requestor"/>
    <m/>
    <m/>
    <m/>
    <s v="no known BR based on data entered"/>
    <m/>
    <s v="code rules"/>
    <s v="last week"/>
    <x v="5"/>
    <x v="5"/>
    <x v="0"/>
    <x v="0"/>
    <n v="5"/>
    <x v="1"/>
    <n v="0.5"/>
    <s v="E"/>
  </r>
  <r>
    <n v="1160"/>
    <x v="5"/>
    <s v="Product Details"/>
    <s v="Single Serve"/>
    <n v="1"/>
    <n v="74"/>
    <s v="dd: YES, NO"/>
    <m/>
    <s v="Requestor"/>
    <m/>
    <m/>
    <m/>
    <s v="no known BR based on data entered; there may be previous rule to open this only when Product Type is SINGLE SERVE and SS REPACK"/>
    <m/>
    <s v="code rules"/>
    <s v="last week"/>
    <x v="5"/>
    <x v="5"/>
    <x v="0"/>
    <x v="0"/>
    <n v="5"/>
    <x v="1"/>
    <n v="0.5"/>
    <s v="E"/>
  </r>
  <r>
    <n v="1307"/>
    <x v="5"/>
    <s v="Product Details"/>
    <s v="Pack Size"/>
    <n v="1"/>
    <n v="0"/>
    <s v="dd: reference list: PRL: Pack Size _x000a_(CLUB PACK, RETAIL, SINGLE SERVE)"/>
    <m/>
    <s v="Requestor"/>
    <m/>
    <m/>
    <s v="9/25/25 new field identified"/>
    <s v="Product Type=Club, Club Pack; =Single Serve, Single Serve; =anything else, Retail;;; find br rules"/>
    <m/>
    <s v="pending"/>
    <s v="last week"/>
    <x v="5"/>
    <x v="5"/>
    <x v="0"/>
    <x v="0"/>
    <m/>
    <x v="3"/>
    <n v="1"/>
    <s v="E"/>
  </r>
  <r>
    <n v="1161"/>
    <x v="5"/>
    <s v="Product Details"/>
    <s v="Total shelf life"/>
    <n v="1"/>
    <s v="74, 88"/>
    <s v="free form"/>
    <m/>
    <s v="Requestor"/>
    <s v="R&amp;D Quality"/>
    <m/>
    <m/>
    <s v="5 rules - on R&amp;D QUALITY; doesn't appear anymore in DEV for REQ UPD;  Marie-if DISPLAY, then may be open and required on Req Upd; otherwise this would be open for R&amp;D QUALITY"/>
    <m/>
    <s v="pending"/>
    <s v="last week"/>
    <x v="5"/>
    <x v="5"/>
    <x v="0"/>
    <x v="0"/>
    <n v="5"/>
    <x v="1"/>
    <n v="0.5"/>
    <s v="E"/>
  </r>
  <r>
    <n v="1162"/>
    <x v="5"/>
    <s v="Product Hierarchy-Brand"/>
    <s v="Will this item be sold at the package level Direct To Consumer  (DTC)"/>
    <n v="1"/>
    <s v="75, 125"/>
    <s v="dd: YES, NO"/>
    <m/>
    <s v="Requestor"/>
    <s v="Masterfiles"/>
    <m/>
    <m/>
    <s v="1162 dependent on 1012 DTC"/>
    <m/>
    <s v="upcoming"/>
    <s v="current"/>
    <x v="5"/>
    <x v="5"/>
    <x v="2"/>
    <x v="2"/>
    <n v="5"/>
    <x v="3"/>
    <n v="1"/>
    <s v="F"/>
  </r>
  <r>
    <n v="1163"/>
    <x v="5"/>
    <s v="Alternate Hierarchy"/>
    <s v="Alternate Market Segment"/>
    <n v="0"/>
    <s v="76, 86"/>
    <s v="autofill"/>
    <m/>
    <s v="Requestor"/>
    <m/>
    <m/>
    <m/>
    <m/>
    <m/>
    <s v="upcoming"/>
    <s v="current"/>
    <x v="5"/>
    <x v="5"/>
    <x v="2"/>
    <x v="2"/>
    <n v="5"/>
    <x v="0"/>
    <n v="0"/>
    <s v="F"/>
  </r>
  <r>
    <n v="1164"/>
    <x v="5"/>
    <s v="Alternate Hierarchy"/>
    <s v="Alternate Category"/>
    <n v="0"/>
    <s v="76, 86"/>
    <s v="autofill"/>
    <m/>
    <s v="Requestor"/>
    <m/>
    <m/>
    <m/>
    <m/>
    <m/>
    <s v="upcoming"/>
    <s v="current"/>
    <x v="5"/>
    <x v="5"/>
    <x v="2"/>
    <x v="2"/>
    <n v="5"/>
    <x v="0"/>
    <n v="0"/>
    <s v="F"/>
  </r>
  <r>
    <n v="1165"/>
    <x v="5"/>
    <s v="Alternate Hierarchy"/>
    <s v="Alternate Sub-Category"/>
    <n v="0"/>
    <s v="76, 86"/>
    <s v="autofill"/>
    <m/>
    <s v="Requestor"/>
    <m/>
    <m/>
    <m/>
    <m/>
    <m/>
    <s v="upcoming"/>
    <s v="current"/>
    <x v="5"/>
    <x v="5"/>
    <x v="2"/>
    <x v="2"/>
    <n v="5"/>
    <x v="0"/>
    <n v="0"/>
    <s v="F"/>
  </r>
  <r>
    <n v="1166"/>
    <x v="5"/>
    <s v="Trade Channel &amp; Country Sold In"/>
    <s v="Trade Channel"/>
    <n v="1"/>
    <n v="76"/>
    <s v="dd: reference list: PRL: Trade Channel"/>
    <m/>
    <s v="Requestor"/>
    <m/>
    <m/>
    <m/>
    <s v="1166 dependent on 1026"/>
    <m/>
    <s v="pending"/>
    <s v="current"/>
    <x v="5"/>
    <x v="5"/>
    <x v="2"/>
    <x v="2"/>
    <n v="6"/>
    <x v="3"/>
    <n v="1"/>
    <s v="F"/>
  </r>
  <r>
    <n v="1167"/>
    <x v="5"/>
    <s v="Promotion"/>
    <s v="Promotion Description"/>
    <n v="1"/>
    <n v="76"/>
    <s v="dd: reference list: PRL: Promotion"/>
    <m/>
    <s v="Requestor"/>
    <m/>
    <m/>
    <m/>
    <m/>
    <m/>
    <s v="upcoming"/>
    <s v="current"/>
    <x v="5"/>
    <x v="5"/>
    <x v="2"/>
    <x v="2"/>
    <n v="6"/>
    <x v="1"/>
    <n v="0.5"/>
    <s v="F"/>
  </r>
  <r>
    <n v="1168"/>
    <x v="5"/>
    <s v="Promotion"/>
    <s v="Promo Short Description"/>
    <n v="0"/>
    <n v="76"/>
    <s v="dd: reference list: PRL: Promotion"/>
    <m/>
    <s v="Requestor"/>
    <m/>
    <m/>
    <m/>
    <m/>
    <m/>
    <s v="upcoming"/>
    <s v="current"/>
    <x v="5"/>
    <x v="5"/>
    <x v="2"/>
    <x v="2"/>
    <n v="6"/>
    <x v="0"/>
    <n v="0"/>
    <s v="F"/>
  </r>
  <r>
    <n v="1169"/>
    <x v="5"/>
    <s v="Promotion"/>
    <s v="Business Unit for Promo"/>
    <n v="0"/>
    <n v="76"/>
    <s v="dd: reference list: PRL: Business Unit for Promo"/>
    <m/>
    <s v="Requestor"/>
    <m/>
    <m/>
    <m/>
    <m/>
    <m/>
    <s v="upcoming"/>
    <s v="current"/>
    <x v="5"/>
    <x v="5"/>
    <x v="2"/>
    <x v="2"/>
    <n v="6"/>
    <x v="0"/>
    <n v="0"/>
    <s v="F"/>
  </r>
  <r>
    <n v="1170"/>
    <x v="5"/>
    <s v="Promotion"/>
    <s v="Royalty Product Type"/>
    <n v="1"/>
    <n v="76"/>
    <s v="dd: reference list: PRL: Royalty Product Type"/>
    <m/>
    <s v="Requestor"/>
    <m/>
    <m/>
    <m/>
    <m/>
    <m/>
    <s v="upcoming"/>
    <s v="current"/>
    <x v="5"/>
    <x v="5"/>
    <x v="2"/>
    <x v="2"/>
    <n v="6"/>
    <x v="1"/>
    <n v="0.5"/>
    <s v="F"/>
  </r>
  <r>
    <n v="1171"/>
    <x v="5"/>
    <s v="Promotion"/>
    <s v="Royalty Licenser"/>
    <n v="0"/>
    <n v="76"/>
    <s v="dd: reference list: PRL: Royalty Licenser"/>
    <m/>
    <s v="Requestor"/>
    <m/>
    <m/>
    <m/>
    <m/>
    <m/>
    <s v="upcoming"/>
    <s v="current"/>
    <x v="5"/>
    <x v="5"/>
    <x v="2"/>
    <x v="2"/>
    <n v="6"/>
    <x v="0"/>
    <n v="0"/>
    <s v="F"/>
  </r>
  <r>
    <n v="1172"/>
    <x v="5"/>
    <s v="Promotion"/>
    <s v="Royalty Licenser Abbreviation"/>
    <n v="0"/>
    <n v="76"/>
    <s v="dd: reference list: PRL: Royalty Licenser"/>
    <m/>
    <s v="Requestor"/>
    <m/>
    <m/>
    <m/>
    <m/>
    <m/>
    <s v="upcoming"/>
    <s v="current"/>
    <x v="5"/>
    <x v="5"/>
    <x v="2"/>
    <x v="2"/>
    <n v="6"/>
    <x v="0"/>
    <n v="0"/>
    <s v="F"/>
  </r>
  <r>
    <n v="1173"/>
    <x v="5"/>
    <s v="Values used to determine material description"/>
    <s v="Food Count (Bars, Waffles, PT, Shakes, RKT)"/>
    <n v="1"/>
    <s v="76, 81"/>
    <s v="free form"/>
    <m/>
    <s v="Requestor"/>
    <m/>
    <m/>
    <m/>
    <s v="1173 dependent on 1099 required"/>
    <m/>
    <s v="upcoming"/>
    <s v="current"/>
    <x v="5"/>
    <x v="5"/>
    <x v="2"/>
    <x v="2"/>
    <n v="6"/>
    <x v="1"/>
    <n v="0.5"/>
    <s v="F"/>
  </r>
  <r>
    <n v="1174"/>
    <x v="5"/>
    <s v="Values used to determine material description"/>
    <s v="Special Pack Type"/>
    <n v="1"/>
    <s v="76, 81"/>
    <s v="dd: reference list: PRL: Special Pack Type"/>
    <m/>
    <s v="Requestor"/>
    <m/>
    <m/>
    <m/>
    <m/>
    <m/>
    <s v="upcoming"/>
    <s v="current"/>
    <x v="5"/>
    <x v="5"/>
    <x v="2"/>
    <x v="2"/>
    <n v="6"/>
    <x v="1"/>
    <n v="0.5"/>
    <s v="F"/>
  </r>
  <r>
    <n v="1175"/>
    <x v="5"/>
    <s v="Values used to determine material description"/>
    <s v="Pringles Country for Material Description"/>
    <n v="1"/>
    <s v="76, 81"/>
    <s v="free form"/>
    <m/>
    <s v="Requestor"/>
    <m/>
    <m/>
    <m/>
    <s v="1175 dependent on &quot;pringles&quot; (1011)=yes then required, and used for material descr with country"/>
    <m/>
    <s v="pending"/>
    <s v="current"/>
    <x v="5"/>
    <x v="5"/>
    <x v="2"/>
    <x v="2"/>
    <n v="6"/>
    <x v="1"/>
    <n v="0.5"/>
    <s v="F"/>
  </r>
  <r>
    <n v="1176"/>
    <x v="5"/>
    <s v="BOM Setup (VAS)"/>
    <s v="Material Number (BOM setup)"/>
    <n v="1"/>
    <s v="77, 124"/>
    <s v="free form"/>
    <m/>
    <s v="Requestor"/>
    <s v="Masterfiles"/>
    <m/>
    <m/>
    <s v="1187 dependent on 1137 [VAS]"/>
    <m/>
    <s v="pending"/>
    <s v="current"/>
    <x v="5"/>
    <x v="5"/>
    <x v="2"/>
    <x v="2"/>
    <n v="7"/>
    <x v="1"/>
    <n v="0.5"/>
    <s v="F"/>
  </r>
  <r>
    <n v="1177"/>
    <x v="5"/>
    <s v="BOM Setup (VAS)"/>
    <s v="Material Description (BOM Setup)"/>
    <n v="0"/>
    <s v="77, 124"/>
    <s v="autofill"/>
    <m/>
    <s v="LIM"/>
    <s v="Requestor, Masterfiles"/>
    <m/>
    <m/>
    <s v="1187 dependent on 1137 [VAS]"/>
    <m/>
    <s v="pending"/>
    <s v="current"/>
    <x v="5"/>
    <x v="5"/>
    <x v="2"/>
    <x v="2"/>
    <n v="7"/>
    <x v="0"/>
    <n v="0"/>
    <s v="F"/>
  </r>
  <r>
    <n v="1178"/>
    <x v="5"/>
    <s v="BOM Setup (VAS)"/>
    <s v="List Price (Red K)"/>
    <n v="1"/>
    <s v="77, 124"/>
    <s v="free form"/>
    <m/>
    <s v="Requestor"/>
    <s v="Masterfiles"/>
    <m/>
    <m/>
    <s v="1187 dependent on 1137 [VAS]"/>
    <m/>
    <s v="pending"/>
    <s v="current"/>
    <x v="5"/>
    <x v="5"/>
    <x v="2"/>
    <x v="2"/>
    <n v="7"/>
    <x v="1"/>
    <n v="0.5"/>
    <s v="F"/>
  </r>
  <r>
    <n v="1179"/>
    <x v="5"/>
    <s v="BOM Setup (VAS)"/>
    <s v="Base Material"/>
    <n v="1"/>
    <s v="77, 124"/>
    <s v="free form"/>
    <m/>
    <s v="Requestor"/>
    <s v="Masterfiles"/>
    <m/>
    <m/>
    <s v="1187 dependent on 1137 [VAS]"/>
    <m/>
    <s v="pending"/>
    <s v="current"/>
    <x v="5"/>
    <x v="5"/>
    <x v="2"/>
    <x v="2"/>
    <n v="7"/>
    <x v="1"/>
    <n v="0.5"/>
    <s v="F"/>
  </r>
  <r>
    <n v="1180"/>
    <x v="5"/>
    <s v="BOM Setup (VAS)"/>
    <s v="Gross Pkg Weight"/>
    <n v="1"/>
    <s v="77, 124"/>
    <s v="free form"/>
    <m/>
    <s v="Requestor"/>
    <s v="Masterfiles"/>
    <m/>
    <m/>
    <s v="1187 dependent on 1137 [VAS]"/>
    <m/>
    <s v="pending"/>
    <s v="current"/>
    <x v="5"/>
    <x v="5"/>
    <x v="2"/>
    <x v="2"/>
    <n v="7"/>
    <x v="1"/>
    <n v="0.5"/>
    <s v="F"/>
  </r>
  <r>
    <n v="1181"/>
    <x v="5"/>
    <s v="BOM Setup (VAS)"/>
    <s v="Gross Wt UOM"/>
    <n v="1"/>
    <s v="77, 124"/>
    <s v="dd: GM, OZ"/>
    <m/>
    <s v="Requestor"/>
    <s v="Masterfiles"/>
    <m/>
    <m/>
    <s v="1187 dependent on 1137 [VAS]"/>
    <m/>
    <s v="pending"/>
    <s v="current"/>
    <x v="5"/>
    <x v="5"/>
    <x v="2"/>
    <x v="2"/>
    <n v="7"/>
    <x v="1"/>
    <n v="0.5"/>
    <s v="F"/>
  </r>
  <r>
    <n v="1182"/>
    <x v="5"/>
    <s v="BOM Setup (VAS)"/>
    <s v="Net Pkg Weight"/>
    <n v="1"/>
    <s v="77, 124"/>
    <s v="free form"/>
    <m/>
    <s v="Requestor"/>
    <s v="Masterfiles"/>
    <m/>
    <m/>
    <s v="1187 dependent on 1137 [VAS]"/>
    <m/>
    <s v="pending"/>
    <s v="current"/>
    <x v="5"/>
    <x v="5"/>
    <x v="2"/>
    <x v="2"/>
    <n v="7"/>
    <x v="1"/>
    <n v="0.5"/>
    <s v="F"/>
  </r>
  <r>
    <n v="1183"/>
    <x v="5"/>
    <s v="BOM Setup (VAS)"/>
    <s v="Net Wt UOM"/>
    <n v="1"/>
    <s v="77, 124"/>
    <s v="dd: GM, OZ"/>
    <m/>
    <s v="Requestor"/>
    <s v="Masterfiles"/>
    <m/>
    <m/>
    <s v="1187 dependent on 1137 [VAS]"/>
    <m/>
    <s v="pending"/>
    <s v="current"/>
    <x v="5"/>
    <x v="5"/>
    <x v="2"/>
    <x v="2"/>
    <n v="7"/>
    <x v="1"/>
    <n v="0.5"/>
    <s v="F"/>
  </r>
  <r>
    <n v="1184"/>
    <x v="5"/>
    <s v="BOM Setup (VAS)"/>
    <s v="Component Pkgs Per Case"/>
    <n v="1"/>
    <s v="77, 124"/>
    <s v="free form"/>
    <m/>
    <s v="Requestor"/>
    <s v="Masterfiles"/>
    <m/>
    <m/>
    <s v="1187 dependent on 1137 [VAS]"/>
    <m/>
    <s v="pending"/>
    <s v="current"/>
    <x v="5"/>
    <x v="5"/>
    <x v="2"/>
    <x v="2"/>
    <n v="7"/>
    <x v="1"/>
    <n v="0.5"/>
    <s v="F"/>
  </r>
  <r>
    <n v="1185"/>
    <x v="5"/>
    <s v="BOM Setup (VAS)"/>
    <s v="Packages Per Mod Assortment"/>
    <n v="1"/>
    <s v="77, 124"/>
    <s v="free form"/>
    <m/>
    <s v="Requestor"/>
    <s v="Masterfiles"/>
    <m/>
    <m/>
    <s v="1187 dependent on 1137 [VAS]"/>
    <m/>
    <s v="pending"/>
    <s v="current"/>
    <x v="5"/>
    <x v="5"/>
    <x v="2"/>
    <x v="2"/>
    <n v="7"/>
    <x v="1"/>
    <n v="0.5"/>
    <s v="F"/>
  </r>
  <r>
    <n v="1186"/>
    <x v="5"/>
    <s v="BOM Setup (VAS)"/>
    <s v="Number of Cases Required"/>
    <n v="1"/>
    <s v="77, 124"/>
    <s v="free form"/>
    <m/>
    <s v="Requestor"/>
    <s v="Masterfiles"/>
    <m/>
    <m/>
    <s v="1187 dependent on 1137 [VAS]"/>
    <m/>
    <s v="pending"/>
    <s v="current"/>
    <x v="5"/>
    <x v="5"/>
    <x v="2"/>
    <x v="2"/>
    <n v="7"/>
    <x v="1"/>
    <n v="0.5"/>
    <s v="F"/>
  </r>
  <r>
    <n v="1187"/>
    <x v="5"/>
    <s v="BOM Setup (VAS)"/>
    <s v="Taxable"/>
    <n v="1"/>
    <s v="77, 124"/>
    <s v="dd: YES, NO"/>
    <m/>
    <s v="Requestor"/>
    <s v="Masterfiles"/>
    <m/>
    <s v="also called &quot;BOM_Taxable&quot;"/>
    <s v="1187 dependent on 1137 [VAS]"/>
    <m/>
    <s v="pending"/>
    <s v="current"/>
    <x v="5"/>
    <x v="5"/>
    <x v="2"/>
    <x v="2"/>
    <n v="7"/>
    <x v="1"/>
    <n v="0.5"/>
    <s v="F"/>
  </r>
  <r>
    <n v="1188"/>
    <x v="5"/>
    <s v="Variety Pack 0200 BOM Setup"/>
    <s v="WIP SKU"/>
    <n v="1"/>
    <s v="77, 124"/>
    <s v="free form"/>
    <m/>
    <s v="Requestor"/>
    <s v="Masterfiles"/>
    <m/>
    <m/>
    <s v="1188 dependent 1031 [VP], 1137 [VAS]"/>
    <m/>
    <s v="pending"/>
    <s v="current"/>
    <x v="5"/>
    <x v="5"/>
    <x v="2"/>
    <x v="2"/>
    <n v="7"/>
    <x v="1"/>
    <n v="0.5"/>
    <s v="F"/>
  </r>
  <r>
    <n v="1189"/>
    <x v="5"/>
    <s v="Variety Pack 0200 BOM Setup"/>
    <s v="Pkgs Per Case or WIP"/>
    <n v="1"/>
    <s v="77, 124"/>
    <s v="free form"/>
    <m/>
    <s v="Requestor"/>
    <s v="Masterfiles"/>
    <m/>
    <m/>
    <s v="1188 dependent 1031 [VP], 1137 [VAS]"/>
    <m/>
    <s v="pending"/>
    <s v="current"/>
    <x v="5"/>
    <x v="5"/>
    <x v="2"/>
    <x v="2"/>
    <n v="7"/>
    <x v="1"/>
    <n v="0.5"/>
    <s v="F"/>
  </r>
  <r>
    <n v="1190"/>
    <x v="5"/>
    <s v="Variety Pack 0200 BOM Setup"/>
    <s v="Components Per Variety Pack"/>
    <n v="1"/>
    <s v="77, 124"/>
    <s v="free form"/>
    <m/>
    <s v="Requestor"/>
    <s v="Masterfiles"/>
    <m/>
    <m/>
    <s v="1188 dependent 1031 [VP], 1137 [VAS]"/>
    <m/>
    <s v="pending"/>
    <s v="current"/>
    <x v="5"/>
    <x v="5"/>
    <x v="2"/>
    <x v="2"/>
    <n v="7"/>
    <x v="1"/>
    <n v="0.5"/>
    <s v="F"/>
  </r>
  <r>
    <n v="1191"/>
    <x v="5"/>
    <s v="Variety Pack 0200 BOM Setup"/>
    <s v="Variety Packages Per Case"/>
    <n v="1"/>
    <s v="77, 124"/>
    <s v="free form"/>
    <m/>
    <s v="Requestor"/>
    <s v="Masterfiles"/>
    <m/>
    <m/>
    <s v="1188 dependent 1031 [VP], 1137 [VAS]"/>
    <m/>
    <s v="pending"/>
    <s v="current"/>
    <x v="5"/>
    <x v="5"/>
    <x v="2"/>
    <x v="2"/>
    <n v="7"/>
    <x v="1"/>
    <n v="0.5"/>
    <s v="F"/>
  </r>
  <r>
    <n v="1192"/>
    <x v="5"/>
    <s v="Variety Pack 0200 BOM Setup"/>
    <s v="Calculation Check"/>
    <n v="1"/>
    <s v="77, 124"/>
    <s v="free form"/>
    <m/>
    <s v="Requestor"/>
    <s v="Masterfiles"/>
    <m/>
    <m/>
    <s v="1188 dependent 1031 [VP], 1137 [VAS]"/>
    <m/>
    <s v="pending"/>
    <s v="current"/>
    <x v="5"/>
    <x v="5"/>
    <x v="2"/>
    <x v="2"/>
    <n v="7"/>
    <x v="1"/>
    <n v="0.5"/>
    <s v="F"/>
  </r>
  <r>
    <n v="1193"/>
    <x v="10"/>
    <s v="General Product Data"/>
    <s v="Display Vehicle"/>
    <n v="1"/>
    <n v="80"/>
    <s v="dd: reference list: PRL: Display Vehicle"/>
    <m/>
    <s v="LIM"/>
    <m/>
    <m/>
    <s v="dependent on FORM TYPE: DISPLAY; 4 rules; actually part of Requestor Update; after Pack Size"/>
    <s v="4 rules"/>
    <m/>
    <s v="pending"/>
    <s v="current"/>
    <x v="10"/>
    <x v="1"/>
    <x v="2"/>
    <x v="2"/>
    <m/>
    <x v="1"/>
    <n v="0.5"/>
    <s v="F"/>
  </r>
  <r>
    <n v="1194"/>
    <x v="10"/>
    <s v="General Product Data"/>
    <s v="Material Freight Group"/>
    <n v="1"/>
    <n v="80"/>
    <s v="dd: reference list: PRL: Material Freight Group"/>
    <m/>
    <s v="LIM"/>
    <m/>
    <m/>
    <m/>
    <m/>
    <m/>
    <s v="upcoming"/>
    <s v="current"/>
    <x v="10"/>
    <x v="1"/>
    <x v="2"/>
    <x v="2"/>
    <m/>
    <x v="1"/>
    <n v="0.5"/>
    <s v="F"/>
  </r>
  <r>
    <n v="1195"/>
    <x v="10"/>
    <s v="General Product Data"/>
    <s v="Chocolate Enrobed"/>
    <n v="1"/>
    <n v="80"/>
    <s v="dd: YES, NO"/>
    <m/>
    <s v="LIM"/>
    <m/>
    <m/>
    <m/>
    <m/>
    <m/>
    <s v="upcoming"/>
    <s v="current"/>
    <x v="10"/>
    <x v="1"/>
    <x v="2"/>
    <x v="2"/>
    <m/>
    <x v="1"/>
    <n v="0.5"/>
    <s v="F"/>
  </r>
  <r>
    <n v="1196"/>
    <x v="10"/>
    <s v="General Product Data"/>
    <s v="Pouch Size"/>
    <n v="0"/>
    <n v="80"/>
    <s v="autofill"/>
    <m/>
    <s v="LIM"/>
    <m/>
    <m/>
    <m/>
    <m/>
    <m/>
    <s v="upcoming"/>
    <s v="current"/>
    <x v="10"/>
    <x v="1"/>
    <x v="2"/>
    <x v="2"/>
    <m/>
    <x v="0"/>
    <n v="0"/>
    <s v="F"/>
  </r>
  <r>
    <n v="1197"/>
    <x v="10"/>
    <s v="General Product Data"/>
    <s v="Pouch Size UOM"/>
    <n v="0"/>
    <n v="80"/>
    <s v="autofill"/>
    <m/>
    <s v="LIM"/>
    <m/>
    <m/>
    <m/>
    <m/>
    <m/>
    <s v="upcoming"/>
    <s v="current"/>
    <x v="10"/>
    <x v="1"/>
    <x v="2"/>
    <x v="2"/>
    <m/>
    <x v="0"/>
    <n v="0"/>
    <s v="F"/>
  </r>
  <r>
    <n v="1198"/>
    <x v="10"/>
    <s v="General Product Data"/>
    <s v="Package Size"/>
    <n v="0"/>
    <n v="80"/>
    <s v="autofill"/>
    <m/>
    <s v="LIM"/>
    <m/>
    <m/>
    <m/>
    <m/>
    <m/>
    <s v="upcoming"/>
    <s v="current"/>
    <x v="10"/>
    <x v="1"/>
    <x v="2"/>
    <x v="2"/>
    <m/>
    <x v="0"/>
    <n v="0"/>
    <s v="F"/>
  </r>
  <r>
    <n v="1199"/>
    <x v="10"/>
    <s v="General Product Data"/>
    <s v="Package Size UOM"/>
    <n v="0"/>
    <n v="80"/>
    <s v="autofill"/>
    <m/>
    <s v="LIM"/>
    <m/>
    <m/>
    <m/>
    <m/>
    <m/>
    <s v="upcoming"/>
    <s v="current"/>
    <x v="10"/>
    <x v="1"/>
    <x v="2"/>
    <x v="2"/>
    <m/>
    <x v="0"/>
    <n v="0"/>
    <s v="F"/>
  </r>
  <r>
    <n v="1200"/>
    <x v="10"/>
    <s v="General Product Data"/>
    <s v="Country of Origin"/>
    <n v="1"/>
    <n v="80"/>
    <s v="dd: reference list: PRL: Country of Origin"/>
    <m/>
    <s v="LIM"/>
    <m/>
    <m/>
    <m/>
    <m/>
    <m/>
    <s v="upcoming"/>
    <s v="current"/>
    <x v="10"/>
    <x v="1"/>
    <x v="2"/>
    <x v="2"/>
    <m/>
    <x v="1"/>
    <n v="0.5"/>
    <s v="F"/>
  </r>
  <r>
    <n v="1201"/>
    <x v="10"/>
    <s v="Manufacturing Locations"/>
    <s v="Is the Manufacturing Location a Co-Man or Co-Packer"/>
    <n v="1"/>
    <s v="81, 82"/>
    <s v="dd: YES, NO"/>
    <m/>
    <s v="LIM"/>
    <m/>
    <m/>
    <m/>
    <m/>
    <m/>
    <s v="upcoming"/>
    <s v="current"/>
    <x v="10"/>
    <x v="1"/>
    <x v="2"/>
    <x v="2"/>
    <m/>
    <x v="1"/>
    <n v="0.5"/>
    <s v="F"/>
  </r>
  <r>
    <n v="1202"/>
    <x v="10"/>
    <s v="(buttons) Returns"/>
    <s v="(LIM Upd) Return Comments"/>
    <n v="1"/>
    <n v="81"/>
    <s v="free form"/>
    <m/>
    <s v="LIM"/>
    <m/>
    <m/>
    <m/>
    <m/>
    <m/>
    <s v="upcoming"/>
    <s v="current"/>
    <x v="10"/>
    <x v="1"/>
    <x v="2"/>
    <x v="2"/>
    <m/>
    <x v="1"/>
    <n v="0.5"/>
    <s v="F"/>
  </r>
  <r>
    <n v="1203"/>
    <x v="10"/>
    <s v="Manufacturing Locations"/>
    <s v="VAS Plant Groups"/>
    <n v="1"/>
    <n v="82"/>
    <s v="dd: reference list: VAS_PLANTS.XLSX"/>
    <m/>
    <s v="LIM"/>
    <m/>
    <m/>
    <s v="for REPACKS &amp; DISPLAYS"/>
    <m/>
    <m/>
    <s v="upcoming"/>
    <s v="current"/>
    <x v="10"/>
    <x v="1"/>
    <x v="2"/>
    <x v="2"/>
    <m/>
    <x v="3"/>
    <n v="1"/>
    <s v="F"/>
  </r>
  <r>
    <n v="1204"/>
    <x v="11"/>
    <s v="Select Sub-Brand"/>
    <s v="Sub-Brand"/>
    <n v="1"/>
    <n v="84"/>
    <s v="dd: reference list: PRL: Sub Brand (Finance)"/>
    <m/>
    <s v="EPM Finance"/>
    <m/>
    <m/>
    <m/>
    <m/>
    <m/>
    <s v="upcoming"/>
    <s v="future"/>
    <x v="11"/>
    <x v="6"/>
    <x v="3"/>
    <x v="3"/>
    <m/>
    <x v="1"/>
    <n v="0.5"/>
    <s v="H"/>
  </r>
  <r>
    <n v="1205"/>
    <x v="11"/>
    <s v="(buttons) Returns"/>
    <s v="(EPM) Return Comments"/>
    <n v="1"/>
    <n v="84"/>
    <s v="free form"/>
    <m/>
    <s v="EPM Finance"/>
    <m/>
    <m/>
    <m/>
    <m/>
    <m/>
    <s v="upcoming"/>
    <s v="future"/>
    <x v="11"/>
    <x v="6"/>
    <x v="3"/>
    <x v="3"/>
    <m/>
    <x v="1"/>
    <n v="0.5"/>
    <s v="H"/>
  </r>
  <r>
    <n v="1206"/>
    <x v="12"/>
    <s v="Product Details - Brand Derived"/>
    <s v="(DI Review) Return Comments"/>
    <n v="1"/>
    <n v="86"/>
    <s v="free form"/>
    <m/>
    <s v="Data Integrity"/>
    <m/>
    <m/>
    <m/>
    <m/>
    <m/>
    <s v="upcoming"/>
    <s v="future"/>
    <x v="12"/>
    <x v="6"/>
    <x v="3"/>
    <x v="3"/>
    <m/>
    <x v="1"/>
    <n v="0.5"/>
    <s v="H"/>
  </r>
  <r>
    <n v="1207"/>
    <x v="13"/>
    <s v="Product Details"/>
    <s v="Max Storage Period/Ship Life"/>
    <n v="1"/>
    <n v="88"/>
    <s v="free form"/>
    <m/>
    <s v="R&amp;D Quality"/>
    <m/>
    <m/>
    <m/>
    <s v="5 rules"/>
    <m/>
    <s v="pending"/>
    <s v="future"/>
    <x v="13"/>
    <x v="6"/>
    <x v="3"/>
    <x v="3"/>
    <m/>
    <x v="1"/>
    <n v="0.5"/>
    <s v="H"/>
  </r>
  <r>
    <n v="1208"/>
    <x v="13"/>
    <s v="R &amp; D Quality"/>
    <s v="PES Food Review"/>
    <n v="1"/>
    <n v="89"/>
    <s v="dd: YES, NO"/>
    <m/>
    <s v="R&amp;D Quality"/>
    <m/>
    <m/>
    <m/>
    <m/>
    <m/>
    <s v="upcoming"/>
    <s v="future"/>
    <x v="13"/>
    <x v="6"/>
    <x v="3"/>
    <x v="3"/>
    <m/>
    <x v="1"/>
    <n v="0.5"/>
    <s v="H"/>
  </r>
  <r>
    <n v="1209"/>
    <x v="13"/>
    <s v="R &amp; D Quality"/>
    <s v="Defect Group"/>
    <n v="1"/>
    <n v="89"/>
    <s v="dd: reference list: PRL: Defect Group"/>
    <m/>
    <s v="R&amp;D Quality"/>
    <m/>
    <m/>
    <m/>
    <m/>
    <m/>
    <s v="upcoming"/>
    <s v="future"/>
    <x v="13"/>
    <x v="6"/>
    <x v="3"/>
    <x v="3"/>
    <m/>
    <x v="1"/>
    <n v="0.5"/>
    <s v="H"/>
  </r>
  <r>
    <n v="1210"/>
    <x v="13"/>
    <s v="R &amp; D Quality"/>
    <s v="Multi Defect Group"/>
    <n v="1"/>
    <n v="89"/>
    <s v="dd: YES, NO"/>
    <m/>
    <s v="R&amp;D Quality"/>
    <m/>
    <m/>
    <m/>
    <m/>
    <m/>
    <s v="upcoming"/>
    <s v="future"/>
    <x v="13"/>
    <x v="6"/>
    <x v="3"/>
    <x v="3"/>
    <m/>
    <x v="1"/>
    <n v="0.5"/>
    <s v="H"/>
  </r>
  <r>
    <n v="1211"/>
    <x v="14"/>
    <s v="Food Weights"/>
    <s v="Grams per piece"/>
    <n v="1"/>
    <n v="94"/>
    <s v="free form"/>
    <m/>
    <s v="Nutrition Labeling"/>
    <m/>
    <m/>
    <m/>
    <m/>
    <m/>
    <s v="upcoming"/>
    <s v="future"/>
    <x v="14"/>
    <x v="7"/>
    <x v="4"/>
    <x v="4"/>
    <m/>
    <x v="1"/>
    <n v="0.5"/>
    <s v="G"/>
  </r>
  <r>
    <n v="1212"/>
    <x v="14"/>
    <s v="Food Weights"/>
    <s v="Weight Measure"/>
    <n v="1"/>
    <n v="94"/>
    <s v="radio button: IMPERIAL, METRIC"/>
    <m/>
    <s v="Nutrition Labeling"/>
    <m/>
    <m/>
    <m/>
    <m/>
    <m/>
    <s v="upcoming"/>
    <s v="future"/>
    <x v="14"/>
    <x v="7"/>
    <x v="4"/>
    <x v="4"/>
    <m/>
    <x v="1"/>
    <n v="0.5"/>
    <s v="G"/>
  </r>
  <r>
    <n v="1213"/>
    <x v="14"/>
    <s v="Food Weights"/>
    <s v="Metric Stated Net Pouch Weight (g/kg)"/>
    <n v="1"/>
    <n v="94"/>
    <s v="free form"/>
    <m/>
    <s v="Nutrition Labeling"/>
    <m/>
    <m/>
    <s v="dependent on: Weight Measure=METRIC"/>
    <m/>
    <m/>
    <s v="upcoming"/>
    <s v="future"/>
    <x v="14"/>
    <x v="7"/>
    <x v="4"/>
    <x v="4"/>
    <m/>
    <x v="1"/>
    <n v="0.5"/>
    <s v="G"/>
  </r>
  <r>
    <n v="1214"/>
    <x v="14"/>
    <s v="Food Weights"/>
    <s v="Metric Stated Net Pouch Size Unit"/>
    <n v="0"/>
    <n v="94"/>
    <s v="autofill"/>
    <m/>
    <s v="Nutrition Labeling"/>
    <m/>
    <m/>
    <s v="dependent on: Weight Measure=METRIC"/>
    <m/>
    <m/>
    <s v="upcoming"/>
    <s v="future"/>
    <x v="14"/>
    <x v="7"/>
    <x v="4"/>
    <x v="4"/>
    <m/>
    <x v="1"/>
    <n v="0"/>
    <s v="G"/>
  </r>
  <r>
    <n v="1215"/>
    <x v="14"/>
    <s v="Food Weights"/>
    <s v="Metric Stated Net Package Weight (g/kg)"/>
    <n v="1"/>
    <n v="94"/>
    <s v="free form"/>
    <m/>
    <s v="Nutrition Labeling"/>
    <m/>
    <m/>
    <s v="dependent on: Weight Measure=METRIC"/>
    <m/>
    <m/>
    <s v="upcoming"/>
    <s v="future"/>
    <x v="14"/>
    <x v="7"/>
    <x v="4"/>
    <x v="4"/>
    <m/>
    <x v="1"/>
    <n v="0.5"/>
    <s v="G"/>
  </r>
  <r>
    <n v="1216"/>
    <x v="14"/>
    <s v="Food Weights"/>
    <s v="Metric Stated Net Package Weight Unit"/>
    <n v="0"/>
    <n v="94"/>
    <s v="autofill"/>
    <m/>
    <s v="Nutrition Labeling"/>
    <m/>
    <m/>
    <s v="dependent on: Weight Measure=METRIC"/>
    <m/>
    <m/>
    <s v="upcoming"/>
    <s v="future"/>
    <x v="14"/>
    <x v="7"/>
    <x v="4"/>
    <x v="4"/>
    <m/>
    <x v="1"/>
    <n v="0"/>
    <s v="G"/>
  </r>
  <r>
    <n v="1217"/>
    <x v="14"/>
    <s v="Food Weights"/>
    <s v="Package Net Weight for SAP (Metric)"/>
    <n v="1"/>
    <n v="94"/>
    <s v="free form"/>
    <m/>
    <s v="Nutrition Labeling"/>
    <m/>
    <m/>
    <s v="dependent on: Weight Measure=METRIC"/>
    <m/>
    <m/>
    <s v="upcoming"/>
    <s v="future"/>
    <x v="14"/>
    <x v="7"/>
    <x v="4"/>
    <x v="4"/>
    <m/>
    <x v="1"/>
    <n v="0.5"/>
    <s v="G"/>
  </r>
  <r>
    <n v="1218"/>
    <x v="14"/>
    <s v="Food Weights"/>
    <s v="Stated Net Pouch Weight (oz/lb)"/>
    <n v="1"/>
    <n v="94"/>
    <s v="free form"/>
    <m/>
    <s v="Nutrition Labeling"/>
    <m/>
    <m/>
    <s v="dependent on: Weight Measure=IMPERIAL"/>
    <m/>
    <m/>
    <s v="upcoming"/>
    <s v="future"/>
    <x v="14"/>
    <x v="7"/>
    <x v="4"/>
    <x v="4"/>
    <m/>
    <x v="1"/>
    <n v="0.5"/>
    <s v="G"/>
  </r>
  <r>
    <n v="1219"/>
    <x v="14"/>
    <s v="Food Weights"/>
    <s v="Stated Net Pouch Weight Unit"/>
    <n v="0"/>
    <n v="94"/>
    <s v="autofill"/>
    <m/>
    <s v="Nutrition Labeling"/>
    <m/>
    <m/>
    <s v="dependent on: Weight Measure=IMPERIAL"/>
    <m/>
    <m/>
    <s v="upcoming"/>
    <s v="future"/>
    <x v="14"/>
    <x v="7"/>
    <x v="4"/>
    <x v="4"/>
    <m/>
    <x v="1"/>
    <n v="0"/>
    <s v="G"/>
  </r>
  <r>
    <n v="1220"/>
    <x v="14"/>
    <s v="Food Weights"/>
    <s v="Stated Net Package Weight (oz/lb)"/>
    <n v="1"/>
    <n v="94"/>
    <s v="free form"/>
    <m/>
    <s v="Nutrition Labeling"/>
    <m/>
    <m/>
    <s v="dependent on: Weight Measure=IMPERIAL"/>
    <m/>
    <m/>
    <s v="upcoming"/>
    <s v="future"/>
    <x v="14"/>
    <x v="7"/>
    <x v="4"/>
    <x v="4"/>
    <m/>
    <x v="1"/>
    <n v="0.5"/>
    <s v="G"/>
  </r>
  <r>
    <n v="1221"/>
    <x v="14"/>
    <s v="Food Weights"/>
    <s v="Stated Net Package Weight Unit"/>
    <n v="1"/>
    <n v="94"/>
    <s v="dd: OZ, LB"/>
    <m/>
    <s v="Nutrition Labeling"/>
    <m/>
    <m/>
    <s v="dependent on: Weight Measure=IMPERIAL"/>
    <m/>
    <m/>
    <s v="upcoming"/>
    <s v="future"/>
    <x v="14"/>
    <x v="7"/>
    <x v="4"/>
    <x v="4"/>
    <m/>
    <x v="1"/>
    <n v="0.5"/>
    <s v="G"/>
  </r>
  <r>
    <n v="1222"/>
    <x v="14"/>
    <s v="Food Weights"/>
    <s v="Package Net Weight for SAP (Imperial)"/>
    <n v="1"/>
    <n v="94"/>
    <s v="free form"/>
    <m/>
    <s v="Nutrition Labeling"/>
    <m/>
    <m/>
    <s v="dependent on: Weight Measure=IMPERIAL"/>
    <m/>
    <m/>
    <s v="upcoming"/>
    <s v="future"/>
    <x v="14"/>
    <x v="7"/>
    <x v="4"/>
    <x v="4"/>
    <m/>
    <x v="1"/>
    <n v="0.5"/>
    <s v="G"/>
  </r>
  <r>
    <n v="1223"/>
    <x v="14"/>
    <s v="Food Weights in grams/ounces"/>
    <s v="Metric Stated Net Pouch Weight (g)"/>
    <n v="1"/>
    <n v="94"/>
    <s v="calculation"/>
    <m/>
    <s v="Nutrition Labeling"/>
    <m/>
    <m/>
    <s v="calculations"/>
    <m/>
    <m/>
    <s v="upcoming"/>
    <s v="future"/>
    <x v="14"/>
    <x v="7"/>
    <x v="4"/>
    <x v="4"/>
    <m/>
    <x v="2"/>
    <n v="1.5"/>
    <s v="G"/>
  </r>
  <r>
    <n v="1224"/>
    <x v="14"/>
    <s v="Food Weights in grams/ounces"/>
    <s v="Metric Stated Net Package Weight (g)"/>
    <n v="1"/>
    <n v="94"/>
    <s v="calculation"/>
    <m/>
    <s v="Nutrition Labeling"/>
    <m/>
    <m/>
    <s v="calculations"/>
    <m/>
    <m/>
    <s v="upcoming"/>
    <s v="future"/>
    <x v="14"/>
    <x v="7"/>
    <x v="4"/>
    <x v="4"/>
    <m/>
    <x v="2"/>
    <n v="1.5"/>
    <s v="G"/>
  </r>
  <r>
    <n v="1225"/>
    <x v="14"/>
    <s v="Food Weights in grams/ounces"/>
    <s v="Stated Net Pouch Weight (oz)"/>
    <n v="1"/>
    <n v="94"/>
    <s v="calculation"/>
    <m/>
    <s v="Nutrition Labeling"/>
    <m/>
    <m/>
    <s v="calculations"/>
    <m/>
    <m/>
    <s v="upcoming"/>
    <s v="future"/>
    <x v="14"/>
    <x v="7"/>
    <x v="4"/>
    <x v="4"/>
    <m/>
    <x v="2"/>
    <n v="1.5"/>
    <s v="G"/>
  </r>
  <r>
    <n v="1226"/>
    <x v="14"/>
    <s v="Food Weights in grams/ounces"/>
    <s v="Stated Net Package Weight (oz)"/>
    <n v="1"/>
    <n v="94"/>
    <s v="calculation"/>
    <m/>
    <s v="Nutrition Labeling"/>
    <m/>
    <m/>
    <s v="calculations"/>
    <m/>
    <m/>
    <s v="upcoming"/>
    <s v="future"/>
    <x v="14"/>
    <x v="7"/>
    <x v="4"/>
    <x v="4"/>
    <m/>
    <x v="2"/>
    <n v="1.5"/>
    <s v="G"/>
  </r>
  <r>
    <n v="1227"/>
    <x v="14"/>
    <s v="Data Sync Requirements - Nutrition Labeling"/>
    <s v="Package Individual Unit Size"/>
    <n v="1"/>
    <n v="94"/>
    <s v="free form"/>
    <m/>
    <s v="Nutrition Labeling"/>
    <m/>
    <m/>
    <s v="dependent on: Form Type=BULK w/pkg upc"/>
    <m/>
    <m/>
    <s v="upcoming"/>
    <s v="future"/>
    <x v="14"/>
    <x v="7"/>
    <x v="4"/>
    <x v="4"/>
    <m/>
    <x v="1"/>
    <n v="0.5"/>
    <s v="G"/>
  </r>
  <r>
    <n v="1228"/>
    <x v="14"/>
    <s v="Data Sync Requirements - Nutrition Labeling"/>
    <s v="Package Individual Unit Size UOM"/>
    <n v="1"/>
    <n v="94"/>
    <s v="free form"/>
    <m/>
    <s v="Nutrition Labeling"/>
    <m/>
    <m/>
    <s v="dependent on: Form Type=BULK w/pkg upc"/>
    <m/>
    <m/>
    <s v="upcoming"/>
    <s v="future"/>
    <x v="14"/>
    <x v="7"/>
    <x v="4"/>
    <x v="4"/>
    <m/>
    <x v="1"/>
    <n v="0.5"/>
    <s v="G"/>
  </r>
  <r>
    <n v="1229"/>
    <x v="14"/>
    <s v="Data Sync Requirements - Nutrition Labeling"/>
    <s v="Package Inner Pack Quantity"/>
    <n v="1"/>
    <n v="94"/>
    <s v="free form"/>
    <m/>
    <s v="Nutrition Labeling"/>
    <m/>
    <m/>
    <s v="dependent on: Form Type=BULK w/pkg upc"/>
    <m/>
    <m/>
    <s v="upcoming"/>
    <s v="future"/>
    <x v="14"/>
    <x v="7"/>
    <x v="4"/>
    <x v="4"/>
    <m/>
    <x v="1"/>
    <n v="0.5"/>
    <s v="G"/>
  </r>
  <r>
    <n v="1230"/>
    <x v="14"/>
    <s v="Canada - Validate Food Form"/>
    <s v="Did you check the Food Form"/>
    <n v="1"/>
    <n v="94"/>
    <s v="checkbox"/>
    <m/>
    <s v="Nutrition Labeling"/>
    <m/>
    <m/>
    <s v="dependent on: Product Country=CANADA"/>
    <m/>
    <m/>
    <s v="upcoming"/>
    <s v="future"/>
    <x v="14"/>
    <x v="7"/>
    <x v="4"/>
    <x v="4"/>
    <m/>
    <x v="1"/>
    <n v="0.5"/>
    <s v="G"/>
  </r>
  <r>
    <n v="1231"/>
    <x v="14"/>
    <s v="Net Wt. Statement for Graphics"/>
    <s v="Pouch"/>
    <n v="1"/>
    <n v="94"/>
    <s v="free form"/>
    <m/>
    <s v="Nutrition Labeling"/>
    <m/>
    <m/>
    <m/>
    <m/>
    <m/>
    <s v="upcoming"/>
    <s v="future"/>
    <x v="14"/>
    <x v="7"/>
    <x v="4"/>
    <x v="4"/>
    <m/>
    <x v="1"/>
    <n v="0.5"/>
    <s v="G"/>
  </r>
  <r>
    <n v="1232"/>
    <x v="14"/>
    <s v="Net Wt. Statement for Graphics"/>
    <s v="Package"/>
    <n v="1"/>
    <n v="94"/>
    <s v="free form"/>
    <m/>
    <s v="Nutrition Labeling"/>
    <m/>
    <m/>
    <m/>
    <m/>
    <m/>
    <s v="upcoming"/>
    <s v="future"/>
    <x v="14"/>
    <x v="7"/>
    <x v="4"/>
    <x v="4"/>
    <m/>
    <x v="1"/>
    <n v="0.5"/>
    <s v="G"/>
  </r>
  <r>
    <n v="1233"/>
    <x v="14"/>
    <s v="Net Wt. Statement for Graphics"/>
    <s v="Case"/>
    <n v="1"/>
    <n v="94"/>
    <s v="free form"/>
    <m/>
    <s v="Nutrition Labeling"/>
    <m/>
    <m/>
    <m/>
    <m/>
    <m/>
    <s v="upcoming"/>
    <s v="future"/>
    <x v="14"/>
    <x v="7"/>
    <x v="4"/>
    <x v="4"/>
    <m/>
    <x v="1"/>
    <n v="0.5"/>
    <s v="G"/>
  </r>
  <r>
    <n v="1234"/>
    <x v="14"/>
    <s v="Net Wt. Statement for Graphics"/>
    <s v="(NL) Return Comments"/>
    <n v="1"/>
    <n v="94"/>
    <s v="free form"/>
    <m/>
    <s v="Nutrition Labeling"/>
    <m/>
    <m/>
    <m/>
    <m/>
    <m/>
    <s v="upcoming"/>
    <s v="future"/>
    <x v="14"/>
    <x v="7"/>
    <x v="4"/>
    <x v="4"/>
    <m/>
    <x v="1"/>
    <n v="0.5"/>
    <s v="G"/>
  </r>
  <r>
    <n v="1235"/>
    <x v="15"/>
    <s v="Packaging Details"/>
    <s v="Pringles Can Size"/>
    <n v="0"/>
    <n v="97"/>
    <s v="autofill"/>
    <m/>
    <s v="Packaging Tech"/>
    <m/>
    <m/>
    <s v="Packaging Tech task: For Pringles only, in the Packaging Details section, the Pringles Can Size and Pringles Cube Size are open for population, but not required. If not Pringles, both are grayed out/locked."/>
    <s v="1235 dependent on &quot;pringles&quot; (1011) =open but not required"/>
    <m/>
    <s v="pending"/>
    <s v="early"/>
    <x v="15"/>
    <x v="7"/>
    <x v="4"/>
    <x v="4"/>
    <m/>
    <x v="0"/>
    <n v="0"/>
    <s v="G"/>
  </r>
  <r>
    <n v="1236"/>
    <x v="15"/>
    <s v="Packaging Details"/>
    <s v="Unit Load Stacking Factor"/>
    <n v="1"/>
    <n v="97"/>
    <s v="dd: reference list: PRL: Stacking Factor"/>
    <m/>
    <s v="Packaging Tech"/>
    <m/>
    <m/>
    <m/>
    <m/>
    <m/>
    <s v="upcoming"/>
    <s v="future"/>
    <x v="15"/>
    <x v="7"/>
    <x v="4"/>
    <x v="4"/>
    <m/>
    <x v="1"/>
    <n v="0.5"/>
    <s v="G"/>
  </r>
  <r>
    <n v="1237"/>
    <x v="15"/>
    <s v="Packaging Details"/>
    <s v="Packaging Profile"/>
    <n v="1"/>
    <n v="97"/>
    <s v="dd: reference list: PRL: Packaging Profile"/>
    <m/>
    <s v="Packaging Tech"/>
    <m/>
    <m/>
    <m/>
    <m/>
    <m/>
    <s v="upcoming"/>
    <s v="future"/>
    <x v="15"/>
    <x v="7"/>
    <x v="4"/>
    <x v="4"/>
    <m/>
    <x v="1"/>
    <n v="0.5"/>
    <s v="G"/>
  </r>
  <r>
    <n v="1238"/>
    <x v="15"/>
    <s v="Packaging Details"/>
    <s v="Handling Platform Type"/>
    <n v="1"/>
    <n v="97"/>
    <s v="dd: reference list: PRL: Handling Platform Type"/>
    <m/>
    <s v="Packaging Tech"/>
    <m/>
    <m/>
    <m/>
    <m/>
    <m/>
    <s v="upcoming"/>
    <s v="future"/>
    <x v="15"/>
    <x v="7"/>
    <x v="4"/>
    <x v="4"/>
    <m/>
    <x v="1"/>
    <n v="0.5"/>
    <s v="G"/>
  </r>
  <r>
    <n v="1239"/>
    <x v="15"/>
    <s v="Packaging Details"/>
    <s v="RTEC/Pringles Cube Size"/>
    <n v="1"/>
    <n v="97"/>
    <s v="dd: reference list: PRL: Cube Size"/>
    <m/>
    <s v="Packaging Tech"/>
    <m/>
    <m/>
    <s v="Packaging Tech task: For Pringles only, in the Packaging Details section, the Pringles Can Size and Pringles Cube Size are open for population, but not required. If not Pringles, both are grayed out/locked."/>
    <s v="1239 dependent on &quot;pringles&quot; (1011) =open but not required"/>
    <m/>
    <s v="pending"/>
    <s v="early"/>
    <x v="15"/>
    <x v="7"/>
    <x v="4"/>
    <x v="4"/>
    <m/>
    <x v="1"/>
    <n v="0.5"/>
    <s v="G"/>
  </r>
  <r>
    <n v="1240"/>
    <x v="15"/>
    <s v="Packaging Details"/>
    <s v="Clamp Pressure"/>
    <n v="1"/>
    <n v="97"/>
    <s v="dd: reference list: PRL: Clamp Pressure"/>
    <m/>
    <s v="Packaging Tech"/>
    <m/>
    <m/>
    <m/>
    <m/>
    <m/>
    <s v="upcoming"/>
    <s v="future"/>
    <x v="15"/>
    <x v="7"/>
    <x v="4"/>
    <x v="4"/>
    <m/>
    <x v="1"/>
    <n v="0.5"/>
    <s v="G"/>
  </r>
  <r>
    <n v="1241"/>
    <x v="15"/>
    <s v="Alternate Units of Measure"/>
    <s v="Dim/Gross Wght Req"/>
    <n v="0"/>
    <n v="98"/>
    <s v="autofill"/>
    <m/>
    <s v="Packaging Tech"/>
    <m/>
    <m/>
    <m/>
    <m/>
    <m/>
    <s v="upcoming"/>
    <s v="future"/>
    <x v="15"/>
    <x v="7"/>
    <x v="4"/>
    <x v="4"/>
    <m/>
    <x v="0"/>
    <n v="0"/>
    <s v="G"/>
  </r>
  <r>
    <n v="1242"/>
    <x v="15"/>
    <s v="Alternate Units of Measure"/>
    <s v="Dim Details"/>
    <n v="0"/>
    <n v="98"/>
    <s v="autofill"/>
    <m/>
    <s v="Packaging Tech"/>
    <m/>
    <m/>
    <m/>
    <m/>
    <m/>
    <s v="upcoming"/>
    <s v="future"/>
    <x v="15"/>
    <x v="7"/>
    <x v="4"/>
    <x v="4"/>
    <m/>
    <x v="0"/>
    <n v="0"/>
    <s v="G"/>
  </r>
  <r>
    <n v="1243"/>
    <x v="15"/>
    <s v="Alternate Units of Measure"/>
    <s v="Gross Wght Dtls"/>
    <n v="0"/>
    <n v="98"/>
    <s v="autofill"/>
    <m/>
    <s v="Packaging Tech"/>
    <m/>
    <m/>
    <m/>
    <m/>
    <m/>
    <s v="upcoming"/>
    <s v="future"/>
    <x v="15"/>
    <x v="7"/>
    <x v="4"/>
    <x v="4"/>
    <m/>
    <x v="0"/>
    <n v="0"/>
    <s v="G"/>
  </r>
  <r>
    <n v="1244"/>
    <x v="15"/>
    <s v="Packaging Components"/>
    <s v="Component K #"/>
    <n v="1"/>
    <s v="99, 125"/>
    <s v="free form"/>
    <m/>
    <s v="Packaging Tech"/>
    <s v="Masterfiles"/>
    <m/>
    <m/>
    <m/>
    <m/>
    <s v="upcoming"/>
    <s v="future"/>
    <x v="15"/>
    <x v="7"/>
    <x v="4"/>
    <x v="4"/>
    <m/>
    <x v="1"/>
    <n v="0.5"/>
    <s v="G"/>
  </r>
  <r>
    <n v="1245"/>
    <x v="15"/>
    <s v="Packaging Components"/>
    <s v="Component Description"/>
    <n v="1"/>
    <s v="99, 125"/>
    <s v="free form"/>
    <m/>
    <s v="Packaging Tech"/>
    <s v="Masterfiles"/>
    <m/>
    <m/>
    <m/>
    <m/>
    <s v="upcoming"/>
    <s v="future"/>
    <x v="15"/>
    <x v="7"/>
    <x v="4"/>
    <x v="4"/>
    <m/>
    <x v="1"/>
    <n v="0.5"/>
    <s v="G"/>
  </r>
  <r>
    <n v="1246"/>
    <x v="15"/>
    <s v="Packaging Components"/>
    <s v="Unit of Measure"/>
    <n v="1"/>
    <s v="99, 125"/>
    <s v="dd: reference list"/>
    <m/>
    <s v="Packaging Tech"/>
    <s v="Masterfiles"/>
    <m/>
    <m/>
    <m/>
    <m/>
    <s v="upcoming"/>
    <s v="future"/>
    <x v="15"/>
    <x v="7"/>
    <x v="4"/>
    <x v="4"/>
    <m/>
    <x v="1"/>
    <n v="0.5"/>
    <s v="G"/>
  </r>
  <r>
    <n v="1247"/>
    <x v="15"/>
    <s v="Packaging Components"/>
    <s v="Number Required per UOM"/>
    <n v="1"/>
    <s v="99, 125"/>
    <s v="free form"/>
    <m/>
    <s v="Packaging Tech"/>
    <s v="Masterfiles"/>
    <m/>
    <m/>
    <m/>
    <m/>
    <s v="upcoming"/>
    <s v="future"/>
    <x v="15"/>
    <x v="7"/>
    <x v="4"/>
    <x v="4"/>
    <m/>
    <x v="1"/>
    <n v="0.5"/>
    <s v="G"/>
  </r>
  <r>
    <n v="1248"/>
    <x v="15"/>
    <s v="Packaging Components"/>
    <s v="Dieline"/>
    <n v="1"/>
    <s v="99, 125"/>
    <s v="free form"/>
    <m/>
    <s v="Packaging Tech"/>
    <s v="Masterfiles"/>
    <m/>
    <m/>
    <m/>
    <m/>
    <s v="upcoming"/>
    <s v="future"/>
    <x v="15"/>
    <x v="7"/>
    <x v="4"/>
    <x v="4"/>
    <m/>
    <x v="1"/>
    <n v="0.5"/>
    <s v="G"/>
  </r>
  <r>
    <n v="1249"/>
    <x v="15"/>
    <s v="Packaging Components"/>
    <s v="Supplier"/>
    <n v="1"/>
    <s v="99, 125"/>
    <s v="free form"/>
    <m/>
    <s v="Packaging Tech"/>
    <s v="Masterfiles"/>
    <m/>
    <m/>
    <m/>
    <m/>
    <s v="upcoming"/>
    <s v="future"/>
    <x v="15"/>
    <x v="7"/>
    <x v="4"/>
    <x v="4"/>
    <m/>
    <x v="1"/>
    <n v="0.5"/>
    <s v="G"/>
  </r>
  <r>
    <n v="1250"/>
    <x v="15"/>
    <s v="Packaging Components"/>
    <s v="Print(Y/N)"/>
    <n v="1"/>
    <s v="99, 125"/>
    <s v="dd: YES, NO"/>
    <m/>
    <s v="Packaging Tech"/>
    <s v="Masterfiles"/>
    <m/>
    <m/>
    <m/>
    <m/>
    <s v="upcoming"/>
    <s v="future"/>
    <x v="15"/>
    <x v="7"/>
    <x v="4"/>
    <x v="4"/>
    <m/>
    <x v="1"/>
    <n v="0.5"/>
    <s v="G"/>
  </r>
  <r>
    <n v="1251"/>
    <x v="15"/>
    <s v="Packaging Components"/>
    <s v="Add to BOM"/>
    <n v="1"/>
    <s v="99, 125"/>
    <s v="dd: YES, NO"/>
    <m/>
    <s v="Packaging Tech"/>
    <s v="Masterfiles"/>
    <m/>
    <m/>
    <m/>
    <m/>
    <s v="upcoming"/>
    <s v="future"/>
    <x v="15"/>
    <x v="7"/>
    <x v="4"/>
    <x v="4"/>
    <m/>
    <x v="1"/>
    <n v="0.5"/>
    <s v="G"/>
  </r>
  <r>
    <n v="1252"/>
    <x v="15"/>
    <s v="Net Weight if no Nutrition Labeling"/>
    <s v="Net Weight"/>
    <n v="1"/>
    <n v="99"/>
    <s v="free form"/>
    <m/>
    <s v="Packaging Tech"/>
    <m/>
    <m/>
    <m/>
    <m/>
    <m/>
    <s v="upcoming"/>
    <s v="future"/>
    <x v="15"/>
    <x v="7"/>
    <x v="4"/>
    <x v="4"/>
    <m/>
    <x v="1"/>
    <n v="0.5"/>
    <s v="G"/>
  </r>
  <r>
    <n v="1253"/>
    <x v="15"/>
    <s v="Net Weight if no Nutrition Labeling"/>
    <s v="(Pkg Tech) Return Comments"/>
    <n v="1"/>
    <n v="99"/>
    <s v="free form"/>
    <m/>
    <s v="Packaging Tech"/>
    <m/>
    <m/>
    <m/>
    <m/>
    <m/>
    <s v="upcoming"/>
    <s v="future"/>
    <x v="15"/>
    <x v="7"/>
    <x v="4"/>
    <x v="4"/>
    <m/>
    <x v="1"/>
    <n v="0.5"/>
    <s v="G"/>
  </r>
  <r>
    <n v="1254"/>
    <x v="16"/>
    <s v="Material Group/Tax Data"/>
    <s v="Material Group 5"/>
    <n v="1"/>
    <n v="105"/>
    <s v="dd: reference list: PRL: Material Group 5"/>
    <m/>
    <s v="CA Finance Tax"/>
    <m/>
    <m/>
    <m/>
    <m/>
    <m/>
    <s v="upcoming"/>
    <s v="future"/>
    <x v="16"/>
    <x v="6"/>
    <x v="3"/>
    <x v="3"/>
    <m/>
    <x v="1"/>
    <n v="0.5"/>
    <s v="H"/>
  </r>
  <r>
    <n v="1255"/>
    <x v="16"/>
    <s v="Material Group/Tax Data"/>
    <s v="(CA Fin Tax) Return Comments"/>
    <n v="1"/>
    <n v="105"/>
    <s v="free form"/>
    <m/>
    <s v="CA Finance Tax"/>
    <m/>
    <m/>
    <m/>
    <m/>
    <m/>
    <s v="upcoming"/>
    <s v="future"/>
    <x v="16"/>
    <x v="6"/>
    <x v="3"/>
    <x v="3"/>
    <m/>
    <x v="1"/>
    <n v="0.5"/>
    <s v="H"/>
  </r>
  <r>
    <n v="1256"/>
    <x v="17"/>
    <s v="Pricing"/>
    <s v="Final Red K List Price (cs)"/>
    <n v="1"/>
    <n v="107"/>
    <s v="free form"/>
    <m/>
    <s v="Category Finance"/>
    <m/>
    <m/>
    <m/>
    <m/>
    <m/>
    <s v="upcoming"/>
    <s v="future"/>
    <x v="17"/>
    <x v="6"/>
    <x v="3"/>
    <x v="3"/>
    <m/>
    <x v="1"/>
    <n v="0.5"/>
    <s v="H"/>
  </r>
  <r>
    <n v="1257"/>
    <x v="18"/>
    <s v="(buttons) Returns"/>
    <s v="(DI Hier) Return Comments"/>
    <n v="1"/>
    <n v="110"/>
    <s v="free form"/>
    <m/>
    <s v="Data Integrity"/>
    <m/>
    <m/>
    <m/>
    <m/>
    <m/>
    <s v="upcoming"/>
    <s v="future"/>
    <x v="18"/>
    <x v="6"/>
    <x v="3"/>
    <x v="3"/>
    <m/>
    <x v="1"/>
    <n v="0.5"/>
    <s v="H"/>
  </r>
  <r>
    <n v="1258"/>
    <x v="19"/>
    <s v="LIM Dashboard Returns"/>
    <s v="(LIM DB) Return to Team"/>
    <n v="1"/>
    <s v="71, 111"/>
    <s v="dd: user roles"/>
    <m/>
    <s v="LIM"/>
    <m/>
    <m/>
    <s v="returning to previous team"/>
    <m/>
    <m/>
    <s v="upcoming"/>
    <s v="current"/>
    <x v="19"/>
    <x v="1"/>
    <x v="2"/>
    <x v="2"/>
    <m/>
    <x v="1"/>
    <n v="0.5"/>
    <s v="F"/>
  </r>
  <r>
    <n v="1259"/>
    <x v="19"/>
    <s v="LIM Dashboard Returns"/>
    <s v="(LIM DB) LIM Return Comments"/>
    <n v="1"/>
    <s v="71, 111"/>
    <s v="free form"/>
    <m/>
    <s v="LIM"/>
    <m/>
    <m/>
    <s v="can only return to one group at a time"/>
    <m/>
    <m/>
    <s v="upcoming"/>
    <s v="current"/>
    <x v="19"/>
    <x v="1"/>
    <x v="2"/>
    <x v="2"/>
    <m/>
    <x v="1"/>
    <n v="0.5"/>
    <s v="F"/>
  </r>
  <r>
    <n v="1260"/>
    <x v="20"/>
    <s v="Review Material Descriptions"/>
    <s v="Z1 Material Description"/>
    <n v="1"/>
    <n v="114"/>
    <s v="free form"/>
    <m/>
    <s v="Masterfiles"/>
    <m/>
    <m/>
    <m/>
    <m/>
    <m/>
    <s v="upcoming"/>
    <s v="future"/>
    <x v="20"/>
    <x v="8"/>
    <x v="3"/>
    <x v="3"/>
    <m/>
    <x v="1"/>
    <n v="0.5"/>
    <s v="H"/>
  </r>
  <r>
    <n v="1261"/>
    <x v="20"/>
    <s v="Review Material Descriptions"/>
    <s v="ZF Material Description"/>
    <n v="1"/>
    <n v="114"/>
    <s v="free form"/>
    <m/>
    <s v="Masterfiles"/>
    <m/>
    <m/>
    <m/>
    <m/>
    <m/>
    <s v="upcoming"/>
    <s v="future"/>
    <x v="20"/>
    <x v="8"/>
    <x v="3"/>
    <x v="3"/>
    <m/>
    <x v="1"/>
    <n v="0.5"/>
    <s v="H"/>
  </r>
  <r>
    <n v="1262"/>
    <x v="20"/>
    <s v="Review - Derived Values"/>
    <s v="Distribution Methods"/>
    <n v="1"/>
    <n v="114"/>
    <s v="dd: reference list: DISTRIBUTION_METHODS.XLSX"/>
    <m/>
    <s v="Masterfiles"/>
    <m/>
    <m/>
    <m/>
    <m/>
    <m/>
    <s v="upcoming"/>
    <s v="future"/>
    <x v="20"/>
    <x v="8"/>
    <x v="3"/>
    <x v="3"/>
    <m/>
    <x v="1"/>
    <n v="0.5"/>
    <s v="H"/>
  </r>
  <r>
    <n v="1263"/>
    <x v="20"/>
    <s v="Sales Organization Extension"/>
    <s v="Material Number (Sales Org Extension)"/>
    <n v="0"/>
    <n v="115"/>
    <s v="autofill"/>
    <m/>
    <s v="Masterfiles"/>
    <m/>
    <m/>
    <m/>
    <m/>
    <m/>
    <s v="upcoming"/>
    <s v="future"/>
    <x v="20"/>
    <x v="8"/>
    <x v="3"/>
    <x v="3"/>
    <m/>
    <x v="0"/>
    <n v="0"/>
    <s v="H"/>
  </r>
  <r>
    <n v="1264"/>
    <x v="20"/>
    <s v="Sales Organization Extension"/>
    <s v="New Sales Organization"/>
    <n v="0"/>
    <n v="115"/>
    <s v="autofill"/>
    <m/>
    <s v="Masterfiles"/>
    <m/>
    <m/>
    <m/>
    <m/>
    <m/>
    <s v="upcoming"/>
    <s v="future"/>
    <x v="20"/>
    <x v="8"/>
    <x v="3"/>
    <x v="3"/>
    <m/>
    <x v="0"/>
    <n v="0"/>
    <s v="H"/>
  </r>
  <r>
    <n v="1265"/>
    <x v="20"/>
    <s v="Sales Organization Extension"/>
    <s v="New Distribution Channel"/>
    <n v="0"/>
    <n v="115"/>
    <s v="autofill"/>
    <m/>
    <s v="Masterfiles"/>
    <m/>
    <m/>
    <m/>
    <m/>
    <m/>
    <s v="upcoming"/>
    <s v="future"/>
    <x v="20"/>
    <x v="8"/>
    <x v="3"/>
    <x v="3"/>
    <m/>
    <x v="0"/>
    <n v="0"/>
    <s v="H"/>
  </r>
  <r>
    <n v="1266"/>
    <x v="20"/>
    <s v="Sales Organization Extension"/>
    <s v="Tax Code"/>
    <n v="1"/>
    <n v="115"/>
    <s v="free form"/>
    <m/>
    <s v="Masterfiles"/>
    <m/>
    <m/>
    <m/>
    <s v="Sales_Org_CA_Tax  (LIM Forecast - field name: Canada Tax Code); see notes from 9/25/25"/>
    <m/>
    <s v="upcoming"/>
    <s v="future"/>
    <x v="20"/>
    <x v="8"/>
    <x v="3"/>
    <x v="3"/>
    <m/>
    <x v="1"/>
    <n v="0.5"/>
    <s v="H"/>
  </r>
  <r>
    <n v="1267"/>
    <x v="20"/>
    <s v="Masterfiles Approval Returns"/>
    <s v="Requestor Update"/>
    <n v="1"/>
    <n v="118"/>
    <s v="checkbox"/>
    <m/>
    <s v="Masterfiles"/>
    <m/>
    <m/>
    <m/>
    <m/>
    <m/>
    <s v="upcoming"/>
    <s v="future"/>
    <x v="20"/>
    <x v="8"/>
    <x v="3"/>
    <x v="3"/>
    <m/>
    <x v="1"/>
    <n v="0.5"/>
    <s v="H"/>
  </r>
  <r>
    <n v="1268"/>
    <x v="20"/>
    <s v="Masterfiles Approval Returns"/>
    <s v="(MF) Requestor Update Return Comments"/>
    <n v="1"/>
    <n v="118"/>
    <s v="free form"/>
    <m/>
    <s v="Masterfiles"/>
    <m/>
    <m/>
    <m/>
    <m/>
    <m/>
    <s v="upcoming"/>
    <s v="future"/>
    <x v="20"/>
    <x v="8"/>
    <x v="3"/>
    <x v="3"/>
    <m/>
    <x v="1"/>
    <n v="0.5"/>
    <s v="H"/>
  </r>
  <r>
    <n v="1269"/>
    <x v="20"/>
    <s v="Masterfiles Approval Returns"/>
    <s v="Category Finance (checkbox)"/>
    <n v="1"/>
    <n v="118"/>
    <s v="checkbox"/>
    <m/>
    <s v="Masterfiles"/>
    <m/>
    <m/>
    <m/>
    <m/>
    <m/>
    <s v="upcoming"/>
    <s v="future"/>
    <x v="20"/>
    <x v="8"/>
    <x v="3"/>
    <x v="3"/>
    <m/>
    <x v="1"/>
    <n v="0.5"/>
    <s v="H"/>
  </r>
  <r>
    <n v="1270"/>
    <x v="20"/>
    <s v="Masterfiles Approval Returns"/>
    <s v="(MF) Category Finance Return Comments"/>
    <n v="1"/>
    <n v="118"/>
    <s v="free form"/>
    <m/>
    <s v="Masterfiles"/>
    <m/>
    <m/>
    <m/>
    <m/>
    <m/>
    <s v="upcoming"/>
    <s v="future"/>
    <x v="20"/>
    <x v="8"/>
    <x v="3"/>
    <x v="3"/>
    <m/>
    <x v="1"/>
    <n v="0.5"/>
    <s v="H"/>
  </r>
  <r>
    <n v="1271"/>
    <x v="20"/>
    <s v="Masterfiles Approval Returns"/>
    <s v="Nutrition Labeling (checkbox)"/>
    <n v="1"/>
    <n v="118"/>
    <s v="checkbox"/>
    <m/>
    <s v="Masterfiles"/>
    <m/>
    <m/>
    <m/>
    <m/>
    <m/>
    <s v="upcoming"/>
    <s v="future"/>
    <x v="20"/>
    <x v="8"/>
    <x v="3"/>
    <x v="3"/>
    <m/>
    <x v="1"/>
    <n v="0.5"/>
    <s v="H"/>
  </r>
  <r>
    <n v="1272"/>
    <x v="20"/>
    <s v="Masterfiles Approval Returns"/>
    <s v="(MF) Nutrition Labeling Return Comments"/>
    <n v="1"/>
    <n v="118"/>
    <s v="free form"/>
    <m/>
    <s v="Masterfiles"/>
    <m/>
    <m/>
    <m/>
    <m/>
    <m/>
    <s v="upcoming"/>
    <s v="future"/>
    <x v="20"/>
    <x v="8"/>
    <x v="3"/>
    <x v="3"/>
    <m/>
    <x v="1"/>
    <n v="0.5"/>
    <s v="H"/>
  </r>
  <r>
    <n v="1273"/>
    <x v="20"/>
    <s v="Masterfiles Approval Returns"/>
    <s v="LIM Update"/>
    <n v="1"/>
    <n v="118"/>
    <s v="checkbox"/>
    <m/>
    <s v="Masterfiles"/>
    <m/>
    <m/>
    <m/>
    <m/>
    <m/>
    <s v="upcoming"/>
    <s v="future"/>
    <x v="20"/>
    <x v="8"/>
    <x v="3"/>
    <x v="3"/>
    <m/>
    <x v="1"/>
    <n v="0.5"/>
    <s v="H"/>
  </r>
  <r>
    <n v="1274"/>
    <x v="20"/>
    <s v="Masterfiles Approval Returns"/>
    <s v="(MF) LIM Update Return Comments"/>
    <n v="1"/>
    <n v="118"/>
    <s v="free form"/>
    <m/>
    <s v="Masterfiles"/>
    <m/>
    <m/>
    <m/>
    <m/>
    <m/>
    <s v="upcoming"/>
    <s v="future"/>
    <x v="20"/>
    <x v="8"/>
    <x v="3"/>
    <x v="3"/>
    <m/>
    <x v="1"/>
    <n v="0.5"/>
    <s v="H"/>
  </r>
  <r>
    <n v="1275"/>
    <x v="20"/>
    <s v="Masterfiles Approval Returns"/>
    <s v="Packaging Tech"/>
    <n v="1"/>
    <n v="118"/>
    <s v="checkbox"/>
    <m/>
    <s v="Masterfiles"/>
    <m/>
    <m/>
    <m/>
    <m/>
    <m/>
    <s v="upcoming"/>
    <s v="future"/>
    <x v="20"/>
    <x v="8"/>
    <x v="3"/>
    <x v="3"/>
    <m/>
    <x v="1"/>
    <n v="0.5"/>
    <s v="H"/>
  </r>
  <r>
    <n v="1276"/>
    <x v="20"/>
    <s v="Masterfiles Approval Returns"/>
    <s v="(MF) Packaging Tech Return Comments"/>
    <n v="1"/>
    <n v="118"/>
    <s v="free form"/>
    <m/>
    <s v="Masterfiles"/>
    <m/>
    <m/>
    <m/>
    <m/>
    <m/>
    <s v="upcoming"/>
    <s v="future"/>
    <x v="20"/>
    <x v="8"/>
    <x v="3"/>
    <x v="3"/>
    <m/>
    <x v="1"/>
    <n v="0.5"/>
    <s v="H"/>
  </r>
  <r>
    <n v="1277"/>
    <x v="20"/>
    <s v="Masterfiles Approval Returns"/>
    <s v="Send Returns (button)"/>
    <n v="1"/>
    <n v="118"/>
    <s v="button"/>
    <m/>
    <s v="Masterfiles"/>
    <m/>
    <m/>
    <m/>
    <m/>
    <m/>
    <s v="upcoming"/>
    <s v="future"/>
    <x v="20"/>
    <x v="8"/>
    <x v="3"/>
    <x v="3"/>
    <m/>
    <x v="1"/>
    <n v="0.5"/>
    <s v="H"/>
  </r>
  <r>
    <n v="1278"/>
    <x v="21"/>
    <s v="ZMMU_PLANT_Query"/>
    <s v="Material Type"/>
    <n v="1"/>
    <n v="120"/>
    <s v="dd: reference list"/>
    <m/>
    <s v="Masterfiles"/>
    <m/>
    <m/>
    <m/>
    <m/>
    <m/>
    <s v="upcoming"/>
    <s v="future"/>
    <x v="21"/>
    <x v="8"/>
    <x v="3"/>
    <x v="3"/>
    <m/>
    <x v="1"/>
    <n v="0.5"/>
    <s v="H"/>
  </r>
  <r>
    <n v="1279"/>
    <x v="21"/>
    <s v="ZMMU_PLANT_Query"/>
    <s v="Plant Category"/>
    <n v="1"/>
    <n v="120"/>
    <s v="dd: reference list"/>
    <m/>
    <s v="Masterfiles"/>
    <m/>
    <m/>
    <m/>
    <m/>
    <m/>
    <s v="upcoming"/>
    <s v="future"/>
    <x v="21"/>
    <x v="8"/>
    <x v="3"/>
    <x v="3"/>
    <m/>
    <x v="1"/>
    <n v="0.5"/>
    <s v="H"/>
  </r>
  <r>
    <n v="1280"/>
    <x v="21"/>
    <s v="ZMMU_PLANT_Query"/>
    <s v="Plant Number List"/>
    <n v="0"/>
    <n v="120"/>
    <s v="autofill"/>
    <m/>
    <s v="Masterfiles"/>
    <m/>
    <m/>
    <m/>
    <m/>
    <m/>
    <s v="upcoming"/>
    <s v="future"/>
    <x v="21"/>
    <x v="8"/>
    <x v="3"/>
    <x v="3"/>
    <m/>
    <x v="0"/>
    <n v="0"/>
    <s v="H"/>
  </r>
  <r>
    <n v="1281"/>
    <x v="21"/>
    <s v="Plant Extension Selection"/>
    <s v="Create Plant Extension"/>
    <n v="1"/>
    <n v="120"/>
    <s v="checkbox"/>
    <m/>
    <s v="Masterfiles"/>
    <m/>
    <m/>
    <m/>
    <m/>
    <m/>
    <s v="upcoming"/>
    <s v="future"/>
    <x v="21"/>
    <x v="8"/>
    <x v="3"/>
    <x v="3"/>
    <m/>
    <x v="1"/>
    <n v="0.5"/>
    <s v="H"/>
  </r>
  <r>
    <n v="1282"/>
    <x v="21"/>
    <s v="Plant Extension Selection"/>
    <s v="Plant"/>
    <n v="1"/>
    <n v="120"/>
    <s v="free form"/>
    <m/>
    <s v="Masterfiles"/>
    <m/>
    <m/>
    <m/>
    <m/>
    <m/>
    <s v="upcoming"/>
    <s v="future"/>
    <x v="21"/>
    <x v="8"/>
    <x v="3"/>
    <x v="3"/>
    <m/>
    <x v="1"/>
    <n v="0.5"/>
    <s v="H"/>
  </r>
  <r>
    <n v="1283"/>
    <x v="21"/>
    <s v="Plant Extension Selection"/>
    <s v="Material Number (Plant Ext)"/>
    <n v="1"/>
    <n v="120"/>
    <s v="free form"/>
    <m/>
    <s v="Masterfiles"/>
    <m/>
    <m/>
    <m/>
    <m/>
    <m/>
    <s v="upcoming"/>
    <s v="future"/>
    <x v="21"/>
    <x v="8"/>
    <x v="3"/>
    <x v="3"/>
    <m/>
    <x v="1"/>
    <n v="0.5"/>
    <s v="H"/>
  </r>
  <r>
    <n v="1284"/>
    <x v="21"/>
    <s v="Packaging - Merge with BOM"/>
    <s v="Original BOM Plant"/>
    <n v="1"/>
    <n v="125"/>
    <s v="free form"/>
    <m/>
    <s v="Masterfiles"/>
    <m/>
    <m/>
    <m/>
    <m/>
    <m/>
    <s v="upcoming"/>
    <s v="future"/>
    <x v="21"/>
    <x v="8"/>
    <x v="3"/>
    <x v="3"/>
    <m/>
    <x v="1"/>
    <n v="0.5"/>
    <s v="H"/>
  </r>
  <r>
    <n v="1285"/>
    <x v="21"/>
    <s v="Packaging - Merge with BOM"/>
    <s v="Component"/>
    <n v="1"/>
    <n v="125"/>
    <s v="free form"/>
    <m/>
    <s v="Masterfiles"/>
    <m/>
    <m/>
    <m/>
    <m/>
    <m/>
    <s v="upcoming"/>
    <s v="future"/>
    <x v="21"/>
    <x v="8"/>
    <x v="3"/>
    <x v="3"/>
    <m/>
    <x v="1"/>
    <n v="0.5"/>
    <s v="H"/>
  </r>
  <r>
    <n v="1286"/>
    <x v="21"/>
    <s v="Packaging - Merge with BOM"/>
    <s v="Quantity"/>
    <n v="1"/>
    <n v="125"/>
    <s v="free form"/>
    <m/>
    <s v="Masterfiles"/>
    <m/>
    <m/>
    <m/>
    <m/>
    <m/>
    <s v="upcoming"/>
    <s v="future"/>
    <x v="21"/>
    <x v="8"/>
    <x v="3"/>
    <x v="3"/>
    <m/>
    <x v="1"/>
    <n v="0.5"/>
    <s v="H"/>
  </r>
  <r>
    <n v="1287"/>
    <x v="21"/>
    <s v="VAS BOM Plant Assingments (CS07)"/>
    <s v="Assign Plant"/>
    <n v="1"/>
    <n v="125"/>
    <s v="checkbox"/>
    <m/>
    <s v="Masterfiles"/>
    <m/>
    <m/>
    <m/>
    <m/>
    <m/>
    <s v="upcoming"/>
    <s v="future"/>
    <x v="21"/>
    <x v="8"/>
    <x v="3"/>
    <x v="3"/>
    <m/>
    <x v="1"/>
    <n v="0.5"/>
    <s v="H"/>
  </r>
  <r>
    <n v="1288"/>
    <x v="21"/>
    <s v="VAS BOM Plant Assingments (CS07)"/>
    <s v="Material Number (VAS BOM)"/>
    <n v="1"/>
    <n v="125"/>
    <s v="free form"/>
    <m/>
    <s v="Masterfiles"/>
    <m/>
    <m/>
    <m/>
    <m/>
    <m/>
    <s v="upcoming"/>
    <s v="future"/>
    <x v="21"/>
    <x v="8"/>
    <x v="3"/>
    <x v="3"/>
    <m/>
    <x v="1"/>
    <n v="0.5"/>
    <s v="H"/>
  </r>
  <r>
    <n v="1289"/>
    <x v="21"/>
    <s v="VAS BOM Plant Assingments (CS07)"/>
    <s v="Original Plant"/>
    <n v="1"/>
    <n v="125"/>
    <s v="free form"/>
    <m/>
    <s v="Masterfiles"/>
    <m/>
    <m/>
    <m/>
    <m/>
    <m/>
    <s v="upcoming"/>
    <s v="future"/>
    <x v="21"/>
    <x v="8"/>
    <x v="3"/>
    <x v="3"/>
    <m/>
    <x v="1"/>
    <n v="0.5"/>
    <s v="H"/>
  </r>
  <r>
    <n v="1290"/>
    <x v="21"/>
    <s v="VAS BOM Plant Assingments (CS07)"/>
    <s v="Newly Assigned Plant"/>
    <n v="1"/>
    <n v="125"/>
    <s v="free form"/>
    <m/>
    <s v="Masterfiles"/>
    <m/>
    <m/>
    <m/>
    <m/>
    <m/>
    <s v="upcoming"/>
    <s v="future"/>
    <x v="21"/>
    <x v="8"/>
    <x v="3"/>
    <x v="3"/>
    <m/>
    <x v="1"/>
    <n v="0.5"/>
    <s v="H"/>
  </r>
  <r>
    <n v="1291"/>
    <x v="21"/>
    <s v="DTC Questions"/>
    <s v="Will a full case of this product be sold Direct to Consumer"/>
    <n v="1"/>
    <n v="125"/>
    <s v="dd: YES, NO"/>
    <m/>
    <s v="Masterfiles"/>
    <m/>
    <m/>
    <m/>
    <m/>
    <m/>
    <s v="upcoming"/>
    <s v="future"/>
    <x v="21"/>
    <x v="8"/>
    <x v="3"/>
    <x v="3"/>
    <m/>
    <x v="1"/>
    <n v="0.5"/>
    <s v="H"/>
  </r>
  <r>
    <n v="1292"/>
    <x v="21"/>
    <s v="DTC Questions"/>
    <s v="DTC Package Price"/>
    <n v="1"/>
    <n v="125"/>
    <s v="free form"/>
    <m/>
    <s v="Masterfiles"/>
    <m/>
    <m/>
    <m/>
    <s v=" 1292 dependent on 1012 DTC"/>
    <m/>
    <s v="upcoming"/>
    <s v="future"/>
    <x v="21"/>
    <x v="8"/>
    <x v="3"/>
    <x v="3"/>
    <m/>
    <x v="1"/>
    <n v="0.5"/>
    <s v="H"/>
  </r>
  <r>
    <n v="1293"/>
    <x v="21"/>
    <s v="Masterfiles Manual Checklist"/>
    <s v="(12 checkboxes)"/>
    <n v="1"/>
    <n v="126"/>
    <s v="checkbox"/>
    <m/>
    <s v="Masterfiles"/>
    <m/>
    <m/>
    <s v="Manually perform all steps"/>
    <m/>
    <m/>
    <s v="upcoming"/>
    <s v="future"/>
    <x v="21"/>
    <x v="8"/>
    <x v="3"/>
    <x v="3"/>
    <m/>
    <x v="0"/>
    <n v="0"/>
    <s v="H"/>
  </r>
  <r>
    <n v="1294"/>
    <x v="21"/>
    <s v="Returns"/>
    <s v="Updates Complete (button)"/>
    <n v="1"/>
    <n v="126"/>
    <s v="button"/>
    <m/>
    <s v="Masterfiles"/>
    <m/>
    <m/>
    <m/>
    <m/>
    <m/>
    <s v="upcoming"/>
    <s v="future"/>
    <x v="21"/>
    <x v="8"/>
    <x v="3"/>
    <x v="3"/>
    <m/>
    <x v="1"/>
    <n v="0.5"/>
    <s v="H"/>
  </r>
  <r>
    <n v="1295"/>
    <x v="22"/>
    <s v="DTC Product Details"/>
    <s v="Country"/>
    <n v="1"/>
    <n v="128"/>
    <s v="dd: reference list: COUNTRY (not in RDL or PRL)"/>
    <m/>
    <s v="Requestor"/>
    <m/>
    <m/>
    <m/>
    <m/>
    <m/>
    <s v="upcoming"/>
    <s v="current"/>
    <x v="22"/>
    <x v="5"/>
    <x v="2"/>
    <x v="2"/>
    <n v="8"/>
    <x v="1"/>
    <n v="0.5"/>
    <s v="F"/>
  </r>
  <r>
    <n v="1296"/>
    <x v="22"/>
    <s v="DTC Product Details"/>
    <s v="Retail Material Number"/>
    <n v="1"/>
    <n v="128"/>
    <s v="free form"/>
    <m/>
    <s v="Requestor"/>
    <m/>
    <m/>
    <m/>
    <m/>
    <m/>
    <s v="upcoming"/>
    <s v="current"/>
    <x v="22"/>
    <x v="5"/>
    <x v="2"/>
    <x v="2"/>
    <n v="8"/>
    <x v="1"/>
    <n v="0.5"/>
    <s v="F"/>
  </r>
  <r>
    <n v="1297"/>
    <x v="22"/>
    <s v="DTC Product Details"/>
    <s v="1. Validate Retail material Number (button)"/>
    <n v="0"/>
    <n v="128"/>
    <s v="script button"/>
    <m/>
    <s v="Requestor"/>
    <m/>
    <m/>
    <m/>
    <m/>
    <m/>
    <s v="upcoming"/>
    <s v="current"/>
    <x v="22"/>
    <x v="5"/>
    <x v="2"/>
    <x v="2"/>
    <n v="8"/>
    <x v="2"/>
    <n v="0"/>
    <s v="F"/>
  </r>
  <r>
    <n v="1298"/>
    <x v="22"/>
    <s v="DTC Product Details"/>
    <s v="2. Import Alt UOM Table (button)"/>
    <n v="0"/>
    <n v="129"/>
    <s v="script button"/>
    <m/>
    <s v="Requestor"/>
    <m/>
    <m/>
    <m/>
    <m/>
    <m/>
    <s v="upcoming"/>
    <s v="current"/>
    <x v="22"/>
    <x v="5"/>
    <x v="2"/>
    <x v="2"/>
    <n v="8"/>
    <x v="2"/>
    <n v="0"/>
    <s v="F"/>
  </r>
  <r>
    <n v="1299"/>
    <x v="22"/>
    <s v="DTC Product Details"/>
    <s v="Save and Route (button)"/>
    <n v="0"/>
    <n v="130"/>
    <s v="script button"/>
    <m/>
    <s v="Requestor"/>
    <m/>
    <m/>
    <m/>
    <m/>
    <m/>
    <s v="upcoming"/>
    <s v="current"/>
    <x v="22"/>
    <x v="5"/>
    <x v="2"/>
    <x v="2"/>
    <n v="8"/>
    <x v="2"/>
    <n v="0"/>
    <s v="F"/>
  </r>
  <r>
    <n v="1300"/>
    <x v="22"/>
    <s v="Attachments"/>
    <s v="Choose File"/>
    <n v="1"/>
    <n v="130"/>
    <s v="dd: directory"/>
    <m/>
    <s v="Requestor"/>
    <m/>
    <m/>
    <m/>
    <m/>
    <m/>
    <s v="upcoming"/>
    <s v="current"/>
    <x v="22"/>
    <x v="5"/>
    <x v="2"/>
    <x v="2"/>
    <n v="8"/>
    <x v="3"/>
    <n v="1"/>
    <s v="F"/>
  </r>
  <r>
    <n v="1301"/>
    <x v="22"/>
    <s v="DTC Launch Validation"/>
    <s v="Did you submit DTC Form"/>
    <n v="1"/>
    <n v="130"/>
    <s v="dd: YES, NO"/>
    <m/>
    <s v="Requestor"/>
    <m/>
    <m/>
    <m/>
    <s v=" 1301 dependent on 1012 DTC"/>
    <m/>
    <s v="upcoming"/>
    <s v="current"/>
    <x v="22"/>
    <x v="5"/>
    <x v="2"/>
    <x v="2"/>
    <n v="8"/>
    <x v="1"/>
    <n v="0.5"/>
    <s v="F"/>
  </r>
  <r>
    <n v="1302"/>
    <x v="22"/>
    <s v="DTC Launch Validation"/>
    <s v="DTC Form Launched (button)"/>
    <n v="0"/>
    <n v="130"/>
    <s v="script button"/>
    <m/>
    <s v="Requestor"/>
    <m/>
    <m/>
    <m/>
    <s v=" 1302 dependent on 1012 DTC"/>
    <m/>
    <s v="upcoming"/>
    <s v="current"/>
    <x v="22"/>
    <x v="5"/>
    <x v="2"/>
    <x v="2"/>
    <n v="8"/>
    <x v="2"/>
    <n v="0"/>
    <s v="F"/>
  </r>
  <r>
    <n v="1303"/>
    <x v="22"/>
    <s v="DTC Launch Validation"/>
    <s v="Launch Later (No Save) (button)"/>
    <n v="0"/>
    <n v="130"/>
    <s v="script button"/>
    <m/>
    <s v="Requestor"/>
    <m/>
    <m/>
    <m/>
    <m/>
    <m/>
    <s v="upcoming"/>
    <s v="current"/>
    <x v="22"/>
    <x v="5"/>
    <x v="2"/>
    <x v="2"/>
    <n v="8"/>
    <x v="2"/>
    <n v="0"/>
    <s v="F"/>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n v="1001"/>
    <s v="Requestor - Project Initiation"/>
    <x v="0"/>
    <x v="0"/>
    <n v="0"/>
    <n v="23"/>
    <x v="0"/>
    <s v="yes"/>
    <x v="0"/>
    <m/>
    <m/>
    <m/>
    <s v="pull name from user logged in"/>
    <m/>
    <s v="done"/>
    <s v="complete"/>
    <n v="10"/>
    <s v="AA"/>
    <s v="WK2"/>
    <d v="2025-09-22T00:00:00"/>
    <n v="9"/>
    <x v="0"/>
    <n v="0"/>
  </r>
  <r>
    <n v="1002"/>
    <s v="Requestor - Project Initiation"/>
    <x v="0"/>
    <x v="1"/>
    <n v="0"/>
    <n v="23"/>
    <x v="0"/>
    <s v="yes"/>
    <x v="0"/>
    <m/>
    <m/>
    <m/>
    <s v="pull email from user logged in"/>
    <m/>
    <s v="done"/>
    <s v="complete"/>
    <n v="10"/>
    <s v="AA"/>
    <s v="WK2"/>
    <d v="2025-09-22T00:00:00"/>
    <n v="9"/>
    <x v="0"/>
    <n v="0"/>
  </r>
  <r>
    <n v="1003"/>
    <s v="Requestor - Project Initiation"/>
    <x v="0"/>
    <x v="2"/>
    <n v="0"/>
    <n v="23"/>
    <x v="0"/>
    <s v="yes"/>
    <x v="0"/>
    <m/>
    <m/>
    <m/>
    <s v="pull date from computer"/>
    <m/>
    <s v="done"/>
    <s v="complete"/>
    <n v="10"/>
    <s v="AA"/>
    <s v="WK2"/>
    <d v="2025-09-22T00:00:00"/>
    <n v="9"/>
    <x v="0"/>
    <n v="0"/>
  </r>
  <r>
    <n v="1004"/>
    <s v="Requestor - Project Initiation"/>
    <x v="0"/>
    <x v="3"/>
    <n v="0"/>
    <n v="23"/>
    <x v="0"/>
    <s v="yes"/>
    <x v="0"/>
    <m/>
    <m/>
    <m/>
    <s v="pull NIF version of the form"/>
    <m/>
    <s v="done"/>
    <s v="complete"/>
    <n v="10"/>
    <s v="AA"/>
    <s v="WK2"/>
    <d v="2025-09-22T00:00:00"/>
    <n v="9"/>
    <x v="0"/>
    <n v="0"/>
  </r>
  <r>
    <n v="1005"/>
    <s v="Requestor - Project Initiation"/>
    <x v="1"/>
    <x v="4"/>
    <n v="0"/>
    <n v="23"/>
    <x v="1"/>
    <s v="yes"/>
    <x v="0"/>
    <m/>
    <m/>
    <m/>
    <s v="pull name from user logged in"/>
    <m/>
    <s v="done"/>
    <s v="complete"/>
    <n v="10"/>
    <s v="AA"/>
    <s v="WK2"/>
    <d v="2025-09-22T00:00:00"/>
    <n v="9"/>
    <x v="0"/>
    <n v="0"/>
  </r>
  <r>
    <n v="1006"/>
    <s v="Requestor - Project Initiation"/>
    <x v="1"/>
    <x v="5"/>
    <n v="1"/>
    <s v="23, 32, 61"/>
    <x v="1"/>
    <s v="yes"/>
    <x v="0"/>
    <s v="LIM"/>
    <m/>
    <m/>
    <s v="no Business Rules"/>
    <m/>
    <s v="done"/>
    <s v="complete"/>
    <n v="10"/>
    <s v="AA"/>
    <s v="WK2"/>
    <d v="2025-09-22T00:00:00"/>
    <n v="4"/>
    <x v="1"/>
    <n v="0.5"/>
  </r>
  <r>
    <n v="1305"/>
    <s v="Requestor - Project Initiation"/>
    <x v="2"/>
    <x v="6"/>
    <n v="0"/>
    <n v="0"/>
    <x v="2"/>
    <s v="yes"/>
    <x v="0"/>
    <m/>
    <m/>
    <s v="9/24/25 new field identified"/>
    <s v="autofill to KELLANOVA"/>
    <m/>
    <s v="done"/>
    <s v="complete"/>
    <n v="10"/>
    <s v="AA"/>
    <s v="WK2"/>
    <d v="2025-09-22T00:00:00"/>
    <m/>
    <x v="1"/>
    <n v="0"/>
  </r>
  <r>
    <n v="1007"/>
    <s v="Requestor - Project Initiation"/>
    <x v="2"/>
    <x v="7"/>
    <n v="1"/>
    <n v="24"/>
    <x v="3"/>
    <s v="yes"/>
    <x v="0"/>
    <m/>
    <s v="col A"/>
    <m/>
    <s v="Flowchart: Product Type / Product Sub Type"/>
    <m/>
    <s v="done"/>
    <s v="complete"/>
    <n v="10"/>
    <s v="AA"/>
    <s v="WK1"/>
    <d v="2025-09-16T00:00:00"/>
    <n v="1"/>
    <x v="2"/>
    <n v="1.5"/>
  </r>
  <r>
    <n v="1008"/>
    <s v="Requestor - Project Initiation"/>
    <x v="2"/>
    <x v="8"/>
    <n v="1"/>
    <n v="24"/>
    <x v="4"/>
    <s v="yes"/>
    <x v="0"/>
    <m/>
    <s v="NOT in BR.xlsx"/>
    <m/>
    <s v="Flowchart: Product Type / Product Sub Type"/>
    <m/>
    <s v="done"/>
    <s v="complete"/>
    <n v="10"/>
    <s v="AA"/>
    <s v="WK1"/>
    <d v="2025-09-16T00:00:00"/>
    <n v="1"/>
    <x v="2"/>
    <n v="1.5"/>
  </r>
  <r>
    <n v="1009"/>
    <s v="Requestor - Project Initiation"/>
    <x v="2"/>
    <x v="9"/>
    <n v="1"/>
    <n v="24"/>
    <x v="5"/>
    <s v="yes"/>
    <x v="0"/>
    <m/>
    <s v="col B"/>
    <s v="dependent on FORM TYPE"/>
    <s v="Flowchart: Product Type / Product Sub Type"/>
    <m/>
    <s v="done"/>
    <s v="complete"/>
    <n v="10"/>
    <s v="AA"/>
    <s v="WK1"/>
    <d v="2025-09-16T00:00:00"/>
    <n v="1"/>
    <x v="2"/>
    <n v="1.5"/>
  </r>
  <r>
    <n v="1010"/>
    <s v="Requestor - Project Initiation"/>
    <x v="2"/>
    <x v="10"/>
    <n v="1"/>
    <n v="24"/>
    <x v="6"/>
    <s v="yes"/>
    <x v="0"/>
    <m/>
    <s v="col C"/>
    <s v="dependent on PRODUCT TYPE"/>
    <s v="Flowchart: Product Type / Product Sub Type"/>
    <m/>
    <s v="done"/>
    <s v="complete"/>
    <n v="10"/>
    <s v="AA"/>
    <s v="WK1"/>
    <d v="2025-09-16T00:00:00"/>
    <n v="1"/>
    <x v="2"/>
    <n v="1.5"/>
  </r>
  <r>
    <n v="1011"/>
    <s v="Requestor - Project Initiation"/>
    <x v="2"/>
    <x v="11"/>
    <n v="1"/>
    <n v="24"/>
    <x v="7"/>
    <s v="yes"/>
    <x v="0"/>
    <m/>
    <s v="NOT in BR.xlsx"/>
    <m/>
    <s v="1011 predecessor for pringles naming convention for country sold in as part of description (1175); plus Pringles Can Size (1235), and RTEC/Pringles Cube Size (1239) is required"/>
    <m/>
    <s v="done"/>
    <s v="complete"/>
    <n v="10"/>
    <s v="AA"/>
    <s v="WK1"/>
    <d v="2025-09-16T00:00:00"/>
    <n v="1"/>
    <x v="1"/>
    <n v="0.5"/>
  </r>
  <r>
    <n v="1012"/>
    <s v="Requestor - Project Initiation"/>
    <x v="2"/>
    <x v="12"/>
    <n v="1"/>
    <n v="24"/>
    <x v="7"/>
    <s v="yes"/>
    <x v="0"/>
    <m/>
    <s v="NOT in BR.xlsx"/>
    <m/>
    <s v="1012 predecessor to: &quot;Will product be sold DTC question&quot; (1162), this will also kick off the DTC form at end of process;   Dependencies 1292, 1301, 1302"/>
    <m/>
    <s v="done"/>
    <s v="complete"/>
    <n v="10"/>
    <s v="AA"/>
    <s v="WK1"/>
    <d v="2025-09-16T00:00:00"/>
    <n v="1"/>
    <x v="1"/>
    <n v="0.5"/>
  </r>
  <r>
    <n v="1013"/>
    <s v="Requestor - Project Initiation"/>
    <x v="2"/>
    <x v="13"/>
    <n v="0"/>
    <s v="24, 45"/>
    <x v="8"/>
    <s v="no"/>
    <x v="1"/>
    <m/>
    <m/>
    <s v="same as field 1070"/>
    <s v="duplicate of 1070"/>
    <m/>
    <s v="done"/>
    <s v="complete"/>
    <n v="10"/>
    <s v="AA"/>
    <s v="WK1"/>
    <d v="2025-09-16T00:00:00"/>
    <n v="1"/>
    <x v="1"/>
    <n v="0"/>
  </r>
  <r>
    <n v="1014"/>
    <s v="Requestor - Project Initiation"/>
    <x v="2"/>
    <x v="14"/>
    <n v="1"/>
    <n v="24"/>
    <x v="9"/>
    <s v="yes"/>
    <x v="0"/>
    <m/>
    <s v="col E"/>
    <m/>
    <s v="1014: predecessor for: 1015, 1025"/>
    <m/>
    <s v="done"/>
    <s v="complete"/>
    <n v="10"/>
    <s v="AA"/>
    <s v="WK1"/>
    <d v="2025-09-16T00:00:00"/>
    <n v="1"/>
    <x v="3"/>
    <n v="1"/>
  </r>
  <r>
    <n v="1015"/>
    <s v="Requestor - Project Initiation"/>
    <x v="2"/>
    <x v="15"/>
    <n v="1"/>
    <n v="24"/>
    <x v="8"/>
    <s v="yes"/>
    <x v="0"/>
    <m/>
    <s v="col G"/>
    <m/>
    <s v="1015: dependent on 1014 PROJECT TYPE: PDR and SCR is text (ex Tasty) PWR is numeric"/>
    <m/>
    <s v="done"/>
    <s v="complete"/>
    <n v="10"/>
    <s v="AA"/>
    <s v="WK1"/>
    <d v="2025-09-16T00:00:00"/>
    <n v="1"/>
    <x v="1"/>
    <n v="0.5"/>
  </r>
  <r>
    <n v="1016"/>
    <s v="Requestor - Project Initiation"/>
    <x v="2"/>
    <x v="16"/>
    <n v="1"/>
    <n v="0"/>
    <x v="10"/>
    <s v="yes"/>
    <x v="0"/>
    <m/>
    <s v="col I"/>
    <s v="…not in Trng_deck.ppt;_x000a_Bars, Crackers, Other Convenience, Salty Snacks, Frozen, Toaster Pastries, Veggies"/>
    <s v="no known BR based on data entered"/>
    <m/>
    <s v="done"/>
    <s v="complete"/>
    <n v="10"/>
    <s v="AA"/>
    <s v="WK1"/>
    <d v="2025-09-16T00:00:00"/>
    <n v="1"/>
    <x v="1"/>
    <n v="0.5"/>
  </r>
  <r>
    <n v="1017"/>
    <s v="Requestor - Project Initiation"/>
    <x v="2"/>
    <x v="17"/>
    <n v="1"/>
    <s v="24, 33, 73"/>
    <x v="8"/>
    <s v="yes"/>
    <x v="0"/>
    <s v="LIM"/>
    <s v="col K"/>
    <s v="used for naming NIF form, but do not incorporate into AI"/>
    <s v="no more than 40 characters"/>
    <m/>
    <s v="done"/>
    <s v="complete"/>
    <n v="10"/>
    <s v="AA"/>
    <s v="WK1"/>
    <d v="2025-09-16T00:00:00"/>
    <n v="1"/>
    <x v="3"/>
    <n v="1"/>
  </r>
  <r>
    <n v="1018"/>
    <s v="Requestor - Project Initiation"/>
    <x v="2"/>
    <x v="18"/>
    <n v="1"/>
    <s v="24, 33, 73"/>
    <x v="8"/>
    <s v="yes"/>
    <x v="0"/>
    <s v="LIM"/>
    <s v="col M"/>
    <s v="Be as detailed as possible and provide the flavor, package size and can size, if known"/>
    <s v="no known BR based on data entered"/>
    <m/>
    <s v="done"/>
    <s v="complete"/>
    <n v="10"/>
    <s v="AA"/>
    <s v="WK1"/>
    <d v="2025-09-16T00:00:00"/>
    <n v="1"/>
    <x v="3"/>
    <n v="1"/>
  </r>
  <r>
    <n v="1019"/>
    <s v="Requestor - Project Initiation"/>
    <x v="3"/>
    <x v="19"/>
    <n v="1"/>
    <s v="24, 33, 73"/>
    <x v="11"/>
    <s v="yes"/>
    <x v="0"/>
    <s v="LIM"/>
    <s v="col O"/>
    <s v="informational only"/>
    <s v="no known BR based on data entered"/>
    <m/>
    <s v="done"/>
    <s v="complete"/>
    <n v="10"/>
    <s v="AA"/>
    <s v="WK1"/>
    <d v="2025-09-16T00:00:00"/>
    <n v="2"/>
    <x v="3"/>
    <n v="1"/>
  </r>
  <r>
    <n v="1020"/>
    <s v="Requestor - Project Initiation"/>
    <x v="3"/>
    <x v="20"/>
    <n v="1"/>
    <s v="24, 33, 73"/>
    <x v="12"/>
    <s v="yes"/>
    <x v="0"/>
    <s v="LIM"/>
    <s v="col Q"/>
    <s v="informational only"/>
    <s v="no known BR based on data entered"/>
    <m/>
    <s v="done"/>
    <s v="complete"/>
    <n v="10"/>
    <s v="AA"/>
    <s v="WK1"/>
    <d v="2025-09-16T00:00:00"/>
    <n v="2"/>
    <x v="3"/>
    <n v="1"/>
  </r>
  <r>
    <n v="1021"/>
    <s v="Requestor - Project Initiation"/>
    <x v="3"/>
    <x v="21"/>
    <n v="1"/>
    <s v="24, 33, 73, 99"/>
    <x v="8"/>
    <s v="yes"/>
    <x v="0"/>
    <s v="LIM, Packaging Tech"/>
    <s v="col S"/>
    <s v="informational only"/>
    <s v="no known BR based on data entered"/>
    <m/>
    <s v="done"/>
    <s v="complete"/>
    <n v="10"/>
    <s v="AA"/>
    <s v="WK1"/>
    <d v="2025-09-16T00:00:00"/>
    <n v="2"/>
    <x v="1"/>
    <n v="0.5"/>
  </r>
  <r>
    <n v="1022"/>
    <s v="Requestor - Project Initiation"/>
    <x v="3"/>
    <x v="22"/>
    <n v="1"/>
    <s v="24, 33, 73"/>
    <x v="13"/>
    <s v="yes"/>
    <x v="0"/>
    <s v="LIM"/>
    <s v="col U"/>
    <s v="informational only"/>
    <s v="no known BR based on data entered"/>
    <m/>
    <s v="done"/>
    <s v="complete"/>
    <n v="10"/>
    <s v="AA"/>
    <s v="WK1"/>
    <d v="2025-09-16T00:00:00"/>
    <n v="2"/>
    <x v="1"/>
    <n v="0.5"/>
  </r>
  <r>
    <n v="1023"/>
    <s v="Requestor - Project Initiation"/>
    <x v="3"/>
    <x v="23"/>
    <n v="1"/>
    <s v="24, 33, 73"/>
    <x v="12"/>
    <s v="yes"/>
    <x v="0"/>
    <s v="LIM"/>
    <s v="col W"/>
    <s v="informational only"/>
    <s v="no known BR based on data entered"/>
    <m/>
    <s v="done"/>
    <s v="complete"/>
    <n v="10"/>
    <s v="AA"/>
    <s v="WK1"/>
    <d v="2025-09-16T00:00:00"/>
    <n v="2"/>
    <x v="3"/>
    <n v="1"/>
  </r>
  <r>
    <n v="1024"/>
    <s v="Requestor - Project Initiation"/>
    <x v="3"/>
    <x v="24"/>
    <n v="1"/>
    <s v="24, 33, 73"/>
    <x v="8"/>
    <s v="yes"/>
    <x v="0"/>
    <s v="LIM"/>
    <s v="col Y"/>
    <s v="informational only"/>
    <s v="no known BR based on data entered"/>
    <m/>
    <s v="done"/>
    <s v="complete"/>
    <n v="10"/>
    <s v="AA"/>
    <s v="WK1"/>
    <d v="2025-09-16T00:00:00"/>
    <n v="2"/>
    <x v="2"/>
    <n v="1.5"/>
  </r>
  <r>
    <n v="1025"/>
    <s v="Requestor - Project Initiation"/>
    <x v="4"/>
    <x v="25"/>
    <n v="1"/>
    <n v="25"/>
    <x v="14"/>
    <s v="conditional"/>
    <x v="0"/>
    <m/>
    <s v="NOT in BR.xlsx"/>
    <s v="functionality of the SAP db is not needed in AI tool"/>
    <s v="1025: dependent on 1014 PROJECT TYPE: KUBIC (required)"/>
    <m/>
    <s v="done"/>
    <s v="complete"/>
    <n v="10"/>
    <s v="AA"/>
    <s v="WK1"/>
    <d v="2025-09-16T00:00:00"/>
    <n v="3"/>
    <x v="2"/>
    <n v="1.5"/>
  </r>
  <r>
    <n v="1026"/>
    <s v="Requestor - Project Initiation"/>
    <x v="5"/>
    <x v="26"/>
    <n v="1"/>
    <s v="25, 26"/>
    <x v="7"/>
    <s v="yes"/>
    <x v="0"/>
    <m/>
    <s v="col Z"/>
    <s v="CASE and DISPLAY only;   If YES, then loads record: TRADE CHANNEL (1166)=ONLINE"/>
    <s v="1026 dependent PRODUCT TYPE (1009)=ECOMM or DTC BUNDLE, then this is defaulted to YES (locks field);  _x000a_If Product Country (1008) CANADA then default to NO; Form Type (1007) DISPLAY=open but not required, CASE=required, WIP=not available_x000a_"/>
    <m/>
    <s v="done"/>
    <s v="complete"/>
    <n v="10"/>
    <s v="AA"/>
    <s v="WK1"/>
    <d v="2025-09-16T00:00:00"/>
    <n v="3"/>
    <x v="1"/>
    <n v="0.5"/>
  </r>
  <r>
    <n v="1027"/>
    <s v="Requestor - Project Initiation"/>
    <x v="5"/>
    <x v="27"/>
    <n v="1"/>
    <s v="25, 26"/>
    <x v="7"/>
    <s v="yes"/>
    <x v="0"/>
    <m/>
    <s v="col AB"/>
    <s v="CASE and DISPLAY"/>
    <s v="1027: predecessor to 1028, 1029"/>
    <m/>
    <s v="done"/>
    <s v="complete"/>
    <n v="10"/>
    <s v="AA"/>
    <s v="WK1"/>
    <d v="2025-09-16T00:00:00"/>
    <n v="3"/>
    <x v="1"/>
    <n v="0.5"/>
  </r>
  <r>
    <n v="1028"/>
    <s v="Requestor - Project Initiation"/>
    <x v="5"/>
    <x v="28"/>
    <n v="1"/>
    <s v="25, 26"/>
    <x v="15"/>
    <s v="conditional"/>
    <x v="0"/>
    <m/>
    <s v="col AD"/>
    <s v="CASE and DISPLAY"/>
    <s v="1028 dependent on: Is product designated to one customer (1027) =YES"/>
    <m/>
    <s v="done"/>
    <s v="complete"/>
    <n v="10"/>
    <s v="AA"/>
    <s v="WK1"/>
    <d v="2025-09-16T00:00:00"/>
    <n v="3"/>
    <x v="3"/>
    <n v="1"/>
  </r>
  <r>
    <n v="1029"/>
    <s v="Requestor - Project Initiation"/>
    <x v="5"/>
    <x v="29"/>
    <n v="1"/>
    <s v="25, 26"/>
    <x v="7"/>
    <s v="yes"/>
    <x v="0"/>
    <m/>
    <s v="col AF"/>
    <s v="CASE and DISPLAY"/>
    <s v="1029 dependent on: Is product designated to one customer (1027)=YES;  1029 predecessor to 1129"/>
    <m/>
    <s v="done"/>
    <s v="complete"/>
    <n v="10"/>
    <s v="AA"/>
    <s v="WK1"/>
    <d v="2025-09-16T00:00:00"/>
    <n v="3"/>
    <x v="1"/>
    <n v="0.5"/>
  </r>
  <r>
    <n v="1030"/>
    <s v="Requestor - Project Initiation"/>
    <x v="5"/>
    <x v="30"/>
    <n v="1"/>
    <n v="25"/>
    <x v="7"/>
    <s v="yes"/>
    <x v="0"/>
    <m/>
    <s v="col AH"/>
    <s v="CASE"/>
    <s v="1030 dependent on Product Type (1009) and Product Subtype (1010);  Flowchart: Variety Pack"/>
    <m/>
    <s v="done"/>
    <s v="complete"/>
    <n v="10"/>
    <s v="AA"/>
    <s v="WK1"/>
    <d v="2025-09-16T00:00:00"/>
    <n v="3"/>
    <x v="1"/>
    <n v="0.5"/>
  </r>
  <r>
    <n v="1031"/>
    <s v="Requestor - Project Initiation"/>
    <x v="5"/>
    <x v="31"/>
    <n v="1"/>
    <n v="25"/>
    <x v="7"/>
    <s v="yes"/>
    <x v="0"/>
    <m/>
    <s v="col AJ"/>
    <s v="CASE"/>
    <s v="1031 predecessor to 1188-1192;  Flowchart: Variety Pack"/>
    <m/>
    <s v="done"/>
    <s v="complete"/>
    <n v="10"/>
    <s v="AA"/>
    <s v="WK1"/>
    <d v="2025-09-16T00:00:00"/>
    <n v="3"/>
    <x v="1"/>
    <n v="0.5"/>
  </r>
  <r>
    <n v="1032"/>
    <s v="Requestor - Project Initiation"/>
    <x v="5"/>
    <x v="32"/>
    <n v="1"/>
    <s v="25, 26, 27"/>
    <x v="7"/>
    <s v="yes"/>
    <x v="0"/>
    <m/>
    <s v="col AL"/>
    <s v="autofill by FORM TYPE: CASE=YES, DISPLAY=NO, and WIP=NO"/>
    <s v="Flowchart: Build SKU / Existing Printed"/>
    <m/>
    <s v="done"/>
    <s v="complete"/>
    <n v="10"/>
    <s v="AA"/>
    <s v="WK2"/>
    <d v="2025-09-22T00:00:00"/>
    <n v="3"/>
    <x v="1"/>
    <n v="0.5"/>
  </r>
  <r>
    <n v="1033"/>
    <s v="Requestor - Project Initiation"/>
    <x v="5"/>
    <x v="33"/>
    <n v="1"/>
    <s v="25, 26, 27"/>
    <x v="7"/>
    <s v="yes"/>
    <x v="0"/>
    <m/>
    <s v="col AN"/>
    <s v="CASE, DISPLAY and WIP"/>
    <s v="1033 predecessor to: external material group (1085)"/>
    <m/>
    <s v="done"/>
    <s v="complete"/>
    <n v="10"/>
    <s v="AA"/>
    <s v="WK2"/>
    <d v="2025-09-22T00:00:00"/>
    <n v="3"/>
    <x v="1"/>
    <n v="0.5"/>
  </r>
  <r>
    <n v="1034"/>
    <s v="Requestor - Project Initiation"/>
    <x v="5"/>
    <x v="34"/>
    <n v="1"/>
    <s v="26, 27, 28"/>
    <x v="7"/>
    <s v="yes"/>
    <x v="0"/>
    <m/>
    <s v="col AP"/>
    <s v="CASE, DISPLAY and WIP"/>
    <s v="1034 predecessor to: external material group (1085), build sku..export (1035), list existing export (1036)"/>
    <m/>
    <s v="done"/>
    <s v="complete"/>
    <n v="10"/>
    <s v="AA"/>
    <s v="WK2"/>
    <d v="2025-09-22T00:00:00"/>
    <n v="3"/>
    <x v="1"/>
    <n v="0.5"/>
  </r>
  <r>
    <n v="1035"/>
    <s v="Requestor - Project Initiation"/>
    <x v="5"/>
    <x v="35"/>
    <n v="1"/>
    <s v="27, 28"/>
    <x v="7"/>
    <s v="yes"/>
    <x v="0"/>
    <m/>
    <s v="col AR"/>
    <s v="CASE and WIP"/>
    <s v="1035 dependent on 1034"/>
    <m/>
    <s v="done"/>
    <s v="complete"/>
    <n v="10"/>
    <s v="AA"/>
    <s v="WK2"/>
    <d v="2025-09-22T00:00:00"/>
    <n v="3"/>
    <x v="1"/>
    <n v="0.5"/>
  </r>
  <r>
    <n v="1036"/>
    <s v="Requestor - Project Initiation"/>
    <x v="5"/>
    <x v="36"/>
    <n v="1"/>
    <s v="27, 28"/>
    <x v="8"/>
    <s v="conditional"/>
    <x v="0"/>
    <m/>
    <s v="col AT"/>
    <s v="CASE and WIP"/>
    <s v="1036 dependent on 1034"/>
    <m/>
    <s v="done"/>
    <s v="complete"/>
    <n v="10"/>
    <s v="AA"/>
    <s v="WK2"/>
    <d v="2025-09-22T00:00:00"/>
    <n v="3"/>
    <x v="3"/>
    <n v="1"/>
  </r>
  <r>
    <n v="1037"/>
    <s v="Requestor - Project Initiation"/>
    <x v="5"/>
    <x v="37"/>
    <n v="1"/>
    <s v="27, 28"/>
    <x v="7"/>
    <s v="yes"/>
    <x v="0"/>
    <m/>
    <s v="col AU"/>
    <s v="CASE and WIP"/>
    <s v="1037 predecessor to 1038, 1039, 1040"/>
    <m/>
    <s v="done"/>
    <s v="complete"/>
    <n v="10"/>
    <s v="AA"/>
    <s v="WK2"/>
    <d v="2025-09-22T00:00:00"/>
    <n v="3"/>
    <x v="1"/>
    <n v="0.5"/>
  </r>
  <r>
    <n v="1038"/>
    <s v="Requestor - Project Initiation"/>
    <x v="5"/>
    <x v="38"/>
    <n v="1"/>
    <s v="27, 28"/>
    <x v="16"/>
    <s v="conditional"/>
    <x v="0"/>
    <m/>
    <s v="col AW"/>
    <s v="CASE and WIP"/>
    <s v="1038 dependent on 1037"/>
    <m/>
    <s v="done"/>
    <s v="complete"/>
    <n v="10"/>
    <s v="AA"/>
    <s v="WK2"/>
    <d v="2025-09-22T00:00:00"/>
    <n v="3"/>
    <x v="3"/>
    <n v="1"/>
  </r>
  <r>
    <n v="1039"/>
    <s v="Requestor - Project Initiation"/>
    <x v="5"/>
    <x v="39"/>
    <n v="1"/>
    <s v="27, 28"/>
    <x v="7"/>
    <s v="yes"/>
    <x v="0"/>
    <m/>
    <s v="col AY"/>
    <s v="CASE and WIP"/>
    <s v="1039 dependent on 1037"/>
    <m/>
    <s v="done"/>
    <s v="complete"/>
    <n v="10"/>
    <s v="AA"/>
    <s v="WK2"/>
    <d v="2025-09-22T00:00:00"/>
    <n v="3"/>
    <x v="1"/>
    <n v="0.5"/>
  </r>
  <r>
    <n v="1040"/>
    <s v="Requestor - Project Initiation"/>
    <x v="5"/>
    <x v="40"/>
    <n v="1"/>
    <s v="27, 28"/>
    <x v="8"/>
    <s v="conditional"/>
    <x v="0"/>
    <m/>
    <s v="col BA"/>
    <s v="CASE and WIP"/>
    <s v="1040 dependent on 1037"/>
    <m/>
    <s v="done"/>
    <s v="complete"/>
    <n v="10"/>
    <s v="AA"/>
    <s v="WK2"/>
    <d v="2025-09-22T00:00:00"/>
    <n v="3"/>
    <x v="3"/>
    <n v="1"/>
  </r>
  <r>
    <n v="1041"/>
    <s v="Requestor - Project Initiation"/>
    <x v="5"/>
    <x v="41"/>
    <n v="1"/>
    <s v="26, 27, 28"/>
    <x v="7"/>
    <s v="no, appears that blank is viable"/>
    <x v="0"/>
    <m/>
    <s v="NOT in BR.xlsx"/>
    <s v="CASE, DISPLAY, and WIP"/>
    <s v="Tamara:  should always be YES per Shanan Walker; unless there are extinuating circumstances where they would not want the data to go to the customers"/>
    <m/>
    <s v="done"/>
    <s v="complete"/>
    <n v="10"/>
    <s v="AA"/>
    <s v="WK2"/>
    <d v="2025-09-22T00:00:00"/>
    <n v="3"/>
    <x v="1"/>
    <n v="0.5"/>
  </r>
  <r>
    <n v="1304"/>
    <s v="Requestor - Project Initiation"/>
    <x v="5"/>
    <x v="42"/>
    <n v="1"/>
    <n v="0"/>
    <x v="7"/>
    <s v="no, appears that blank is viable"/>
    <x v="0"/>
    <m/>
    <s v="NOT in BR.xlsx"/>
    <s v="9/22/25 new field identified (FALB); _x000a_currently on WIP form, but should be on CASE (Tamara to get NIF fixed) {as of 9/25/25 the distinction of the Form Type is not included in Expert System Rules}"/>
    <s v="1304 predecessor to Planning Variant (1151) and Material Description (1127)"/>
    <m/>
    <s v="done"/>
    <s v="complete"/>
    <n v="10"/>
    <s v="AA"/>
    <s v="WK2"/>
    <d v="2025-09-22T00:00:00"/>
    <n v="3"/>
    <x v="2"/>
    <n v="1.5"/>
  </r>
  <r>
    <n v="1042"/>
    <s v="Requestor - Project Initiation"/>
    <x v="6"/>
    <x v="43"/>
    <n v="1"/>
    <n v="28"/>
    <x v="17"/>
    <s v="yes"/>
    <x v="0"/>
    <m/>
    <s v="col BB"/>
    <m/>
    <s v="no known BR based on data entered"/>
    <m/>
    <s v="done"/>
    <s v="complete"/>
    <n v="10"/>
    <s v="AA"/>
    <s v="WK2"/>
    <d v="2025-09-22T00:00:00"/>
    <n v="3"/>
    <x v="3"/>
    <n v="1"/>
  </r>
  <r>
    <n v="1043"/>
    <s v="Requestor - Project Initiation"/>
    <x v="6"/>
    <x v="44"/>
    <n v="1"/>
    <n v="28"/>
    <x v="18"/>
    <s v="no, appears that blank is viable"/>
    <x v="0"/>
    <m/>
    <s v="col BD"/>
    <s v="no defaults exist; Used when space is limited (e.g., small packages or pouches)"/>
    <s v="SAP Classification fields: PACKAGE BAR CODE TYPE, POUCH BAR CODE TYPE; no - (pkgcode=upc_a &amp; pouchcode=upc_a); pouch=(pouchcode=upc_e &amp; pkgcode=upc_a); pkg=(pkgcode=upc_e &amp; pouchcode=upc_a); both=(pkgcode=upc_e &amp; pouchcode=upc_e); Also drives how Masterfiles assigns the codes"/>
    <m/>
    <s v="done"/>
    <s v="complete"/>
    <n v="10"/>
    <s v="AA"/>
    <s v="WK2"/>
    <d v="2025-09-22T00:00:00"/>
    <n v="3"/>
    <x v="3"/>
    <n v="1"/>
  </r>
  <r>
    <n v="1044"/>
    <s v="Requestor - Project Initiation"/>
    <x v="7"/>
    <x v="45"/>
    <n v="1"/>
    <n v="29"/>
    <x v="8"/>
    <s v="no"/>
    <x v="0"/>
    <m/>
    <s v="col BF"/>
    <s v="CASE only"/>
    <s v="Flowchart: Build SKU / Existing Printed"/>
    <m/>
    <s v="done"/>
    <s v="complete"/>
    <n v="10"/>
    <s v="AA"/>
    <s v="WK2"/>
    <d v="2025-09-22T00:00:00"/>
    <n v="4"/>
    <x v="3"/>
    <n v="1"/>
  </r>
  <r>
    <n v="1045"/>
    <s v="Requestor - Project Initiation"/>
    <x v="7"/>
    <x v="46"/>
    <n v="1"/>
    <n v="29"/>
    <x v="8"/>
    <s v="no"/>
    <x v="0"/>
    <m/>
    <s v="col BH"/>
    <s v="CASE only"/>
    <s v="Flowchart: Build SKU / Existing Printed"/>
    <m/>
    <s v="done"/>
    <s v="complete"/>
    <n v="10"/>
    <s v="AA"/>
    <s v="WK2"/>
    <d v="2025-09-22T00:00:00"/>
    <n v="4"/>
    <x v="3"/>
    <n v="1"/>
  </r>
  <r>
    <n v="1046"/>
    <s v="Requestor - Project Initiation"/>
    <x v="7"/>
    <x v="47"/>
    <n v="1"/>
    <n v="29"/>
    <x v="8"/>
    <s v="no"/>
    <x v="0"/>
    <m/>
    <s v="col BJ"/>
    <s v="CASE only"/>
    <s v="Flowchart: Build SKU / Existing Printed"/>
    <m/>
    <s v="done"/>
    <s v="complete"/>
    <n v="10"/>
    <s v="AA"/>
    <s v="WK2"/>
    <d v="2025-09-22T00:00:00"/>
    <n v="4"/>
    <x v="3"/>
    <n v="1"/>
  </r>
  <r>
    <n v="1047"/>
    <s v="Requestor - Project Initiation"/>
    <x v="7"/>
    <x v="48"/>
    <n v="1"/>
    <n v="29"/>
    <x v="8"/>
    <s v="no"/>
    <x v="0"/>
    <m/>
    <s v="col BL"/>
    <s v="CASE only"/>
    <s v="Flowchart: Build SKU / Existing Printed"/>
    <m/>
    <s v="done"/>
    <s v="complete"/>
    <n v="10"/>
    <s v="AA"/>
    <s v="WK2"/>
    <d v="2025-09-22T00:00:00"/>
    <n v="4"/>
    <x v="3"/>
    <n v="1"/>
  </r>
  <r>
    <n v="1048"/>
    <s v="Requestor - Project Initiation"/>
    <x v="7"/>
    <x v="49"/>
    <n v="1"/>
    <n v="29"/>
    <x v="8"/>
    <s v="no"/>
    <x v="0"/>
    <m/>
    <s v="NOT in BR.xlsx"/>
    <s v="CASE only"/>
    <s v="Flowchart: Build SKU / Existing Printed"/>
    <m/>
    <s v="done"/>
    <s v="complete"/>
    <n v="10"/>
    <s v="AA"/>
    <s v="WK2"/>
    <d v="2025-09-22T00:00:00"/>
    <n v="4"/>
    <x v="3"/>
    <n v="1"/>
  </r>
  <r>
    <n v="1049"/>
    <s v="Requestor - Project Initiation"/>
    <x v="7"/>
    <x v="50"/>
    <n v="1"/>
    <n v="29"/>
    <x v="18"/>
    <s v="no"/>
    <x v="0"/>
    <m/>
    <s v="NOT in BR.xlsx"/>
    <s v="CASE only; defaulted to NO (for all form types), but can be changed"/>
    <s v="Flowchart: Build SKU / Existing Printed"/>
    <m/>
    <s v="done"/>
    <s v="complete"/>
    <n v="10"/>
    <s v="AA"/>
    <s v="WK2"/>
    <d v="2025-09-22T00:00:00"/>
    <n v="4"/>
    <x v="3"/>
    <n v="1"/>
  </r>
  <r>
    <n v="1050"/>
    <s v="Requestor - Project Initiation"/>
    <x v="8"/>
    <x v="51"/>
    <n v="1"/>
    <n v="0"/>
    <x v="7"/>
    <s v="no, appears that blank is viable"/>
    <x v="0"/>
    <m/>
    <s v="col BN"/>
    <s v="…not in Trng_deck.ppt; only open for US and required: STRAIGHT CASE (not Repack); DISPLAY &amp; WIP is locked/blank"/>
    <s v="Tech name: [Sales_Sample_Question]; 1050 predecessor to &quot;additional pkg for launch&quot; (1053); "/>
    <m/>
    <s v="done"/>
    <s v="complete"/>
    <n v="10"/>
    <s v="AA"/>
    <s v="WK2"/>
    <d v="2025-09-22T00:00:00"/>
    <n v="4"/>
    <x v="1"/>
    <n v="0.5"/>
  </r>
  <r>
    <n v="1051"/>
    <s v="Requestor - Project Initiation"/>
    <x v="9"/>
    <x v="52"/>
    <n v="0"/>
    <n v="29"/>
    <x v="0"/>
    <s v="no"/>
    <x v="0"/>
    <m/>
    <m/>
    <s v="This section corresponds to the Setup Type that has been chosen, and will show you the UPC requirements._x000a_Not sure how this section gets triggered to pull in the correct data (as I can't seem to find it in the NIF Rules.docx).  Maybe from the RDL: ALT_UOM {Alternate Unit Of Meaure table}"/>
    <s v="(only displays for the requestor to review if the levels of the packaging look correct: ie is there a pouch level, if needed);  no need to put in AI BOT: unless there is a way to pull the table from the NIF Evolve business rules automatically"/>
    <m/>
    <s v="done"/>
    <s v="complete"/>
    <n v="10"/>
    <s v="AA"/>
    <s v="WK2"/>
    <d v="2025-09-22T00:00:00"/>
    <n v="9"/>
    <x v="0"/>
    <n v="0"/>
  </r>
  <r>
    <n v="1052"/>
    <s v="Requestor - Project Initiation"/>
    <x v="10"/>
    <x v="53"/>
    <n v="1"/>
    <n v="30"/>
    <x v="8"/>
    <s v="no"/>
    <x v="0"/>
    <m/>
    <s v="NOT in BR.xlsx"/>
    <m/>
    <s v="no known BR based on data entered"/>
    <m/>
    <s v="done"/>
    <s v="complete"/>
    <n v="10"/>
    <s v="AA"/>
    <s v="WK2"/>
    <d v="2025-09-22T00:00:00"/>
    <n v="4"/>
    <x v="3"/>
    <n v="1"/>
  </r>
  <r>
    <n v="1053"/>
    <s v="Requestor - Project Initiation"/>
    <x v="8"/>
    <x v="54"/>
    <n v="1"/>
    <s v="30, 47, 56, 113"/>
    <x v="19"/>
    <s v="conditional"/>
    <x v="0"/>
    <s v="Masterfiles"/>
    <s v="col BP"/>
    <s v="Multiple rows possible."/>
    <s v="Tech name: [Special_Launch_Selection]; 1053 dependent on 1050; open for all Form Type=CASE, not required; not DISPLAY or WIP; if &quot;Sale Samples may be needed&quot; (1050)=yes, set 1053 to &quot;Sales Sample Package K number 999 Variant (KXXXXXX999)&quot;; "/>
    <m/>
    <s v="done"/>
    <s v="complete"/>
    <n v="10"/>
    <s v="AA"/>
    <s v="WK2"/>
    <d v="2025-09-22T00:00:00"/>
    <n v="4"/>
    <x v="3"/>
    <n v="1"/>
  </r>
  <r>
    <n v="1054"/>
    <s v="LIM - Initial Review"/>
    <x v="11"/>
    <x v="55"/>
    <n v="1"/>
    <n v="31"/>
    <x v="20"/>
    <m/>
    <x v="2"/>
    <m/>
    <m/>
    <s v="used for naming NIF form"/>
    <m/>
    <m/>
    <s v="upcoming"/>
    <s v="current"/>
    <n v="20"/>
    <s v="DD"/>
    <s v="WK3"/>
    <d v="2025-09-29T00:00:00"/>
    <m/>
    <x v="1"/>
    <n v="0.5"/>
  </r>
  <r>
    <n v="1055"/>
    <s v="LIM - Initial Review"/>
    <x v="12"/>
    <x v="56"/>
    <n v="1"/>
    <s v="32, 61"/>
    <x v="21"/>
    <m/>
    <x v="2"/>
    <m/>
    <m/>
    <m/>
    <m/>
    <m/>
    <s v="upcoming"/>
    <s v="current"/>
    <n v="20"/>
    <s v="DD"/>
    <s v="WK3"/>
    <d v="2025-09-29T00:00:00"/>
    <m/>
    <x v="1"/>
    <n v="0.5"/>
  </r>
  <r>
    <n v="1056"/>
    <s v="LIM - Initial Review"/>
    <x v="1"/>
    <x v="57"/>
    <n v="1"/>
    <s v="32, 61"/>
    <x v="1"/>
    <m/>
    <x v="2"/>
    <m/>
    <m/>
    <m/>
    <m/>
    <m/>
    <s v="upcoming"/>
    <s v="current"/>
    <n v="20"/>
    <s v="DD"/>
    <s v="WK3"/>
    <d v="2025-09-29T00:00:00"/>
    <m/>
    <x v="1"/>
    <n v="0.5"/>
  </r>
  <r>
    <n v="1057"/>
    <s v="LIM - Initial Review"/>
    <x v="1"/>
    <x v="58"/>
    <n v="1"/>
    <s v="32, 61"/>
    <x v="1"/>
    <m/>
    <x v="2"/>
    <m/>
    <m/>
    <m/>
    <m/>
    <m/>
    <s v="upcoming"/>
    <s v="current"/>
    <n v="20"/>
    <s v="DD"/>
    <s v="WK3"/>
    <d v="2025-09-29T00:00:00"/>
    <m/>
    <x v="1"/>
    <n v="0.5"/>
  </r>
  <r>
    <n v="1058"/>
    <s v="LIM - Initial Review"/>
    <x v="1"/>
    <x v="59"/>
    <n v="1"/>
    <s v="32, 61"/>
    <x v="1"/>
    <m/>
    <x v="2"/>
    <m/>
    <m/>
    <m/>
    <m/>
    <m/>
    <s v="upcoming"/>
    <s v="current"/>
    <n v="20"/>
    <s v="DD"/>
    <s v="WK3"/>
    <d v="2025-09-29T00:00:00"/>
    <m/>
    <x v="1"/>
    <n v="0.5"/>
  </r>
  <r>
    <n v="1059"/>
    <s v="LIM - Initial Review"/>
    <x v="1"/>
    <x v="60"/>
    <n v="1"/>
    <s v="32, 61"/>
    <x v="1"/>
    <m/>
    <x v="2"/>
    <m/>
    <m/>
    <m/>
    <m/>
    <m/>
    <s v="upcoming"/>
    <s v="current"/>
    <n v="20"/>
    <s v="DD"/>
    <s v="WK3"/>
    <d v="2025-09-29T00:00:00"/>
    <m/>
    <x v="1"/>
    <n v="0.5"/>
  </r>
  <r>
    <n v="1060"/>
    <s v="LIM - Initial Review"/>
    <x v="1"/>
    <x v="61"/>
    <n v="1"/>
    <s v="32, 61"/>
    <x v="1"/>
    <m/>
    <x v="2"/>
    <m/>
    <m/>
    <m/>
    <m/>
    <m/>
    <s v="upcoming"/>
    <s v="current"/>
    <n v="20"/>
    <s v="DD"/>
    <s v="WK3"/>
    <d v="2025-09-29T00:00:00"/>
    <m/>
    <x v="1"/>
    <n v="0.5"/>
  </r>
  <r>
    <n v="1061"/>
    <s v="LIM - Initial Review"/>
    <x v="1"/>
    <x v="62"/>
    <n v="1"/>
    <s v="32, 61"/>
    <x v="1"/>
    <m/>
    <x v="2"/>
    <m/>
    <m/>
    <m/>
    <m/>
    <m/>
    <s v="upcoming"/>
    <s v="current"/>
    <n v="20"/>
    <s v="DD"/>
    <s v="WK3"/>
    <d v="2025-09-29T00:00:00"/>
    <m/>
    <x v="1"/>
    <n v="0.5"/>
  </r>
  <r>
    <n v="1062"/>
    <s v="LIM - Initial Review"/>
    <x v="1"/>
    <x v="63"/>
    <n v="1"/>
    <s v="32, 61"/>
    <x v="1"/>
    <m/>
    <x v="2"/>
    <m/>
    <m/>
    <m/>
    <m/>
    <m/>
    <s v="upcoming"/>
    <s v="current"/>
    <n v="20"/>
    <s v="DD"/>
    <s v="WK3"/>
    <d v="2025-09-29T00:00:00"/>
    <m/>
    <x v="1"/>
    <n v="0.5"/>
  </r>
  <r>
    <n v="1063"/>
    <s v="LIM - Initial Review"/>
    <x v="1"/>
    <x v="64"/>
    <n v="1"/>
    <s v="32, 61"/>
    <x v="1"/>
    <m/>
    <x v="2"/>
    <m/>
    <m/>
    <m/>
    <m/>
    <m/>
    <s v="upcoming"/>
    <s v="current"/>
    <n v="20"/>
    <s v="DD"/>
    <s v="WK3"/>
    <d v="2025-09-29T00:00:00"/>
    <m/>
    <x v="1"/>
    <n v="0.5"/>
  </r>
  <r>
    <n v="1064"/>
    <s v="LIM - Initial Review"/>
    <x v="1"/>
    <x v="65"/>
    <n v="1"/>
    <s v="32, 61"/>
    <x v="1"/>
    <m/>
    <x v="2"/>
    <m/>
    <m/>
    <m/>
    <m/>
    <m/>
    <s v="upcoming"/>
    <s v="current"/>
    <n v="20"/>
    <s v="DD"/>
    <s v="WK3"/>
    <d v="2025-09-29T00:00:00"/>
    <m/>
    <x v="1"/>
    <n v="0.5"/>
  </r>
  <r>
    <n v="1065"/>
    <s v="LIM - Initial Review"/>
    <x v="1"/>
    <x v="66"/>
    <n v="1"/>
    <s v="32, 61"/>
    <x v="1"/>
    <m/>
    <x v="2"/>
    <m/>
    <m/>
    <m/>
    <m/>
    <m/>
    <s v="upcoming"/>
    <s v="current"/>
    <n v="20"/>
    <s v="DD"/>
    <s v="WK3"/>
    <d v="2025-09-29T00:00:00"/>
    <m/>
    <x v="1"/>
    <n v="0.5"/>
  </r>
  <r>
    <n v="1066"/>
    <s v="LIM - Initial Review"/>
    <x v="1"/>
    <x v="67"/>
    <n v="1"/>
    <s v="32, 61"/>
    <x v="1"/>
    <m/>
    <x v="2"/>
    <m/>
    <m/>
    <m/>
    <m/>
    <m/>
    <s v="upcoming"/>
    <s v="current"/>
    <n v="20"/>
    <s v="DD"/>
    <s v="WK3"/>
    <d v="2025-09-29T00:00:00"/>
    <m/>
    <x v="1"/>
    <n v="0.5"/>
  </r>
  <r>
    <n v="1067"/>
    <s v="LIM - Initial Review"/>
    <x v="2"/>
    <x v="68"/>
    <n v="1"/>
    <n v="33"/>
    <x v="7"/>
    <m/>
    <x v="2"/>
    <m/>
    <m/>
    <s v="CASE only (not DISPLAY or WIP)"/>
    <s v="1067 predecessor to 1083-1097; if YES opens 1083+, if NO then skips Forecast section"/>
    <m/>
    <s v="code rules"/>
    <s v="current"/>
    <n v="20"/>
    <s v="DD"/>
    <s v="WK3"/>
    <d v="2025-09-29T00:00:00"/>
    <m/>
    <x v="3"/>
    <n v="1"/>
  </r>
  <r>
    <n v="1068"/>
    <s v="LIM - Initial Review"/>
    <x v="13"/>
    <x v="69"/>
    <n v="1"/>
    <n v="36"/>
    <x v="8"/>
    <m/>
    <x v="2"/>
    <m/>
    <m/>
    <m/>
    <m/>
    <m/>
    <s v="upcoming"/>
    <s v="current"/>
    <n v="20"/>
    <s v="DD"/>
    <s v="WK3"/>
    <d v="2025-09-29T00:00:00"/>
    <m/>
    <x v="1"/>
    <n v="0.5"/>
  </r>
  <r>
    <n v="1069"/>
    <s v="LIM - LIM REPORT"/>
    <x v="14"/>
    <x v="70"/>
    <n v="1"/>
    <s v="37-41"/>
    <x v="22"/>
    <m/>
    <x v="2"/>
    <m/>
    <m/>
    <s v="read only form for exporting data to Excel"/>
    <m/>
    <m/>
    <s v="upcoming"/>
    <s v="future"/>
    <n v="30"/>
    <s v="II"/>
    <s v="WK5"/>
    <d v="2025-10-13T00:00:00"/>
    <m/>
    <x v="1"/>
    <n v="0.5"/>
  </r>
  <r>
    <n v="1070"/>
    <s v="Masterfiles - Get Codes"/>
    <x v="15"/>
    <x v="71"/>
    <n v="1"/>
    <s v="45, 56"/>
    <x v="8"/>
    <m/>
    <x v="1"/>
    <m/>
    <m/>
    <s v="(field 1013 is same but view only)"/>
    <s v="no known BR based on data entered"/>
    <m/>
    <s v="pending"/>
    <s v="early"/>
    <n v="40"/>
    <s v="GG"/>
    <s v="WK5"/>
    <d v="2025-10-13T00:00:00"/>
    <m/>
    <x v="1"/>
    <n v="0.5"/>
  </r>
  <r>
    <n v="1072"/>
    <s v="Masterfiles - Get Codes"/>
    <x v="16"/>
    <x v="72"/>
    <n v="1"/>
    <s v="47, 56, 113"/>
    <x v="8"/>
    <m/>
    <x v="1"/>
    <m/>
    <m/>
    <s v="rows of data: 4 (CS, PKG, LYR, UL);  PCH"/>
    <m/>
    <m/>
    <s v="upcoming"/>
    <s v="future"/>
    <n v="40"/>
    <s v="GG"/>
    <s v="WK5"/>
    <d v="2025-10-13T00:00:00"/>
    <m/>
    <x v="1"/>
    <n v="0.5"/>
  </r>
  <r>
    <n v="1073"/>
    <s v="Masterfiles - Get Codes"/>
    <x v="16"/>
    <x v="73"/>
    <n v="1"/>
    <s v="47, 56, 113"/>
    <x v="8"/>
    <m/>
    <x v="1"/>
    <m/>
    <m/>
    <s v="rows of data: 4 (CS, PKG, LYR, UL);  PCH"/>
    <m/>
    <m/>
    <s v="upcoming"/>
    <s v="future"/>
    <n v="40"/>
    <s v="GG"/>
    <s v="WK5"/>
    <d v="2025-10-13T00:00:00"/>
    <m/>
    <x v="1"/>
    <n v="0.5"/>
  </r>
  <r>
    <n v="1074"/>
    <s v="Masterfiles - Get Codes"/>
    <x v="16"/>
    <x v="74"/>
    <n v="0"/>
    <n v="113"/>
    <x v="0"/>
    <m/>
    <x v="1"/>
    <m/>
    <m/>
    <s v="value appears to be ZU; need to verify; &quot;EAN Cat&quot; "/>
    <m/>
    <m/>
    <s v="upcoming"/>
    <s v="future"/>
    <n v="40"/>
    <s v="GG"/>
    <s v="WK5"/>
    <d v="2025-10-13T00:00:00"/>
    <m/>
    <x v="0"/>
    <n v="0"/>
  </r>
  <r>
    <n v="1075"/>
    <s v="Masterfiles - Get Codes"/>
    <x v="16"/>
    <x v="75"/>
    <n v="0"/>
    <s v="47, 56, 113"/>
    <x v="0"/>
    <m/>
    <x v="1"/>
    <m/>
    <m/>
    <m/>
    <m/>
    <m/>
    <s v="upcoming"/>
    <s v="future"/>
    <n v="40"/>
    <s v="GG"/>
    <s v="WK5"/>
    <d v="2025-10-13T00:00:00"/>
    <m/>
    <x v="0"/>
    <n v="0"/>
  </r>
  <r>
    <n v="1076"/>
    <s v="Masterfiles - Get Codes"/>
    <x v="16"/>
    <x v="76"/>
    <n v="0"/>
    <s v="47, 56, 113"/>
    <x v="0"/>
    <m/>
    <x v="1"/>
    <m/>
    <m/>
    <m/>
    <m/>
    <m/>
    <s v="upcoming"/>
    <s v="future"/>
    <n v="40"/>
    <s v="GG"/>
    <s v="WK5"/>
    <d v="2025-10-13T00:00:00"/>
    <m/>
    <x v="0"/>
    <n v="0"/>
  </r>
  <r>
    <n v="1077"/>
    <s v="Masterfiles - Get Codes"/>
    <x v="16"/>
    <x v="77"/>
    <n v="1"/>
    <s v="47, 56, 113"/>
    <x v="8"/>
    <m/>
    <x v="1"/>
    <m/>
    <m/>
    <s v="rows of data: 4 (CS, PKG, LYR, UL);  PCH"/>
    <m/>
    <m/>
    <s v="upcoming"/>
    <s v="future"/>
    <n v="40"/>
    <s v="GG"/>
    <s v="WK5"/>
    <d v="2025-10-13T00:00:00"/>
    <m/>
    <x v="1"/>
    <n v="0.5"/>
  </r>
  <r>
    <n v="1078"/>
    <s v="Masterfiles - Get Codes"/>
    <x v="16"/>
    <x v="78"/>
    <n v="0"/>
    <s v="47, 56, 113"/>
    <x v="0"/>
    <m/>
    <x v="1"/>
    <m/>
    <m/>
    <m/>
    <m/>
    <m/>
    <s v="upcoming"/>
    <s v="future"/>
    <n v="40"/>
    <s v="GG"/>
    <s v="WK5"/>
    <d v="2025-10-13T00:00:00"/>
    <m/>
    <x v="0"/>
    <n v="0"/>
  </r>
  <r>
    <n v="1079"/>
    <s v="Masterfiles - Get Codes"/>
    <x v="16"/>
    <x v="79"/>
    <n v="0"/>
    <s v="47, 56, 113"/>
    <x v="0"/>
    <m/>
    <x v="1"/>
    <m/>
    <m/>
    <m/>
    <m/>
    <m/>
    <s v="upcoming"/>
    <s v="future"/>
    <n v="40"/>
    <s v="GG"/>
    <s v="WK5"/>
    <d v="2025-10-13T00:00:00"/>
    <m/>
    <x v="0"/>
    <n v="0"/>
  </r>
  <r>
    <n v="1080"/>
    <s v="Masterfiles - Get Codes"/>
    <x v="16"/>
    <x v="80"/>
    <n v="0"/>
    <s v="47, 56, 113"/>
    <x v="0"/>
    <m/>
    <x v="1"/>
    <m/>
    <m/>
    <m/>
    <m/>
    <m/>
    <s v="upcoming"/>
    <s v="future"/>
    <n v="40"/>
    <s v="GG"/>
    <s v="WK5"/>
    <d v="2025-10-13T00:00:00"/>
    <m/>
    <x v="0"/>
    <n v="0"/>
  </r>
  <r>
    <n v="1081"/>
    <s v="Masterfiles - Get Codes"/>
    <x v="16"/>
    <x v="81"/>
    <n v="1"/>
    <s v="30, 47, 56, 113"/>
    <x v="8"/>
    <m/>
    <x v="1"/>
    <m/>
    <m/>
    <s v="Multiple rows possible."/>
    <m/>
    <m/>
    <s v="pending"/>
    <s v="future"/>
    <n v="40"/>
    <s v="GG"/>
    <s v="WK5"/>
    <d v="2025-10-13T00:00:00"/>
    <m/>
    <x v="1"/>
    <n v="0.5"/>
  </r>
  <r>
    <n v="1082"/>
    <s v="Masterfiles - Get Codes"/>
    <x v="13"/>
    <x v="82"/>
    <n v="1"/>
    <n v="47"/>
    <x v="8"/>
    <m/>
    <x v="1"/>
    <m/>
    <m/>
    <m/>
    <m/>
    <m/>
    <s v="upcoming"/>
    <s v="future"/>
    <n v="40"/>
    <s v="GG"/>
    <s v="WK5"/>
    <d v="2025-10-13T00:00:00"/>
    <m/>
    <x v="1"/>
    <n v="0.5"/>
  </r>
  <r>
    <n v="1083"/>
    <s v="LIM - Forecast Approval"/>
    <x v="17"/>
    <x v="83"/>
    <n v="0"/>
    <n v="51"/>
    <x v="23"/>
    <s v="yes"/>
    <x v="2"/>
    <m/>
    <m/>
    <s v="LIM approval to setup Forecast sku; SAP Classification-Manufacturer Company"/>
    <s v="1083 dependent on 1107 Brand"/>
    <m/>
    <s v="done"/>
    <s v="complete"/>
    <n v="50"/>
    <s v="BB"/>
    <s v="WK2"/>
    <d v="2025-09-22T00:00:00"/>
    <m/>
    <x v="0"/>
    <n v="0"/>
  </r>
  <r>
    <n v="1084"/>
    <s v="LIM - Forecast Approval"/>
    <x v="17"/>
    <x v="84"/>
    <n v="1"/>
    <s v="51, 74"/>
    <x v="24"/>
    <s v="yes"/>
    <x v="2"/>
    <s v="Requestor"/>
    <m/>
    <m/>
    <s v="if Product Type=BUNDLE (DTC) then MATERIAL Group=REPACK; otherwise select from dd"/>
    <m/>
    <s v="done"/>
    <s v="complete"/>
    <n v="50"/>
    <s v="BB"/>
    <s v="WK2"/>
    <d v="2025-09-22T00:00:00"/>
    <n v="5"/>
    <x v="3"/>
    <n v="1"/>
  </r>
  <r>
    <n v="1085"/>
    <s v="LIM - Forecast Approval"/>
    <x v="17"/>
    <x v="85"/>
    <n v="1"/>
    <s v="51, 74, 105"/>
    <x v="25"/>
    <s v="yes"/>
    <x v="2"/>
    <s v="Requestor, CA Finance Tax"/>
    <m/>
    <s v="Bev - check w/TT regarding specific wording in drop down (not part of RDL list)"/>
    <s v="1085 dependent on where CHANNEL=:  AFH/Specialty (1033), Canada (1008), Export (1034), CLUB, RX- where there is a subselection of the list for these areas; otherwise it shows RETAIL choices"/>
    <m/>
    <s v="done"/>
    <s v="complete"/>
    <n v="50"/>
    <s v="BB"/>
    <s v="WK2"/>
    <d v="2025-09-22T00:00:00"/>
    <n v="5"/>
    <x v="3"/>
    <n v="1"/>
  </r>
  <r>
    <n v="1086"/>
    <s v="LIM - Forecast Approval"/>
    <x v="17"/>
    <x v="86"/>
    <n v="1"/>
    <s v="51, 107"/>
    <x v="8"/>
    <s v="yes"/>
    <x v="2"/>
    <s v="Category Finance"/>
    <m/>
    <m/>
    <s v="no Business Rules, numbers and decimals only"/>
    <m/>
    <s v="done"/>
    <s v="complete"/>
    <n v="50"/>
    <s v="BB"/>
    <s v="WK2"/>
    <d v="2025-09-22T00:00:00"/>
    <m/>
    <x v="1"/>
    <n v="0.5"/>
  </r>
  <r>
    <n v="1155"/>
    <s v="Requestor Update"/>
    <x v="18"/>
    <x v="87"/>
    <n v="1"/>
    <s v="(not on pg 51), 74"/>
    <x v="26"/>
    <s v="yes"/>
    <x v="0"/>
    <m/>
    <m/>
    <s v="9/24/25 - in NIF PROD this field is on the LIM - Forecast Approval training section"/>
    <s v="no known BR based on data entered"/>
    <m/>
    <s v="done"/>
    <s v="complete"/>
    <n v="100"/>
    <s v="CC"/>
    <s v="WK2"/>
    <d v="2025-09-22T00:00:00"/>
    <n v="5"/>
    <x v="1"/>
    <n v="0.5"/>
  </r>
  <r>
    <n v="1087"/>
    <s v="LIM - Forecast Approval"/>
    <x v="17"/>
    <x v="88"/>
    <n v="1"/>
    <n v="51"/>
    <x v="8"/>
    <s v="yes"/>
    <x v="2"/>
    <m/>
    <m/>
    <s v="Tamara to test - Canada_x000a_9/26/25 - Query not included in Expert System Rules"/>
    <s v="numbers and decimals; runs query_tax_classification query (what does this do"/>
    <m/>
    <s v="done"/>
    <s v="last week"/>
    <n v="50"/>
    <s v="BB"/>
    <s v="WK2"/>
    <d v="2025-09-22T00:00:00"/>
    <m/>
    <x v="1"/>
    <n v="0.5"/>
  </r>
  <r>
    <n v="1088"/>
    <s v="LIM - Forecast Approval"/>
    <x v="17"/>
    <x v="89"/>
    <n v="0"/>
    <n v="51"/>
    <x v="0"/>
    <m/>
    <x v="2"/>
    <m/>
    <m/>
    <s v="based off SUB-TYPE DESCRIPTION"/>
    <s v="display only - duplicate of Material Prefix Description (1042)"/>
    <m/>
    <s v="done"/>
    <s v="complete"/>
    <n v="50"/>
    <s v="BB"/>
    <s v="WK2"/>
    <d v="2025-09-22T00:00:00"/>
    <m/>
    <x v="0"/>
    <n v="0"/>
  </r>
  <r>
    <n v="1089"/>
    <s v="LIM - Forecast Approval"/>
    <x v="17"/>
    <x v="90"/>
    <n v="1"/>
    <s v="51, 80"/>
    <x v="27"/>
    <s v="yes"/>
    <x v="2"/>
    <m/>
    <m/>
    <m/>
    <s v="no known BR based on data entered"/>
    <m/>
    <s v="done"/>
    <s v="complete"/>
    <n v="50"/>
    <s v="BB"/>
    <s v="WK2"/>
    <d v="2025-09-22T00:00:00"/>
    <m/>
    <x v="3"/>
    <n v="1"/>
  </r>
  <r>
    <n v="1090"/>
    <s v="LIM - Forecast Approval"/>
    <x v="17"/>
    <x v="91"/>
    <n v="1"/>
    <n v="51"/>
    <x v="8"/>
    <s v="yes"/>
    <x v="2"/>
    <m/>
    <m/>
    <m/>
    <s v="1090 predecessor to: If US then Imperial (1092) is required and Metric (1091) is open but not required, otherwise if NOT-US then Metric is required and Imperial is open but not required"/>
    <m/>
    <s v="done"/>
    <s v="complete"/>
    <n v="50"/>
    <s v="BB"/>
    <s v="WK2"/>
    <d v="2025-09-22T00:00:00"/>
    <m/>
    <x v="1"/>
    <n v="0.5"/>
  </r>
  <r>
    <n v="1091"/>
    <s v="LIM - Forecast Approval"/>
    <x v="17"/>
    <x v="92"/>
    <n v="1"/>
    <n v="51"/>
    <x v="8"/>
    <s v="conditional"/>
    <x v="2"/>
    <m/>
    <m/>
    <m/>
    <s v="1091 dependent on 1090"/>
    <m/>
    <s v="done"/>
    <s v="complete"/>
    <n v="50"/>
    <s v="BB"/>
    <s v="WK2"/>
    <d v="2025-09-22T00:00:00"/>
    <m/>
    <x v="1"/>
    <n v="0.5"/>
  </r>
  <r>
    <n v="1092"/>
    <s v="LIM - Forecast Approval"/>
    <x v="17"/>
    <x v="93"/>
    <n v="1"/>
    <n v="51"/>
    <x v="8"/>
    <s v="conditional"/>
    <x v="2"/>
    <m/>
    <m/>
    <m/>
    <s v="1092 dependent on 1090"/>
    <m/>
    <s v="done"/>
    <s v="complete"/>
    <n v="50"/>
    <s v="BB"/>
    <s v="WK2"/>
    <d v="2025-09-22T00:00:00"/>
    <m/>
    <x v="1"/>
    <n v="0.5"/>
  </r>
  <r>
    <n v="1093"/>
    <s v="LIM - Forecast Approval"/>
    <x v="17"/>
    <x v="94"/>
    <n v="1"/>
    <s v="51, 76"/>
    <x v="28"/>
    <s v="yes"/>
    <x v="2"/>
    <s v="Requestor"/>
    <m/>
    <s v="Multiple rows possible._x000a_9/29/25 - DataSync would like this to only be one answer, as it causes issues otherwise. (not yet in NIF code)"/>
    <s v="9/29/25 - did not code: if AA then change to US (might be because Jon put US at the top of the list with the AA); _x000a_no other business rules"/>
    <m/>
    <s v="done"/>
    <s v="complete"/>
    <n v="50"/>
    <s v="BB"/>
    <s v="WK2"/>
    <d v="2025-09-22T00:00:00"/>
    <n v="6"/>
    <x v="3"/>
    <n v="1"/>
  </r>
  <r>
    <n v="1094"/>
    <s v="LIM - Forecast Approval"/>
    <x v="17"/>
    <x v="95"/>
    <n v="1"/>
    <s v="51, 81"/>
    <x v="29"/>
    <s v="yes"/>
    <x v="2"/>
    <m/>
    <m/>
    <s v="Multiple rows possible."/>
    <s v="1094 predecessor to 1095 populates from ref list; if VAS=yes, then In/Out required"/>
    <m/>
    <s v="done"/>
    <s v="complete"/>
    <n v="50"/>
    <s v="BB"/>
    <s v="WK2"/>
    <d v="2025-09-22T00:00:00"/>
    <m/>
    <x v="3"/>
    <n v="1"/>
  </r>
  <r>
    <n v="1095"/>
    <s v="LIM - Forecast Approval"/>
    <x v="17"/>
    <x v="96"/>
    <n v="0"/>
    <s v="51, 81"/>
    <x v="0"/>
    <s v="no"/>
    <x v="2"/>
    <m/>
    <m/>
    <s v="Multiple rows possible."/>
    <s v="1095 dependent on 1094"/>
    <m/>
    <s v="done"/>
    <s v="complete"/>
    <n v="50"/>
    <s v="BB"/>
    <s v="WK2"/>
    <d v="2025-09-22T00:00:00"/>
    <m/>
    <x v="0"/>
    <n v="0"/>
  </r>
  <r>
    <n v="1096"/>
    <s v="LIM - Forecast Approval"/>
    <x v="17"/>
    <x v="97"/>
    <n v="1"/>
    <s v="51, 81"/>
    <x v="30"/>
    <s v="yes"/>
    <x v="2"/>
    <m/>
    <m/>
    <s v="Multiple rows possible."/>
    <s v="If VAS=yes, then required"/>
    <m/>
    <s v="done"/>
    <s v="complete"/>
    <n v="50"/>
    <s v="BB"/>
    <s v="WK2"/>
    <d v="2025-09-22T00:00:00"/>
    <m/>
    <x v="1"/>
    <n v="0.5"/>
  </r>
  <r>
    <n v="1097"/>
    <s v="LIM - Forecast Approval"/>
    <x v="17"/>
    <x v="98"/>
    <n v="1"/>
    <s v="51, 81"/>
    <x v="31"/>
    <s v="no"/>
    <x v="2"/>
    <m/>
    <m/>
    <s v="Multiple rows possible."/>
    <s v="no known BR based on data entered"/>
    <m/>
    <s v="done"/>
    <s v="complete"/>
    <n v="50"/>
    <s v="BB"/>
    <s v="WK2"/>
    <d v="2025-09-22T00:00:00"/>
    <m/>
    <x v="1"/>
    <n v="0.5"/>
  </r>
  <r>
    <n v="1098"/>
    <s v="LIM - Forecast Approval"/>
    <x v="19"/>
    <x v="99"/>
    <n v="1"/>
    <s v="51, 76, 81"/>
    <x v="32"/>
    <s v="yes"/>
    <x v="2"/>
    <s v="Requestor"/>
    <m/>
    <s v="9/28/25 - did not code flavor abbreviation; pull in at Material Description field"/>
    <s v="Flavor_Abbrv from ref list;"/>
    <m/>
    <s v="done"/>
    <s v="complete"/>
    <n v="50"/>
    <s v="BB"/>
    <s v="WK2"/>
    <d v="2025-09-22T00:00:00"/>
    <n v="6"/>
    <x v="3"/>
    <n v="1"/>
  </r>
  <r>
    <n v="1099"/>
    <s v="LIM - Forecast Approval"/>
    <x v="19"/>
    <x v="100"/>
    <n v="1"/>
    <s v="51, 76, 81, 94"/>
    <x v="33"/>
    <s v="yes"/>
    <x v="2"/>
    <s v="Requestor, Nutrition Labeling"/>
    <m/>
    <s v="9/28/25 - did not code food form abbreviation; pull in at Material Description field"/>
    <s v="1099 predecessor to 1173; gets the Food_Form_Abbrv from ref list; "/>
    <m/>
    <s v="done"/>
    <s v="complete"/>
    <n v="50"/>
    <s v="BB"/>
    <s v="WK2"/>
    <d v="2025-09-22T00:00:00"/>
    <n v="6"/>
    <x v="3"/>
    <n v="1"/>
  </r>
  <r>
    <n v="1100"/>
    <s v="LIM - Forecast Approval"/>
    <x v="19"/>
    <x v="101"/>
    <n v="1"/>
    <s v="51, 76, 81"/>
    <x v="34"/>
    <s v="open not req"/>
    <x v="2"/>
    <s v="Requestor"/>
    <m/>
    <m/>
    <s v="no known BR based on data entered"/>
    <m/>
    <s v="done"/>
    <s v="complete"/>
    <n v="50"/>
    <s v="BB"/>
    <s v="WK2"/>
    <d v="2025-09-22T00:00:00"/>
    <n v="6"/>
    <x v="3"/>
    <n v="1"/>
  </r>
  <r>
    <n v="1101"/>
    <s v="LIM - Forecast Approval"/>
    <x v="20"/>
    <x v="102"/>
    <n v="0"/>
    <n v="51"/>
    <x v="35"/>
    <s v="yes"/>
    <x v="2"/>
    <m/>
    <m/>
    <s v="based off BRAND DESCRIPTION"/>
    <s v="no known BR based on data entered"/>
    <m/>
    <s v="done"/>
    <s v="complete"/>
    <n v="50"/>
    <s v="BB"/>
    <s v="WK2"/>
    <d v="2025-09-22T00:00:00"/>
    <m/>
    <x v="0"/>
    <n v="0"/>
  </r>
  <r>
    <n v="1102"/>
    <s v="LIM - Forecast Approval"/>
    <x v="20"/>
    <x v="103"/>
    <n v="0"/>
    <n v="51"/>
    <x v="35"/>
    <s v="yes"/>
    <x v="2"/>
    <m/>
    <m/>
    <s v="based off BRAND DESCRIPTION"/>
    <s v="move these rules to the proper field:_x000a_if CA &amp; VAS=yes, BOM_plant=1460; _x000a_if US &amp; VAS=yes &amp; Pringles=no, BOM_plant=1485; _x000a_if US &amp;VAS=yes &amp; Pringles=yes, BOM_plant=1409;_x000a_if US &amp; VAS=yes &amp; Form_type=Case, BOM_plant=1485;_x000a_PH1_Material_Segment=40 &amp; VAS=yes, BOM_plant=1724;"/>
    <m/>
    <s v="done"/>
    <s v="last week"/>
    <n v="50"/>
    <s v="BB"/>
    <s v="WK2"/>
    <d v="2025-09-22T00:00:00"/>
    <m/>
    <x v="0"/>
    <n v="0"/>
  </r>
  <r>
    <n v="1103"/>
    <s v="LIM - Forecast Approval"/>
    <x v="20"/>
    <x v="104"/>
    <n v="0"/>
    <n v="51"/>
    <x v="36"/>
    <s v="yes"/>
    <x v="2"/>
    <m/>
    <m/>
    <s v="based off BRAND DESCRIPTION"/>
    <s v="no known BR based on data entered"/>
    <m/>
    <s v="done"/>
    <s v="complete"/>
    <n v="50"/>
    <s v="BB"/>
    <s v="WK2"/>
    <d v="2025-09-22T00:00:00"/>
    <m/>
    <x v="0"/>
    <n v="0"/>
  </r>
  <r>
    <n v="1104"/>
    <s v="LIM - Forecast Approval"/>
    <x v="20"/>
    <x v="105"/>
    <n v="0"/>
    <n v="51"/>
    <x v="36"/>
    <s v="yes"/>
    <x v="2"/>
    <m/>
    <m/>
    <s v="based off BRAND DESCRIPTION"/>
    <s v="no known BR based on data entered"/>
    <m/>
    <s v="done"/>
    <s v="complete"/>
    <n v="50"/>
    <s v="BB"/>
    <s v="WK2"/>
    <d v="2025-09-22T00:00:00"/>
    <m/>
    <x v="0"/>
    <n v="0"/>
  </r>
  <r>
    <n v="1105"/>
    <s v="LIM - Forecast Approval"/>
    <x v="20"/>
    <x v="106"/>
    <n v="0"/>
    <n v="51"/>
    <x v="37"/>
    <s v="yes"/>
    <x v="2"/>
    <m/>
    <m/>
    <s v="based off BRAND DESCRIPTION"/>
    <s v="no known BR based on data entered"/>
    <m/>
    <s v="done"/>
    <s v="complete"/>
    <n v="50"/>
    <s v="BB"/>
    <s v="WK2"/>
    <d v="2025-09-22T00:00:00"/>
    <m/>
    <x v="0"/>
    <n v="0"/>
  </r>
  <r>
    <n v="1106"/>
    <s v="LIM - Forecast Approval"/>
    <x v="20"/>
    <x v="107"/>
    <n v="0"/>
    <n v="51"/>
    <x v="37"/>
    <s v="yes"/>
    <x v="2"/>
    <m/>
    <m/>
    <s v="based off BRAND DESCRIPTION"/>
    <s v="no known BR based on data entered"/>
    <m/>
    <s v="done"/>
    <s v="complete"/>
    <n v="50"/>
    <s v="BB"/>
    <s v="WK2"/>
    <d v="2025-09-22T00:00:00"/>
    <m/>
    <x v="0"/>
    <n v="0"/>
  </r>
  <r>
    <n v="1107"/>
    <s v="LIM - Forecast Approval"/>
    <x v="20"/>
    <x v="108"/>
    <n v="1"/>
    <s v="51, 75, 86"/>
    <x v="38"/>
    <s v="yes"/>
    <x v="2"/>
    <s v="Requestor"/>
    <m/>
    <m/>
    <s v="1107 predecessor to 1083; _x000a_Tech name [PH4_Brand_Desc] (26 rules)"/>
    <m/>
    <s v="done"/>
    <s v="last week"/>
    <n v="50"/>
    <s v="BB"/>
    <s v="WK2"/>
    <d v="2025-09-22T00:00:00"/>
    <n v="6"/>
    <x v="2"/>
    <n v="1.5"/>
  </r>
  <r>
    <n v="1108"/>
    <s v="LIM - Forecast Approval"/>
    <x v="20"/>
    <x v="109"/>
    <n v="0"/>
    <n v="51"/>
    <x v="38"/>
    <s v="yes"/>
    <x v="2"/>
    <m/>
    <m/>
    <s v="based off BRAND DESCRIPTION"/>
    <s v="no known BR based on data entered"/>
    <m/>
    <s v="done"/>
    <s v="complete"/>
    <n v="50"/>
    <s v="BB"/>
    <s v="WK2"/>
    <d v="2025-09-22T00:00:00"/>
    <m/>
    <x v="0"/>
    <n v="0"/>
  </r>
  <r>
    <n v="1109"/>
    <s v="LIM - Forecast Approval"/>
    <x v="20"/>
    <x v="110"/>
    <n v="1"/>
    <s v="51, 110"/>
    <x v="39"/>
    <s v="yes"/>
    <x v="2"/>
    <s v="Data Integrity"/>
    <m/>
    <m/>
    <s v="no known BR based on data entered"/>
    <m/>
    <s v="done"/>
    <s v="complete"/>
    <n v="50"/>
    <s v="BB"/>
    <s v="WK2"/>
    <d v="2025-09-22T00:00:00"/>
    <m/>
    <x v="2"/>
    <n v="1.5"/>
  </r>
  <r>
    <n v="1110"/>
    <s v="LIM - Forecast Approval"/>
    <x v="20"/>
    <x v="111"/>
    <n v="0"/>
    <n v="51"/>
    <x v="39"/>
    <s v="yes"/>
    <x v="2"/>
    <m/>
    <m/>
    <s v="based off TYPE DESCRIPTION"/>
    <s v="no known BR based on data entered"/>
    <m/>
    <s v="done"/>
    <s v="complete"/>
    <n v="50"/>
    <s v="BB"/>
    <s v="WK2"/>
    <d v="2025-09-22T00:00:00"/>
    <m/>
    <x v="0"/>
    <n v="0"/>
  </r>
  <r>
    <n v="1111"/>
    <s v="LIM - Forecast Approval"/>
    <x v="20"/>
    <x v="112"/>
    <n v="1"/>
    <s v="51, 110"/>
    <x v="40"/>
    <s v="yes"/>
    <x v="2"/>
    <s v="Data Integrity"/>
    <m/>
    <m/>
    <s v="no known BR based on data entered"/>
    <m/>
    <s v="done"/>
    <s v="complete"/>
    <n v="50"/>
    <s v="BB"/>
    <s v="WK2"/>
    <d v="2025-09-22T00:00:00"/>
    <m/>
    <x v="2"/>
    <n v="1.5"/>
  </r>
  <r>
    <n v="1112"/>
    <s v="LIM - Forecast Approval"/>
    <x v="20"/>
    <x v="113"/>
    <n v="0"/>
    <n v="51"/>
    <x v="40"/>
    <s v="yes"/>
    <x v="2"/>
    <m/>
    <m/>
    <s v="based off SUB-TYPE DESCRIPTION"/>
    <s v="no known BR based on data entered"/>
    <m/>
    <s v="done"/>
    <s v="complete"/>
    <n v="50"/>
    <s v="BB"/>
    <s v="WK2"/>
    <d v="2025-09-22T00:00:00"/>
    <m/>
    <x v="0"/>
    <n v="0"/>
  </r>
  <r>
    <n v="1113"/>
    <s v="LIM - Forecast Approval"/>
    <x v="21"/>
    <x v="114"/>
    <n v="1"/>
    <n v="52"/>
    <x v="41"/>
    <s v="yes"/>
    <x v="2"/>
    <m/>
    <m/>
    <s v="informational only"/>
    <s v="if &quot;Forecast Entry Options&quot; is DEFAULTS, then &quot;Y&quot; (1116) [Numerator_for_Conversion_to_Base_Units_of_Measure]= '1' and &quot;X&quot; (1114) [Denominator_for_conversion_to_base_units_of_measure]= '1' and &quot;Length&quot; (1118) = '1' and &quot;Width&quot; (1119) = '1' and &quot;Height&quot; (1120) = '1'"/>
    <m/>
    <s v="hand off"/>
    <s v="last week"/>
    <n v="50"/>
    <s v="BB"/>
    <s v="WK2"/>
    <d v="2025-09-22T00:00:00"/>
    <m/>
    <x v="1"/>
    <n v="0.5"/>
  </r>
  <r>
    <n v="1114"/>
    <s v="LIM - Forecast Approval"/>
    <x v="21"/>
    <x v="115"/>
    <n v="1"/>
    <s v="52, 98"/>
    <x v="8"/>
    <m/>
    <x v="2"/>
    <s v="Packaging Tech"/>
    <m/>
    <s v="rows of data: 4 (CS, PKG, LYR, UL);  PCH"/>
    <s v="Tech name: [Denominator_for_conversion_to_base_units_of_measure] (10 rules) then executed 4 times throughout rules"/>
    <m/>
    <s v="pending"/>
    <s v="last week"/>
    <n v="50"/>
    <s v="BB"/>
    <s v="WK2"/>
    <d v="2025-09-22T00:00:00"/>
    <m/>
    <x v="1"/>
    <n v="0.5"/>
  </r>
  <r>
    <n v="1071"/>
    <s v="Masterfiles - Get Codes"/>
    <x v="16"/>
    <x v="116"/>
    <n v="0"/>
    <s v="29, 47, 52, 56, 98, 113"/>
    <x v="0"/>
    <m/>
    <x v="1"/>
    <m/>
    <m/>
    <m/>
    <s v="Tech name: [Alternative_Unit_of_Measure_for_Stockkeeping_Unit] (1 rule)"/>
    <m/>
    <s v="upcoming"/>
    <s v="future"/>
    <n v="40"/>
    <s v="GG"/>
    <s v="WK5"/>
    <d v="2025-10-13T00:00:00"/>
    <m/>
    <x v="0"/>
    <n v="0"/>
  </r>
  <r>
    <n v="1115"/>
    <s v="LIM - Forecast Approval"/>
    <x v="21"/>
    <x v="117"/>
    <n v="0"/>
    <s v="52, 98"/>
    <x v="0"/>
    <m/>
    <x v="2"/>
    <s v="Packaging Tech"/>
    <m/>
    <m/>
    <s v="constant variable for display only"/>
    <m/>
    <s v="pending"/>
    <s v="last week"/>
    <n v="50"/>
    <s v="BB"/>
    <s v="WK2"/>
    <d v="2025-09-22T00:00:00"/>
    <m/>
    <x v="0"/>
    <n v="0"/>
  </r>
  <r>
    <n v="1116"/>
    <s v="LIM - Forecast Approval"/>
    <x v="21"/>
    <x v="118"/>
    <n v="1"/>
    <s v="52, 98"/>
    <x v="8"/>
    <m/>
    <x v="2"/>
    <s v="Packaging Tech"/>
    <m/>
    <s v="rows of data: 4 (CS, PKG, LYR, UL);  PCH"/>
    <s v="Tech name: [Numerator_for_Conversion_to_Base_Units_of_Measure] (13 rules) then executed 4 times throughout rules"/>
    <m/>
    <s v="pending"/>
    <s v="last week"/>
    <n v="50"/>
    <s v="BB"/>
    <s v="WK2"/>
    <d v="2025-09-22T00:00:00"/>
    <m/>
    <x v="1"/>
    <n v="0.5"/>
  </r>
  <r>
    <n v="1117"/>
    <s v="LIM - Forecast Approval"/>
    <x v="21"/>
    <x v="119"/>
    <n v="0"/>
    <s v="29, 52, 98"/>
    <x v="0"/>
    <m/>
    <x v="2"/>
    <s v="Packaging Tech"/>
    <m/>
    <m/>
    <s v="based off of RDL: ALT_UOM  (ie: CS, HUL, QUL, FUL, …)_x000a_Tech name: [Base_Unit_of_Measure] (referenced 3 times, but no rules on actual field)"/>
    <m/>
    <s v="pending"/>
    <s v="last week"/>
    <n v="50"/>
    <s v="BB"/>
    <s v="WK2"/>
    <d v="2025-09-22T00:00:00"/>
    <m/>
    <x v="0"/>
    <n v="0"/>
  </r>
  <r>
    <n v="1118"/>
    <s v="LIM - Forecast Approval"/>
    <x v="21"/>
    <x v="120"/>
    <n v="1"/>
    <s v="52, 98"/>
    <x v="8"/>
    <m/>
    <x v="2"/>
    <s v="Packaging Tech"/>
    <m/>
    <s v="rows of data: 4 (CS, PKG, LYR, UL);  PCH"/>
    <s v="Tech name: [Length] (5 rules)"/>
    <m/>
    <s v="pending"/>
    <s v="last week"/>
    <n v="50"/>
    <s v="BB"/>
    <s v="WK2"/>
    <d v="2025-09-22T00:00:00"/>
    <m/>
    <x v="1"/>
    <n v="0.5"/>
  </r>
  <r>
    <n v="1119"/>
    <s v="LIM - Forecast Approval"/>
    <x v="21"/>
    <x v="121"/>
    <n v="1"/>
    <s v="52, 98"/>
    <x v="8"/>
    <m/>
    <x v="2"/>
    <s v="Packaging Tech"/>
    <m/>
    <s v="rows of data: 4 (CS, PKG, LYR, UL);  PCH"/>
    <s v="Tech name: [Width] (5 rules)"/>
    <m/>
    <s v="pending"/>
    <s v="last week"/>
    <n v="50"/>
    <s v="BB"/>
    <s v="WK2"/>
    <d v="2025-09-22T00:00:00"/>
    <m/>
    <x v="1"/>
    <n v="0.5"/>
  </r>
  <r>
    <n v="1120"/>
    <s v="LIM - Forecast Approval"/>
    <x v="21"/>
    <x v="122"/>
    <n v="1"/>
    <s v="52, 98"/>
    <x v="8"/>
    <m/>
    <x v="2"/>
    <s v="Packaging Tech"/>
    <m/>
    <s v="rows of data: 4 (CS, PKG, LYR, UL);  PCH"/>
    <s v="Tech name: [Height] (5 rules)"/>
    <m/>
    <s v="pending"/>
    <s v="last week"/>
    <n v="50"/>
    <s v="BB"/>
    <s v="WK2"/>
    <d v="2025-09-22T00:00:00"/>
    <m/>
    <x v="1"/>
    <n v="0.5"/>
  </r>
  <r>
    <n v="1121"/>
    <s v="LIM - Forecast Approval"/>
    <x v="21"/>
    <x v="123"/>
    <n v="0"/>
    <s v="52, 98"/>
    <x v="0"/>
    <m/>
    <x v="2"/>
    <s v="Packaging Tech"/>
    <m/>
    <m/>
    <s v="based off of RDL: ALT_UOM -- this field is not in ALT_UOM table; assuming it is always 'IN'"/>
    <m/>
    <s v="pending"/>
    <s v="last week"/>
    <n v="50"/>
    <s v="BB"/>
    <s v="WK2"/>
    <d v="2025-09-22T00:00:00"/>
    <m/>
    <x v="0"/>
    <n v="0"/>
  </r>
  <r>
    <n v="1122"/>
    <s v="LIM - Forecast Approval"/>
    <x v="21"/>
    <x v="124"/>
    <n v="0"/>
    <s v="52, 98"/>
    <x v="0"/>
    <m/>
    <x v="2"/>
    <s v="Packaging Tech"/>
    <m/>
    <m/>
    <s v="Tech name: [Volume] (1 rule)"/>
    <m/>
    <s v="pending"/>
    <s v="last week"/>
    <n v="50"/>
    <s v="BB"/>
    <s v="WK2"/>
    <d v="2025-09-22T00:00:00"/>
    <m/>
    <x v="0"/>
    <n v="0"/>
  </r>
  <r>
    <n v="1123"/>
    <s v="LIM - Forecast Approval"/>
    <x v="21"/>
    <x v="125"/>
    <n v="0"/>
    <s v="52, 98"/>
    <x v="0"/>
    <m/>
    <x v="2"/>
    <s v="Packaging Tech"/>
    <m/>
    <m/>
    <s v="based off of RDL: ALT_UOM -- this field is not in ALT_UOM table; assuming it is always 'FT3'"/>
    <m/>
    <s v="pending"/>
    <s v="last week"/>
    <n v="50"/>
    <s v="BB"/>
    <s v="WK2"/>
    <d v="2025-09-22T00:00:00"/>
    <m/>
    <x v="0"/>
    <n v="0"/>
  </r>
  <r>
    <n v="1124"/>
    <s v="LIM - Forecast Approval"/>
    <x v="21"/>
    <x v="126"/>
    <n v="1"/>
    <s v="52, 98"/>
    <x v="8"/>
    <m/>
    <x v="2"/>
    <s v="Packaging Tech"/>
    <m/>
    <s v="rows of data: 4 (CS, PKG, LYR, UL);  PCH"/>
    <s v="Tech name: [Gross_Weight] (14 rules); _x000a_Tech name: [Gross_Weight_UL] (2 rules); _x000a_Tech name: [Gross_Case_Weight] (1 rule)"/>
    <m/>
    <s v="pending"/>
    <s v="last week"/>
    <n v="50"/>
    <s v="BB"/>
    <s v="WK2"/>
    <d v="2025-09-22T00:00:00"/>
    <m/>
    <x v="1"/>
    <n v="0.5"/>
  </r>
  <r>
    <n v="1125"/>
    <s v="LIM - Forecast Approval"/>
    <x v="21"/>
    <x v="127"/>
    <n v="0"/>
    <s v="52, 98"/>
    <x v="0"/>
    <m/>
    <x v="2"/>
    <s v="Packaging Tech"/>
    <m/>
    <m/>
    <s v="based off of RDL: ALT_UOM; different values depending on the level of the Alternate Units of Measure"/>
    <m/>
    <s v="pending"/>
    <s v="last week"/>
    <n v="50"/>
    <s v="BB"/>
    <s v="WK2"/>
    <d v="2025-09-22T00:00:00"/>
    <m/>
    <x v="0"/>
    <n v="0"/>
  </r>
  <r>
    <n v="1126"/>
    <s v="LIM - Forecast Approval"/>
    <x v="22"/>
    <x v="128"/>
    <n v="0"/>
    <s v="52, 58"/>
    <x v="42"/>
    <m/>
    <x v="2"/>
    <m/>
    <m/>
    <m/>
    <s v="If &quot;Product Country&quot; (1008) is not 'CA' then 'E'._x000a_If &quot;Product Country&quot; (1008) is 'CA' then Select * from dd: reference list: DESCRIPTION_LANGUAGES.XLSX."/>
    <m/>
    <s v="hand off"/>
    <s v="last week"/>
    <n v="50"/>
    <s v="BB"/>
    <s v="WK2"/>
    <d v="2025-09-22T00:00:00"/>
    <m/>
    <x v="0"/>
    <n v="0"/>
  </r>
  <r>
    <n v="1127"/>
    <s v="LIM - Forecast Approval"/>
    <x v="22"/>
    <x v="129"/>
    <n v="0"/>
    <s v="52, 58"/>
    <x v="0"/>
    <m/>
    <x v="2"/>
    <s v="Requestor, Masterfiles"/>
    <m/>
    <s v="Multiple rows possible. because of languages"/>
    <s v="max 40"/>
    <m/>
    <s v="code rules"/>
    <s v="last week"/>
    <n v="50"/>
    <s v="BB"/>
    <s v="WK2"/>
    <d v="2025-09-22T00:00:00"/>
    <n v="7"/>
    <x v="0"/>
    <n v="0"/>
  </r>
  <r>
    <n v="1128"/>
    <s v="LIM - Forecast Approval"/>
    <x v="22"/>
    <x v="130"/>
    <n v="0"/>
    <s v="52, 58"/>
    <x v="0"/>
    <m/>
    <x v="2"/>
    <m/>
    <m/>
    <m/>
    <s v="no known BR based on data entered"/>
    <m/>
    <s v="code rules"/>
    <s v="last week"/>
    <n v="50"/>
    <s v="BB"/>
    <s v="WK2"/>
    <d v="2025-09-22T00:00:00"/>
    <m/>
    <x v="0"/>
    <n v="0"/>
  </r>
  <r>
    <n v="1129"/>
    <s v="LIM - Forecast Approval"/>
    <x v="22"/>
    <x v="131"/>
    <n v="0"/>
    <n v="52"/>
    <x v="43"/>
    <m/>
    <x v="2"/>
    <m/>
    <m/>
    <s v="part of the 22 rules are these which were captured earlier:  1127 dependent on 1009 Product Type='Rainbow' then RNBW must be at end of Material Description (for DataSync compliancy); max 40; dependent on 1304 &quot;is this non sellable FERT WIP&quot; = YES, then add WIP to end"/>
    <s v="1129 dependent on 1029; run button; (22 rules)"/>
    <m/>
    <s v="code rules"/>
    <s v="last week"/>
    <n v="50"/>
    <s v="BB"/>
    <s v="WK2"/>
    <d v="2025-09-22T00:00:00"/>
    <m/>
    <x v="1"/>
    <n v="0"/>
  </r>
  <r>
    <n v="1130"/>
    <s v="LIM - Forecast Approval"/>
    <x v="22"/>
    <x v="132"/>
    <n v="1"/>
    <s v="52, 58, 81"/>
    <x v="8"/>
    <m/>
    <x v="2"/>
    <s v="Masterfiles"/>
    <m/>
    <m/>
    <s v="1130 predecessor to 1131; 40 max"/>
    <m/>
    <s v="hand off"/>
    <s v="last week"/>
    <n v="50"/>
    <s v="BB"/>
    <s v="WK2"/>
    <d v="2025-09-22T00:00:00"/>
    <m/>
    <x v="3"/>
    <n v="1"/>
  </r>
  <r>
    <n v="1131"/>
    <s v="LIM - Forecast Approval"/>
    <x v="22"/>
    <x v="133"/>
    <n v="0"/>
    <s v="52, 58"/>
    <x v="0"/>
    <m/>
    <x v="2"/>
    <m/>
    <m/>
    <m/>
    <s v="1131 dependent on: Suggested Material Desc (1130)"/>
    <m/>
    <s v="hand off"/>
    <s v="last week"/>
    <n v="50"/>
    <s v="BB"/>
    <s v="WK2"/>
    <d v="2025-09-22T00:00:00"/>
    <m/>
    <x v="0"/>
    <n v="0"/>
  </r>
  <r>
    <n v="1132"/>
    <s v="LIM - Forecast Approval"/>
    <x v="23"/>
    <x v="134"/>
    <n v="1"/>
    <s v="52, 105"/>
    <x v="28"/>
    <m/>
    <x v="2"/>
    <s v="CA Finance Tax"/>
    <m/>
    <s v="If &quot;Product Country&quot; (1008) is 'US' then &quot;Departure Country&quot; (1132) is 'US' and &quot;Tax Category&quot; (1133) is 'UTXJ' and &quot;Tax Classification&quot; (1134) is '0'._x000a_Can't find any rules for 'CA', so assuming fields are open for population. ??"/>
    <s v="Tech name: [Departure_country__country_from_which_the_goods_are_sent] (2 rules set this value, but rules are not on the field itself)"/>
    <m/>
    <s v="pending"/>
    <s v="last week"/>
    <n v="50"/>
    <s v="BB"/>
    <s v="WK2"/>
    <d v="2025-09-22T00:00:00"/>
    <m/>
    <x v="1"/>
    <n v="0.5"/>
  </r>
  <r>
    <n v="1133"/>
    <s v="LIM - Forecast Approval"/>
    <x v="23"/>
    <x v="135"/>
    <n v="0"/>
    <s v="52, 105"/>
    <x v="0"/>
    <m/>
    <x v="2"/>
    <s v="CA Finance Tax"/>
    <m/>
    <m/>
    <s v="Tech name: [Tax_category__sales_tax__federal_sales_tax_____] (1 rule) (2 other rules set this value, but they are not on the field itself)"/>
    <m/>
    <s v="pending"/>
    <s v="last week"/>
    <n v="50"/>
    <s v="BB"/>
    <s v="WK2"/>
    <d v="2025-09-22T00:00:00"/>
    <m/>
    <x v="0"/>
    <n v="0"/>
  </r>
  <r>
    <n v="1134"/>
    <s v="LIM - Forecast Approval"/>
    <x v="23"/>
    <x v="136"/>
    <n v="1"/>
    <s v="52, 105"/>
    <x v="44"/>
    <m/>
    <x v="2"/>
    <s v="CA Finance Tax"/>
    <m/>
    <s v="Pull data from dd list"/>
    <s v="Tech name: [Tax_classification_material] (5 rules set this value, but rules are not on the field itself)"/>
    <m/>
    <s v="pending"/>
    <s v="last week"/>
    <n v="50"/>
    <s v="BB"/>
    <s v="WK2"/>
    <d v="2025-09-22T00:00:00"/>
    <m/>
    <x v="1"/>
    <n v="0.5"/>
  </r>
  <r>
    <n v="1135"/>
    <s v="Masterfiles - Get Codes Forecast"/>
    <x v="24"/>
    <x v="137"/>
    <n v="0"/>
    <n v="59"/>
    <x v="43"/>
    <m/>
    <x v="1"/>
    <m/>
    <m/>
    <s v="Masterfiles setup of Forecast sku"/>
    <m/>
    <m/>
    <s v="upcoming"/>
    <s v="future"/>
    <n v="60"/>
    <s v="GG"/>
    <s v="WK5"/>
    <d v="2025-10-13T00:00:00"/>
    <m/>
    <x v="1"/>
    <n v="0"/>
  </r>
  <r>
    <n v="1136"/>
    <s v="Masterfiles - Get Codes Forecast"/>
    <x v="24"/>
    <x v="138"/>
    <n v="0"/>
    <n v="60"/>
    <x v="45"/>
    <m/>
    <x v="1"/>
    <m/>
    <m/>
    <m/>
    <m/>
    <m/>
    <s v="upcoming"/>
    <s v="future"/>
    <n v="60"/>
    <s v="GG"/>
    <s v="WK5"/>
    <d v="2025-10-13T00:00:00"/>
    <m/>
    <x v="1"/>
    <n v="0"/>
  </r>
  <r>
    <n v="1137"/>
    <s v="LIM - Launch"/>
    <x v="2"/>
    <x v="139"/>
    <n v="1"/>
    <n v="62"/>
    <x v="7"/>
    <m/>
    <x v="2"/>
    <m/>
    <m/>
    <s v="if yes, there will be a BOM requirement in the form, and the Material Group will be set to REPACK."/>
    <s v="1137 [VAS] predecessor for 1176-1192"/>
    <m/>
    <s v="pending"/>
    <s v="current"/>
    <n v="70"/>
    <s v="DD"/>
    <s v="WK3"/>
    <d v="2025-09-29T00:00:00"/>
    <m/>
    <x v="3"/>
    <n v="1"/>
  </r>
  <r>
    <n v="1138"/>
    <s v="LIM Launch - Update"/>
    <x v="13"/>
    <x v="140"/>
    <n v="1"/>
    <n v="63"/>
    <x v="8"/>
    <m/>
    <x v="2"/>
    <m/>
    <m/>
    <m/>
    <m/>
    <m/>
    <s v="upcoming"/>
    <s v="current"/>
    <n v="80"/>
    <s v="DD"/>
    <s v="WK3"/>
    <d v="2025-09-29T00:00:00"/>
    <m/>
    <x v="1"/>
    <n v="0.5"/>
  </r>
  <r>
    <n v="1139"/>
    <s v="ZNIF Dashboard - view only"/>
    <x v="25"/>
    <x v="141"/>
    <n v="0"/>
    <n v="64"/>
    <x v="0"/>
    <m/>
    <x v="2"/>
    <m/>
    <m/>
    <s v="statuses of the workflow (X, R, C…)"/>
    <m/>
    <m/>
    <s v="upcoming"/>
    <s v="future"/>
    <n v="90"/>
    <s v="II"/>
    <s v="WK5"/>
    <d v="2025-10-13T00:00:00"/>
    <m/>
    <x v="0"/>
    <n v="0"/>
  </r>
  <r>
    <n v="1140"/>
    <s v="Requestor Update"/>
    <x v="18"/>
    <x v="142"/>
    <n v="1"/>
    <n v="74"/>
    <x v="8"/>
    <m/>
    <x v="0"/>
    <m/>
    <m/>
    <s v="These fields are open for updating: Project Type, Project Name or Number, Set Category, Brief Product Description, Brief Project Overview and Technical Notes, Stated Weights/Case Count section, Data Sync(GDSN)?"/>
    <s v="no known BR based on data entered"/>
    <m/>
    <s v="code rules"/>
    <s v="last week"/>
    <n v="100"/>
    <s v="CC"/>
    <s v="WK2"/>
    <d v="2025-09-22T00:00:00"/>
    <n v="5"/>
    <x v="1"/>
    <n v="0.5"/>
  </r>
  <r>
    <n v="1141"/>
    <s v="Requestor Update"/>
    <x v="18"/>
    <x v="143"/>
    <n v="1"/>
    <n v="74"/>
    <x v="46"/>
    <s v="conditional"/>
    <x v="0"/>
    <m/>
    <m/>
    <s v="autofill as default: if country=US then USD; country=CA then CAD"/>
    <s v="no known BR based on data entered"/>
    <m/>
    <s v="code rules"/>
    <s v="last week"/>
    <n v="100"/>
    <s v="CC"/>
    <s v="WK2"/>
    <d v="2025-09-22T00:00:00"/>
    <n v="5"/>
    <x v="1"/>
    <n v="0.5"/>
  </r>
  <r>
    <n v="1142"/>
    <s v="Requestor Update"/>
    <x v="18"/>
    <x v="144"/>
    <n v="1"/>
    <n v="74"/>
    <x v="47"/>
    <m/>
    <x v="0"/>
    <m/>
    <m/>
    <m/>
    <s v="no known BR based on data entered"/>
    <m/>
    <s v="code rules"/>
    <s v="last week"/>
    <n v="100"/>
    <s v="CC"/>
    <s v="WK2"/>
    <d v="2025-09-22T00:00:00"/>
    <n v="5"/>
    <x v="1"/>
    <n v="0.5"/>
  </r>
  <r>
    <n v="1143"/>
    <s v="Requestor Update"/>
    <x v="18"/>
    <x v="145"/>
    <n v="0"/>
    <n v="74"/>
    <x v="48"/>
    <m/>
    <x v="0"/>
    <m/>
    <m/>
    <m/>
    <s v="populated based on the Brand"/>
    <m/>
    <s v="code rules"/>
    <s v="last week"/>
    <n v="100"/>
    <s v="CC"/>
    <s v="WK2"/>
    <d v="2025-09-22T00:00:00"/>
    <n v="5"/>
    <x v="0"/>
    <n v="0"/>
  </r>
  <r>
    <n v="1144"/>
    <s v="Requestor Update"/>
    <x v="18"/>
    <x v="146"/>
    <n v="1"/>
    <n v="74"/>
    <x v="49"/>
    <m/>
    <x v="0"/>
    <m/>
    <m/>
    <s v="Canada only"/>
    <s v="if &quot;Product Country&quot; is 'CA - Canada' then &quot;1st Arrival Date&quot; must be a Thursday; _x000a_Tech name: [First_Arrival_Date] - set first_ship_date=first_arrival_date-11; set pricing_validity_date=first_arrival_date-11; "/>
    <m/>
    <s v="pending"/>
    <s v="last week"/>
    <n v="100"/>
    <s v="CC"/>
    <s v="WK2"/>
    <d v="2025-09-22T00:00:00"/>
    <n v="5"/>
    <x v="1"/>
    <n v="0.5"/>
  </r>
  <r>
    <n v="1145"/>
    <s v="Requestor Update"/>
    <x v="18"/>
    <x v="147"/>
    <n v="0"/>
    <n v="74"/>
    <x v="0"/>
    <m/>
    <x v="0"/>
    <m/>
    <m/>
    <s v="Canada only"/>
    <s v="has to be Thursday and for CANADA"/>
    <m/>
    <s v="code rules"/>
    <s v="last week"/>
    <n v="100"/>
    <s v="CC"/>
    <s v="WK2"/>
    <d v="2025-09-22T00:00:00"/>
    <n v="5"/>
    <x v="0"/>
    <n v="0"/>
  </r>
  <r>
    <n v="1146"/>
    <s v="Requestor Update"/>
    <x v="18"/>
    <x v="148"/>
    <n v="1"/>
    <s v="74, 80"/>
    <x v="49"/>
    <m/>
    <x v="0"/>
    <s v="LIM"/>
    <m/>
    <s v="Marie's notes: For Canada, First Arrival Date = Thursday; First Ship &amp; Pricing Dates are Sunday Prior (First Arrival - 11 days)"/>
    <s v="Tech name: [First_Ship_Date] - _x000a_if Country=US and first_ship_date=Monday and Forecast=Yes, then set &quot;Pricing Validity Date&quot; (1149)=first_ship_date-1; {what to do if Forecast=No};_x000a_if Country=CA, set &quot;Pricing Validity Date&quot; (1149)=first_arrival_date-11;_x000a_"/>
    <m/>
    <s v="pending"/>
    <s v="last week"/>
    <n v="100"/>
    <s v="CC"/>
    <s v="WK2"/>
    <d v="2025-09-22T00:00:00"/>
    <n v="5"/>
    <x v="1"/>
    <n v="0.5"/>
  </r>
  <r>
    <n v="1147"/>
    <s v="Requestor Update"/>
    <x v="18"/>
    <x v="149"/>
    <n v="0"/>
    <n v="74"/>
    <x v="0"/>
    <m/>
    <x v="0"/>
    <m/>
    <m/>
    <m/>
    <s v="has to be Monday and for US"/>
    <m/>
    <s v="code rules"/>
    <s v="last week"/>
    <n v="100"/>
    <s v="CC"/>
    <s v="WK2"/>
    <d v="2025-09-22T00:00:00"/>
    <n v="5"/>
    <x v="0"/>
    <n v="0"/>
  </r>
  <r>
    <n v="1148"/>
    <s v="Requestor Update"/>
    <x v="18"/>
    <x v="150"/>
    <n v="1"/>
    <n v="74"/>
    <x v="50"/>
    <m/>
    <x v="0"/>
    <m/>
    <m/>
    <m/>
    <s v="no known BR based on data entered"/>
    <m/>
    <s v="code rules"/>
    <s v="last week"/>
    <n v="100"/>
    <s v="CC"/>
    <s v="WK2"/>
    <d v="2025-09-22T00:00:00"/>
    <n v="5"/>
    <x v="1"/>
    <n v="0.5"/>
  </r>
  <r>
    <n v="1149"/>
    <s v="Requestor Update"/>
    <x v="18"/>
    <x v="151"/>
    <n v="0"/>
    <n v="74"/>
    <x v="0"/>
    <m/>
    <x v="0"/>
    <m/>
    <m/>
    <m/>
    <s v="rule for formatting the date"/>
    <m/>
    <s v="pending"/>
    <s v="last week"/>
    <n v="100"/>
    <s v="CC"/>
    <s v="WK2"/>
    <d v="2025-09-22T00:00:00"/>
    <n v="5"/>
    <x v="0"/>
    <n v="0"/>
  </r>
  <r>
    <n v="1150"/>
    <s v="Requestor Update"/>
    <x v="18"/>
    <x v="152"/>
    <n v="1"/>
    <s v="74, 80"/>
    <x v="51"/>
    <m/>
    <x v="0"/>
    <m/>
    <m/>
    <s v="Marie: field is owned by AFH (Speciality); default to GROCERY if it is not AFH; except might be for DISPLAY where it might be SHIPPER"/>
    <s v="5 rules"/>
    <m/>
    <s v="pending"/>
    <s v="last week"/>
    <n v="100"/>
    <s v="CC"/>
    <s v="WK2"/>
    <d v="2025-09-22T00:00:00"/>
    <n v="5"/>
    <x v="1"/>
    <n v="0.5"/>
  </r>
  <r>
    <n v="1151"/>
    <s v="Requestor Update"/>
    <x v="18"/>
    <x v="153"/>
    <n v="1"/>
    <n v="74"/>
    <x v="52"/>
    <m/>
    <x v="0"/>
    <m/>
    <m/>
    <s v="EDI references this to find which item is considered the Base Material. If items share package UPC’s, there can only be one that is considered the Base Material. The Planning Variant field is where thisis indicated within SAP. Other items(children sku’s) that use the same package UPC as the Base (most often seen with Repack/RCP’s and Promo Codes), will use National, Customer or Limited. Therefore, if yoursetup type IS NOT Repack/RCP that is using an existing package UPC, your Planning Variantshould always be Base Material. If your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 Click here for more information, and list of customers that order by the package UPC."/>
    <s v="EDI uses it to find the BASE MATERIAL; {Customers usually order with a CASE CODE, which is good.  But if they order with a PACKAGE CODE, EDI uses the XREF table to reference the proper CASE CODE related to the Customer for the PACKAGE CODE they are sending (like Dollar General has its own ~EDI PARTNER #)};_x000a_1151 dependent on FALB (1304)=yes then can't be BASE MATERIAL; 4 rules, but doesn't seem to include the FALB one, so make sure it's included"/>
    <m/>
    <s v="pending"/>
    <s v="last week"/>
    <n v="100"/>
    <s v="CC"/>
    <s v="WK2"/>
    <d v="2025-09-22T00:00:00"/>
    <n v="5"/>
    <x v="1"/>
    <n v="0.5"/>
  </r>
  <r>
    <n v="1152"/>
    <s v="Requestor Update"/>
    <x v="18"/>
    <x v="154"/>
    <n v="1"/>
    <n v="74"/>
    <x v="53"/>
    <m/>
    <x v="0"/>
    <m/>
    <m/>
    <m/>
    <s v="4 rules"/>
    <m/>
    <s v="pending"/>
    <s v="last week"/>
    <n v="100"/>
    <s v="CC"/>
    <s v="WK2"/>
    <d v="2025-09-22T00:00:00"/>
    <n v="5"/>
    <x v="1"/>
    <n v="0.5"/>
  </r>
  <r>
    <n v="1306"/>
    <s v="Requestor Update"/>
    <x v="18"/>
    <x v="155"/>
    <n v="1"/>
    <n v="0"/>
    <x v="49"/>
    <s v="conditional"/>
    <x v="0"/>
    <m/>
    <m/>
    <s v="9/25/25 new field identified"/>
    <s v="if SKU Type=LIMITED then opens, then Remarket Date &amp; Stop Ship date are auto calculated; otherwise locked"/>
    <m/>
    <s v="pending"/>
    <s v="last week"/>
    <n v="100"/>
    <s v="CC"/>
    <s v="WK2"/>
    <d v="2025-09-22T00:00:00"/>
    <m/>
    <x v="3"/>
    <n v="1"/>
  </r>
  <r>
    <n v="1153"/>
    <s v="Requestor Update"/>
    <x v="18"/>
    <x v="156"/>
    <n v="1"/>
    <n v="74"/>
    <x v="49"/>
    <m/>
    <x v="0"/>
    <m/>
    <m/>
    <s v="dependent on SKU TYPE"/>
    <s v="2 rules - probably a month afterwards (28 days after Promo End Date)"/>
    <m/>
    <s v="pending"/>
    <s v="last week"/>
    <n v="100"/>
    <s v="CC"/>
    <s v="WK2"/>
    <d v="2025-09-22T00:00:00"/>
    <n v="5"/>
    <x v="1"/>
    <n v="0.5"/>
  </r>
  <r>
    <n v="1154"/>
    <s v="Requestor Update"/>
    <x v="18"/>
    <x v="157"/>
    <n v="0"/>
    <n v="74"/>
    <x v="0"/>
    <m/>
    <x v="0"/>
    <m/>
    <m/>
    <m/>
    <s v="rule for formatting the date, check br doc; 14 days after Promo End Date"/>
    <m/>
    <s v="pending"/>
    <s v="last week"/>
    <n v="100"/>
    <s v="CC"/>
    <s v="WK2"/>
    <d v="2025-09-22T00:00:00"/>
    <n v="5"/>
    <x v="0"/>
    <n v="0"/>
  </r>
  <r>
    <n v="1156"/>
    <s v="Requestor Update"/>
    <x v="18"/>
    <x v="158"/>
    <n v="1"/>
    <n v="74"/>
    <x v="7"/>
    <m/>
    <x v="0"/>
    <m/>
    <m/>
    <m/>
    <s v="2 rules; opens next 2 fields"/>
    <m/>
    <s v="pending"/>
    <s v="last week"/>
    <n v="100"/>
    <s v="CC"/>
    <s v="WK2"/>
    <d v="2025-09-22T00:00:00"/>
    <n v="5"/>
    <x v="1"/>
    <n v="0.5"/>
  </r>
  <r>
    <n v="1157"/>
    <s v="Requestor Update"/>
    <x v="18"/>
    <x v="159"/>
    <n v="1"/>
    <n v="74"/>
    <x v="8"/>
    <m/>
    <x v="0"/>
    <m/>
    <m/>
    <s v="dependent on IS THIS A SKU TO SKU TRANSITION"/>
    <s v="no known BR based on data entered"/>
    <m/>
    <s v="code rules"/>
    <s v="last week"/>
    <n v="100"/>
    <s v="CC"/>
    <s v="WK2"/>
    <d v="2025-09-22T00:00:00"/>
    <n v="5"/>
    <x v="1"/>
    <n v="0.5"/>
  </r>
  <r>
    <n v="1158"/>
    <s v="Requestor Update"/>
    <x v="18"/>
    <x v="160"/>
    <n v="1"/>
    <n v="74"/>
    <x v="49"/>
    <m/>
    <x v="0"/>
    <m/>
    <m/>
    <s v="dependent on IS THIS A SKU TO SKU TRANSITION"/>
    <s v="no known BR based on data entered"/>
    <m/>
    <s v="code rules"/>
    <s v="last week"/>
    <n v="100"/>
    <s v="CC"/>
    <s v="WK2"/>
    <d v="2025-09-22T00:00:00"/>
    <n v="5"/>
    <x v="1"/>
    <n v="0.5"/>
  </r>
  <r>
    <n v="1159"/>
    <s v="Requestor Update"/>
    <x v="18"/>
    <x v="161"/>
    <n v="1"/>
    <n v="74"/>
    <x v="54"/>
    <m/>
    <x v="0"/>
    <m/>
    <m/>
    <m/>
    <s v="no known BR based on data entered"/>
    <m/>
    <s v="code rules"/>
    <s v="last week"/>
    <n v="100"/>
    <s v="CC"/>
    <s v="WK2"/>
    <d v="2025-09-22T00:00:00"/>
    <n v="5"/>
    <x v="1"/>
    <n v="0.5"/>
  </r>
  <r>
    <n v="1160"/>
    <s v="Requestor Update"/>
    <x v="18"/>
    <x v="162"/>
    <n v="1"/>
    <n v="74"/>
    <x v="7"/>
    <m/>
    <x v="0"/>
    <m/>
    <m/>
    <m/>
    <s v="no known BR based on data entered; there may be previous rule to open this only when Product Type is SINGLE SERVE and SS REPACK"/>
    <m/>
    <s v="code rules"/>
    <s v="last week"/>
    <n v="100"/>
    <s v="CC"/>
    <s v="WK2"/>
    <d v="2025-09-22T00:00:00"/>
    <n v="5"/>
    <x v="1"/>
    <n v="0.5"/>
  </r>
  <r>
    <n v="1307"/>
    <s v="Requestor Update"/>
    <x v="18"/>
    <x v="163"/>
    <n v="1"/>
    <n v="0"/>
    <x v="55"/>
    <m/>
    <x v="0"/>
    <m/>
    <m/>
    <s v="9/25/25 new field identified"/>
    <s v="Product Type=Club, Club Pack; =Single Serve, Single Serve; =anything else, Retail;;; find br rules"/>
    <m/>
    <s v="pending"/>
    <s v="last week"/>
    <n v="100"/>
    <s v="CC"/>
    <s v="WK2"/>
    <d v="2025-09-22T00:00:00"/>
    <m/>
    <x v="3"/>
    <n v="1"/>
  </r>
  <r>
    <n v="1161"/>
    <s v="Requestor Update"/>
    <x v="18"/>
    <x v="164"/>
    <n v="1"/>
    <s v="74, 88"/>
    <x v="8"/>
    <m/>
    <x v="0"/>
    <s v="R&amp;D Quality"/>
    <m/>
    <m/>
    <s v="5 rules - on R&amp;D QUALITY; doesn't appear anymore in DEV for REQ UPD;  Marie-if DISPLAY, then may be open and required on Req Upd; otherwise this would be open for R&amp;D QUALITY"/>
    <m/>
    <s v="pending"/>
    <s v="last week"/>
    <n v="100"/>
    <s v="CC"/>
    <s v="WK2"/>
    <d v="2025-09-22T00:00:00"/>
    <n v="5"/>
    <x v="1"/>
    <n v="0.5"/>
  </r>
  <r>
    <n v="1162"/>
    <s v="Requestor Update"/>
    <x v="20"/>
    <x v="165"/>
    <n v="1"/>
    <s v="75, 125"/>
    <x v="7"/>
    <m/>
    <x v="0"/>
    <s v="Masterfiles"/>
    <m/>
    <m/>
    <s v="1162 dependent on 1012 DTC"/>
    <m/>
    <s v="upcoming"/>
    <s v="current"/>
    <n v="100"/>
    <s v="CC"/>
    <s v="WK3"/>
    <d v="2025-09-29T00:00:00"/>
    <n v="5"/>
    <x v="3"/>
    <n v="1"/>
  </r>
  <r>
    <n v="1163"/>
    <s v="Requestor Update"/>
    <x v="26"/>
    <x v="166"/>
    <n v="0"/>
    <s v="76, 86"/>
    <x v="0"/>
    <m/>
    <x v="0"/>
    <m/>
    <m/>
    <m/>
    <m/>
    <m/>
    <s v="upcoming"/>
    <s v="current"/>
    <n v="100"/>
    <s v="CC"/>
    <s v="WK3"/>
    <d v="2025-09-29T00:00:00"/>
    <n v="5"/>
    <x v="0"/>
    <n v="0"/>
  </r>
  <r>
    <n v="1164"/>
    <s v="Requestor Update"/>
    <x v="26"/>
    <x v="167"/>
    <n v="0"/>
    <s v="76, 86"/>
    <x v="0"/>
    <m/>
    <x v="0"/>
    <m/>
    <m/>
    <m/>
    <m/>
    <m/>
    <s v="upcoming"/>
    <s v="current"/>
    <n v="100"/>
    <s v="CC"/>
    <s v="WK3"/>
    <d v="2025-09-29T00:00:00"/>
    <n v="5"/>
    <x v="0"/>
    <n v="0"/>
  </r>
  <r>
    <n v="1165"/>
    <s v="Requestor Update"/>
    <x v="26"/>
    <x v="168"/>
    <n v="0"/>
    <s v="76, 86"/>
    <x v="0"/>
    <m/>
    <x v="0"/>
    <m/>
    <m/>
    <m/>
    <m/>
    <m/>
    <s v="upcoming"/>
    <s v="current"/>
    <n v="100"/>
    <s v="CC"/>
    <s v="WK3"/>
    <d v="2025-09-29T00:00:00"/>
    <n v="5"/>
    <x v="0"/>
    <n v="0"/>
  </r>
  <r>
    <n v="1166"/>
    <s v="Requestor Update"/>
    <x v="27"/>
    <x v="169"/>
    <n v="1"/>
    <n v="76"/>
    <x v="56"/>
    <m/>
    <x v="0"/>
    <m/>
    <m/>
    <m/>
    <s v="1166 dependent on 1026"/>
    <m/>
    <s v="pending"/>
    <s v="current"/>
    <n v="100"/>
    <s v="CC"/>
    <s v="WK3"/>
    <d v="2025-09-29T00:00:00"/>
    <n v="6"/>
    <x v="3"/>
    <n v="1"/>
  </r>
  <r>
    <n v="1167"/>
    <s v="Requestor Update"/>
    <x v="28"/>
    <x v="170"/>
    <n v="1"/>
    <n v="76"/>
    <x v="57"/>
    <m/>
    <x v="0"/>
    <m/>
    <m/>
    <m/>
    <m/>
    <m/>
    <s v="upcoming"/>
    <s v="current"/>
    <n v="100"/>
    <s v="CC"/>
    <s v="WK3"/>
    <d v="2025-09-29T00:00:00"/>
    <n v="6"/>
    <x v="1"/>
    <n v="0.5"/>
  </r>
  <r>
    <n v="1168"/>
    <s v="Requestor Update"/>
    <x v="28"/>
    <x v="171"/>
    <n v="0"/>
    <n v="76"/>
    <x v="57"/>
    <m/>
    <x v="0"/>
    <m/>
    <m/>
    <m/>
    <m/>
    <m/>
    <s v="upcoming"/>
    <s v="current"/>
    <n v="100"/>
    <s v="CC"/>
    <s v="WK3"/>
    <d v="2025-09-29T00:00:00"/>
    <n v="6"/>
    <x v="0"/>
    <n v="0"/>
  </r>
  <r>
    <n v="1169"/>
    <s v="Requestor Update"/>
    <x v="28"/>
    <x v="172"/>
    <n v="0"/>
    <n v="76"/>
    <x v="58"/>
    <m/>
    <x v="0"/>
    <m/>
    <m/>
    <m/>
    <m/>
    <m/>
    <s v="upcoming"/>
    <s v="current"/>
    <n v="100"/>
    <s v="CC"/>
    <s v="WK3"/>
    <d v="2025-09-29T00:00:00"/>
    <n v="6"/>
    <x v="0"/>
    <n v="0"/>
  </r>
  <r>
    <n v="1170"/>
    <s v="Requestor Update"/>
    <x v="28"/>
    <x v="173"/>
    <n v="1"/>
    <n v="76"/>
    <x v="59"/>
    <m/>
    <x v="0"/>
    <m/>
    <m/>
    <m/>
    <m/>
    <m/>
    <s v="upcoming"/>
    <s v="current"/>
    <n v="100"/>
    <s v="CC"/>
    <s v="WK3"/>
    <d v="2025-09-29T00:00:00"/>
    <n v="6"/>
    <x v="1"/>
    <n v="0.5"/>
  </r>
  <r>
    <n v="1171"/>
    <s v="Requestor Update"/>
    <x v="28"/>
    <x v="174"/>
    <n v="0"/>
    <n v="76"/>
    <x v="60"/>
    <m/>
    <x v="0"/>
    <m/>
    <m/>
    <m/>
    <m/>
    <m/>
    <s v="upcoming"/>
    <s v="current"/>
    <n v="100"/>
    <s v="CC"/>
    <s v="WK3"/>
    <d v="2025-09-29T00:00:00"/>
    <n v="6"/>
    <x v="0"/>
    <n v="0"/>
  </r>
  <r>
    <n v="1172"/>
    <s v="Requestor Update"/>
    <x v="28"/>
    <x v="175"/>
    <n v="0"/>
    <n v="76"/>
    <x v="60"/>
    <m/>
    <x v="0"/>
    <m/>
    <m/>
    <m/>
    <m/>
    <m/>
    <s v="upcoming"/>
    <s v="current"/>
    <n v="100"/>
    <s v="CC"/>
    <s v="WK3"/>
    <d v="2025-09-29T00:00:00"/>
    <n v="6"/>
    <x v="0"/>
    <n v="0"/>
  </r>
  <r>
    <n v="1173"/>
    <s v="Requestor Update"/>
    <x v="29"/>
    <x v="176"/>
    <n v="1"/>
    <s v="76, 81"/>
    <x v="8"/>
    <m/>
    <x v="0"/>
    <m/>
    <m/>
    <m/>
    <s v="1173 dependent on 1099 required"/>
    <m/>
    <s v="upcoming"/>
    <s v="current"/>
    <n v="100"/>
    <s v="CC"/>
    <s v="WK3"/>
    <d v="2025-09-29T00:00:00"/>
    <n v="6"/>
    <x v="1"/>
    <n v="0.5"/>
  </r>
  <r>
    <n v="1174"/>
    <s v="Requestor Update"/>
    <x v="29"/>
    <x v="177"/>
    <n v="1"/>
    <s v="76, 81"/>
    <x v="61"/>
    <m/>
    <x v="0"/>
    <m/>
    <m/>
    <m/>
    <m/>
    <m/>
    <s v="upcoming"/>
    <s v="current"/>
    <n v="100"/>
    <s v="CC"/>
    <s v="WK3"/>
    <d v="2025-09-29T00:00:00"/>
    <n v="6"/>
    <x v="1"/>
    <n v="0.5"/>
  </r>
  <r>
    <n v="1175"/>
    <s v="Requestor Update"/>
    <x v="29"/>
    <x v="178"/>
    <n v="1"/>
    <s v="76, 81"/>
    <x v="8"/>
    <m/>
    <x v="0"/>
    <m/>
    <m/>
    <m/>
    <s v="1175 dependent on &quot;pringles&quot; (1011)=yes then required, and used for material descr with country"/>
    <m/>
    <s v="pending"/>
    <s v="current"/>
    <n v="100"/>
    <s v="CC"/>
    <s v="WK3"/>
    <d v="2025-09-29T00:00:00"/>
    <n v="6"/>
    <x v="1"/>
    <n v="0.5"/>
  </r>
  <r>
    <n v="1176"/>
    <s v="Requestor Update"/>
    <x v="30"/>
    <x v="179"/>
    <n v="1"/>
    <s v="77, 124"/>
    <x v="8"/>
    <m/>
    <x v="0"/>
    <s v="Masterfiles"/>
    <m/>
    <m/>
    <s v="1187 dependent on 1137 [VAS]"/>
    <m/>
    <s v="pending"/>
    <s v="current"/>
    <n v="100"/>
    <s v="CC"/>
    <s v="WK3"/>
    <d v="2025-09-29T00:00:00"/>
    <n v="7"/>
    <x v="1"/>
    <n v="0.5"/>
  </r>
  <r>
    <n v="1177"/>
    <s v="Requestor Update"/>
    <x v="30"/>
    <x v="180"/>
    <n v="0"/>
    <s v="77, 124"/>
    <x v="0"/>
    <m/>
    <x v="2"/>
    <s v="Requestor, Masterfiles"/>
    <m/>
    <m/>
    <s v="1187 dependent on 1137 [VAS]"/>
    <m/>
    <s v="pending"/>
    <s v="current"/>
    <n v="100"/>
    <s v="CC"/>
    <s v="WK3"/>
    <d v="2025-09-29T00:00:00"/>
    <n v="7"/>
    <x v="0"/>
    <n v="0"/>
  </r>
  <r>
    <n v="1178"/>
    <s v="Requestor Update"/>
    <x v="30"/>
    <x v="181"/>
    <n v="1"/>
    <s v="77, 124"/>
    <x v="8"/>
    <m/>
    <x v="0"/>
    <s v="Masterfiles"/>
    <m/>
    <m/>
    <s v="1187 dependent on 1137 [VAS]"/>
    <m/>
    <s v="pending"/>
    <s v="current"/>
    <n v="100"/>
    <s v="CC"/>
    <s v="WK3"/>
    <d v="2025-09-29T00:00:00"/>
    <n v="7"/>
    <x v="1"/>
    <n v="0.5"/>
  </r>
  <r>
    <n v="1179"/>
    <s v="Requestor Update"/>
    <x v="30"/>
    <x v="182"/>
    <n v="1"/>
    <s v="77, 124"/>
    <x v="8"/>
    <m/>
    <x v="0"/>
    <s v="Masterfiles"/>
    <m/>
    <m/>
    <s v="1187 dependent on 1137 [VAS]"/>
    <m/>
    <s v="pending"/>
    <s v="current"/>
    <n v="100"/>
    <s v="CC"/>
    <s v="WK3"/>
    <d v="2025-09-29T00:00:00"/>
    <n v="7"/>
    <x v="1"/>
    <n v="0.5"/>
  </r>
  <r>
    <n v="1180"/>
    <s v="Requestor Update"/>
    <x v="30"/>
    <x v="183"/>
    <n v="1"/>
    <s v="77, 124"/>
    <x v="8"/>
    <m/>
    <x v="0"/>
    <s v="Masterfiles"/>
    <m/>
    <m/>
    <s v="1187 dependent on 1137 [VAS]"/>
    <m/>
    <s v="pending"/>
    <s v="current"/>
    <n v="100"/>
    <s v="CC"/>
    <s v="WK3"/>
    <d v="2025-09-29T00:00:00"/>
    <n v="7"/>
    <x v="1"/>
    <n v="0.5"/>
  </r>
  <r>
    <n v="1181"/>
    <s v="Requestor Update"/>
    <x v="30"/>
    <x v="184"/>
    <n v="1"/>
    <s v="77, 124"/>
    <x v="62"/>
    <m/>
    <x v="0"/>
    <s v="Masterfiles"/>
    <m/>
    <m/>
    <s v="1187 dependent on 1137 [VAS]"/>
    <m/>
    <s v="pending"/>
    <s v="current"/>
    <n v="100"/>
    <s v="CC"/>
    <s v="WK3"/>
    <d v="2025-09-29T00:00:00"/>
    <n v="7"/>
    <x v="1"/>
    <n v="0.5"/>
  </r>
  <r>
    <n v="1182"/>
    <s v="Requestor Update"/>
    <x v="30"/>
    <x v="185"/>
    <n v="1"/>
    <s v="77, 124"/>
    <x v="8"/>
    <m/>
    <x v="0"/>
    <s v="Masterfiles"/>
    <m/>
    <m/>
    <s v="1187 dependent on 1137 [VAS]"/>
    <m/>
    <s v="pending"/>
    <s v="current"/>
    <n v="100"/>
    <s v="CC"/>
    <s v="WK3"/>
    <d v="2025-09-29T00:00:00"/>
    <n v="7"/>
    <x v="1"/>
    <n v="0.5"/>
  </r>
  <r>
    <n v="1183"/>
    <s v="Requestor Update"/>
    <x v="30"/>
    <x v="186"/>
    <n v="1"/>
    <s v="77, 124"/>
    <x v="62"/>
    <m/>
    <x v="0"/>
    <s v="Masterfiles"/>
    <m/>
    <m/>
    <s v="1187 dependent on 1137 [VAS]"/>
    <m/>
    <s v="pending"/>
    <s v="current"/>
    <n v="100"/>
    <s v="CC"/>
    <s v="WK3"/>
    <d v="2025-09-29T00:00:00"/>
    <n v="7"/>
    <x v="1"/>
    <n v="0.5"/>
  </r>
  <r>
    <n v="1184"/>
    <s v="Requestor Update"/>
    <x v="30"/>
    <x v="187"/>
    <n v="1"/>
    <s v="77, 124"/>
    <x v="8"/>
    <m/>
    <x v="0"/>
    <s v="Masterfiles"/>
    <m/>
    <m/>
    <s v="1187 dependent on 1137 [VAS]"/>
    <m/>
    <s v="pending"/>
    <s v="current"/>
    <n v="100"/>
    <s v="CC"/>
    <s v="WK3"/>
    <d v="2025-09-29T00:00:00"/>
    <n v="7"/>
    <x v="1"/>
    <n v="0.5"/>
  </r>
  <r>
    <n v="1185"/>
    <s v="Requestor Update"/>
    <x v="30"/>
    <x v="188"/>
    <n v="1"/>
    <s v="77, 124"/>
    <x v="8"/>
    <m/>
    <x v="0"/>
    <s v="Masterfiles"/>
    <m/>
    <m/>
    <s v="1187 dependent on 1137 [VAS]"/>
    <m/>
    <s v="pending"/>
    <s v="current"/>
    <n v="100"/>
    <s v="CC"/>
    <s v="WK3"/>
    <d v="2025-09-29T00:00:00"/>
    <n v="7"/>
    <x v="1"/>
    <n v="0.5"/>
  </r>
  <r>
    <n v="1186"/>
    <s v="Requestor Update"/>
    <x v="30"/>
    <x v="189"/>
    <n v="1"/>
    <s v="77, 124"/>
    <x v="8"/>
    <m/>
    <x v="0"/>
    <s v="Masterfiles"/>
    <m/>
    <m/>
    <s v="1187 dependent on 1137 [VAS]"/>
    <m/>
    <s v="pending"/>
    <s v="current"/>
    <n v="100"/>
    <s v="CC"/>
    <s v="WK3"/>
    <d v="2025-09-29T00:00:00"/>
    <n v="7"/>
    <x v="1"/>
    <n v="0.5"/>
  </r>
  <r>
    <n v="1187"/>
    <s v="Requestor Update"/>
    <x v="30"/>
    <x v="190"/>
    <n v="1"/>
    <s v="77, 124"/>
    <x v="7"/>
    <m/>
    <x v="0"/>
    <s v="Masterfiles"/>
    <m/>
    <s v="also called &quot;BOM_Taxable&quot;"/>
    <s v="1187 dependent on 1137 [VAS]"/>
    <m/>
    <s v="pending"/>
    <s v="current"/>
    <n v="100"/>
    <s v="CC"/>
    <s v="WK3"/>
    <d v="2025-09-29T00:00:00"/>
    <n v="7"/>
    <x v="1"/>
    <n v="0.5"/>
  </r>
  <r>
    <n v="1188"/>
    <s v="Requestor Update"/>
    <x v="31"/>
    <x v="191"/>
    <n v="1"/>
    <s v="77, 124"/>
    <x v="8"/>
    <m/>
    <x v="0"/>
    <s v="Masterfiles"/>
    <m/>
    <m/>
    <s v="1188 dependent 1031 [VP], 1137 [VAS]"/>
    <m/>
    <s v="pending"/>
    <s v="current"/>
    <n v="100"/>
    <s v="CC"/>
    <s v="WK3"/>
    <d v="2025-09-29T00:00:00"/>
    <n v="7"/>
    <x v="1"/>
    <n v="0.5"/>
  </r>
  <r>
    <n v="1189"/>
    <s v="Requestor Update"/>
    <x v="31"/>
    <x v="192"/>
    <n v="1"/>
    <s v="77, 124"/>
    <x v="8"/>
    <m/>
    <x v="0"/>
    <s v="Masterfiles"/>
    <m/>
    <m/>
    <s v="1188 dependent 1031 [VP], 1137 [VAS]"/>
    <m/>
    <s v="pending"/>
    <s v="current"/>
    <n v="100"/>
    <s v="CC"/>
    <s v="WK3"/>
    <d v="2025-09-29T00:00:00"/>
    <n v="7"/>
    <x v="1"/>
    <n v="0.5"/>
  </r>
  <r>
    <n v="1190"/>
    <s v="Requestor Update"/>
    <x v="31"/>
    <x v="193"/>
    <n v="1"/>
    <s v="77, 124"/>
    <x v="8"/>
    <m/>
    <x v="0"/>
    <s v="Masterfiles"/>
    <m/>
    <m/>
    <s v="1188 dependent 1031 [VP], 1137 [VAS]"/>
    <m/>
    <s v="pending"/>
    <s v="current"/>
    <n v="100"/>
    <s v="CC"/>
    <s v="WK3"/>
    <d v="2025-09-29T00:00:00"/>
    <n v="7"/>
    <x v="1"/>
    <n v="0.5"/>
  </r>
  <r>
    <n v="1191"/>
    <s v="Requestor Update"/>
    <x v="31"/>
    <x v="194"/>
    <n v="1"/>
    <s v="77, 124"/>
    <x v="8"/>
    <m/>
    <x v="0"/>
    <s v="Masterfiles"/>
    <m/>
    <m/>
    <s v="1188 dependent 1031 [VP], 1137 [VAS]"/>
    <m/>
    <s v="pending"/>
    <s v="current"/>
    <n v="100"/>
    <s v="CC"/>
    <s v="WK3"/>
    <d v="2025-09-29T00:00:00"/>
    <n v="7"/>
    <x v="1"/>
    <n v="0.5"/>
  </r>
  <r>
    <n v="1192"/>
    <s v="Requestor Update"/>
    <x v="31"/>
    <x v="195"/>
    <n v="1"/>
    <s v="77, 124"/>
    <x v="8"/>
    <m/>
    <x v="0"/>
    <s v="Masterfiles"/>
    <m/>
    <m/>
    <s v="1188 dependent 1031 [VP], 1137 [VAS]"/>
    <m/>
    <s v="pending"/>
    <s v="current"/>
    <n v="100"/>
    <s v="CC"/>
    <s v="WK3"/>
    <d v="2025-09-29T00:00:00"/>
    <n v="7"/>
    <x v="1"/>
    <n v="0.5"/>
  </r>
  <r>
    <n v="1193"/>
    <s v="LIM - Update"/>
    <x v="32"/>
    <x v="196"/>
    <n v="1"/>
    <n v="80"/>
    <x v="63"/>
    <m/>
    <x v="2"/>
    <m/>
    <m/>
    <s v="dependent on FORM TYPE: DISPLAY; 4 rules; actually part of Requestor Update; after Pack Size"/>
    <s v="4 rules"/>
    <m/>
    <s v="pending"/>
    <s v="current"/>
    <n v="110"/>
    <s v="DD"/>
    <s v="WK3"/>
    <d v="2025-09-29T00:00:00"/>
    <m/>
    <x v="1"/>
    <n v="0.5"/>
  </r>
  <r>
    <n v="1194"/>
    <s v="LIM - Update"/>
    <x v="32"/>
    <x v="197"/>
    <n v="1"/>
    <n v="80"/>
    <x v="64"/>
    <m/>
    <x v="2"/>
    <m/>
    <m/>
    <m/>
    <m/>
    <m/>
    <s v="upcoming"/>
    <s v="current"/>
    <n v="110"/>
    <s v="DD"/>
    <s v="WK3"/>
    <d v="2025-09-29T00:00:00"/>
    <m/>
    <x v="1"/>
    <n v="0.5"/>
  </r>
  <r>
    <n v="1195"/>
    <s v="LIM - Update"/>
    <x v="32"/>
    <x v="198"/>
    <n v="1"/>
    <n v="80"/>
    <x v="7"/>
    <m/>
    <x v="2"/>
    <m/>
    <m/>
    <m/>
    <m/>
    <m/>
    <s v="upcoming"/>
    <s v="current"/>
    <n v="110"/>
    <s v="DD"/>
    <s v="WK3"/>
    <d v="2025-09-29T00:00:00"/>
    <m/>
    <x v="1"/>
    <n v="0.5"/>
  </r>
  <r>
    <n v="1196"/>
    <s v="LIM - Update"/>
    <x v="32"/>
    <x v="199"/>
    <n v="0"/>
    <n v="80"/>
    <x v="0"/>
    <m/>
    <x v="2"/>
    <m/>
    <m/>
    <m/>
    <m/>
    <m/>
    <s v="upcoming"/>
    <s v="current"/>
    <n v="110"/>
    <s v="DD"/>
    <s v="WK3"/>
    <d v="2025-09-29T00:00:00"/>
    <m/>
    <x v="0"/>
    <n v="0"/>
  </r>
  <r>
    <n v="1197"/>
    <s v="LIM - Update"/>
    <x v="32"/>
    <x v="200"/>
    <n v="0"/>
    <n v="80"/>
    <x v="0"/>
    <m/>
    <x v="2"/>
    <m/>
    <m/>
    <m/>
    <m/>
    <m/>
    <s v="upcoming"/>
    <s v="current"/>
    <n v="110"/>
    <s v="DD"/>
    <s v="WK3"/>
    <d v="2025-09-29T00:00:00"/>
    <m/>
    <x v="0"/>
    <n v="0"/>
  </r>
  <r>
    <n v="1198"/>
    <s v="LIM - Update"/>
    <x v="32"/>
    <x v="201"/>
    <n v="0"/>
    <n v="80"/>
    <x v="0"/>
    <m/>
    <x v="2"/>
    <m/>
    <m/>
    <m/>
    <m/>
    <m/>
    <s v="upcoming"/>
    <s v="current"/>
    <n v="110"/>
    <s v="DD"/>
    <s v="WK3"/>
    <d v="2025-09-29T00:00:00"/>
    <m/>
    <x v="0"/>
    <n v="0"/>
  </r>
  <r>
    <n v="1199"/>
    <s v="LIM - Update"/>
    <x v="32"/>
    <x v="202"/>
    <n v="0"/>
    <n v="80"/>
    <x v="0"/>
    <m/>
    <x v="2"/>
    <m/>
    <m/>
    <m/>
    <m/>
    <m/>
    <s v="upcoming"/>
    <s v="current"/>
    <n v="110"/>
    <s v="DD"/>
    <s v="WK3"/>
    <d v="2025-09-29T00:00:00"/>
    <m/>
    <x v="0"/>
    <n v="0"/>
  </r>
  <r>
    <n v="1200"/>
    <s v="LIM - Update"/>
    <x v="32"/>
    <x v="203"/>
    <n v="1"/>
    <n v="80"/>
    <x v="65"/>
    <m/>
    <x v="2"/>
    <m/>
    <m/>
    <m/>
    <m/>
    <m/>
    <s v="upcoming"/>
    <s v="current"/>
    <n v="110"/>
    <s v="DD"/>
    <s v="WK3"/>
    <d v="2025-09-29T00:00:00"/>
    <m/>
    <x v="1"/>
    <n v="0.5"/>
  </r>
  <r>
    <n v="1201"/>
    <s v="LIM - Update"/>
    <x v="33"/>
    <x v="204"/>
    <n v="1"/>
    <s v="81, 82"/>
    <x v="7"/>
    <m/>
    <x v="2"/>
    <m/>
    <m/>
    <m/>
    <m/>
    <m/>
    <s v="upcoming"/>
    <s v="current"/>
    <n v="110"/>
    <s v="DD"/>
    <s v="WK3"/>
    <d v="2025-09-29T00:00:00"/>
    <m/>
    <x v="1"/>
    <n v="0.5"/>
  </r>
  <r>
    <n v="1202"/>
    <s v="LIM - Update"/>
    <x v="13"/>
    <x v="205"/>
    <n v="1"/>
    <n v="81"/>
    <x v="8"/>
    <m/>
    <x v="2"/>
    <m/>
    <m/>
    <m/>
    <m/>
    <m/>
    <s v="upcoming"/>
    <s v="current"/>
    <n v="110"/>
    <s v="DD"/>
    <s v="WK3"/>
    <d v="2025-09-29T00:00:00"/>
    <m/>
    <x v="1"/>
    <n v="0.5"/>
  </r>
  <r>
    <n v="1203"/>
    <s v="LIM - Update"/>
    <x v="33"/>
    <x v="206"/>
    <n v="1"/>
    <n v="82"/>
    <x v="66"/>
    <m/>
    <x v="2"/>
    <m/>
    <m/>
    <s v="for REPACKS &amp; DISPLAYS"/>
    <m/>
    <m/>
    <s v="upcoming"/>
    <s v="current"/>
    <n v="110"/>
    <s v="DD"/>
    <s v="WK3"/>
    <d v="2025-09-29T00:00:00"/>
    <m/>
    <x v="3"/>
    <n v="1"/>
  </r>
  <r>
    <n v="1204"/>
    <s v="EPM Finance - Update"/>
    <x v="34"/>
    <x v="207"/>
    <n v="1"/>
    <n v="84"/>
    <x v="67"/>
    <m/>
    <x v="3"/>
    <m/>
    <m/>
    <m/>
    <m/>
    <m/>
    <s v="upcoming"/>
    <s v="future"/>
    <n v="120"/>
    <s v="FF"/>
    <s v="WK5"/>
    <d v="2025-10-13T00:00:00"/>
    <m/>
    <x v="1"/>
    <n v="0.5"/>
  </r>
  <r>
    <n v="1205"/>
    <s v="EPM Finance - Update"/>
    <x v="13"/>
    <x v="208"/>
    <n v="1"/>
    <n v="84"/>
    <x v="8"/>
    <m/>
    <x v="3"/>
    <m/>
    <m/>
    <m/>
    <m/>
    <m/>
    <s v="upcoming"/>
    <s v="future"/>
    <n v="120"/>
    <s v="FF"/>
    <s v="WK5"/>
    <d v="2025-10-13T00:00:00"/>
    <m/>
    <x v="1"/>
    <n v="0.5"/>
  </r>
  <r>
    <n v="1206"/>
    <s v="Data Integrity (DI) - Review"/>
    <x v="35"/>
    <x v="209"/>
    <n v="1"/>
    <n v="86"/>
    <x v="8"/>
    <m/>
    <x v="4"/>
    <m/>
    <m/>
    <m/>
    <m/>
    <m/>
    <s v="upcoming"/>
    <s v="future"/>
    <n v="130"/>
    <s v="FF"/>
    <s v="WK5"/>
    <d v="2025-10-13T00:00:00"/>
    <m/>
    <x v="1"/>
    <n v="0.5"/>
  </r>
  <r>
    <n v="1207"/>
    <s v="R&amp;D Quality - Update"/>
    <x v="18"/>
    <x v="210"/>
    <n v="1"/>
    <n v="88"/>
    <x v="8"/>
    <m/>
    <x v="5"/>
    <m/>
    <m/>
    <m/>
    <s v="5 rules"/>
    <m/>
    <s v="pending"/>
    <s v="future"/>
    <n v="140"/>
    <s v="FF"/>
    <s v="WK5"/>
    <d v="2025-10-13T00:00:00"/>
    <m/>
    <x v="1"/>
    <n v="0.5"/>
  </r>
  <r>
    <n v="1208"/>
    <s v="R&amp;D Quality - Update"/>
    <x v="36"/>
    <x v="211"/>
    <n v="1"/>
    <n v="89"/>
    <x v="7"/>
    <m/>
    <x v="5"/>
    <m/>
    <m/>
    <m/>
    <m/>
    <m/>
    <s v="upcoming"/>
    <s v="future"/>
    <n v="140"/>
    <s v="FF"/>
    <s v="WK5"/>
    <d v="2025-10-13T00:00:00"/>
    <m/>
    <x v="1"/>
    <n v="0.5"/>
  </r>
  <r>
    <n v="1209"/>
    <s v="R&amp;D Quality - Update"/>
    <x v="36"/>
    <x v="212"/>
    <n v="1"/>
    <n v="89"/>
    <x v="68"/>
    <m/>
    <x v="5"/>
    <m/>
    <m/>
    <m/>
    <m/>
    <m/>
    <s v="upcoming"/>
    <s v="future"/>
    <n v="140"/>
    <s v="FF"/>
    <s v="WK5"/>
    <d v="2025-10-13T00:00:00"/>
    <m/>
    <x v="1"/>
    <n v="0.5"/>
  </r>
  <r>
    <n v="1210"/>
    <s v="R&amp;D Quality - Update"/>
    <x v="36"/>
    <x v="213"/>
    <n v="1"/>
    <n v="89"/>
    <x v="7"/>
    <m/>
    <x v="5"/>
    <m/>
    <m/>
    <m/>
    <m/>
    <m/>
    <s v="upcoming"/>
    <s v="future"/>
    <n v="140"/>
    <s v="FF"/>
    <s v="WK5"/>
    <d v="2025-10-13T00:00:00"/>
    <m/>
    <x v="1"/>
    <n v="0.5"/>
  </r>
  <r>
    <n v="1211"/>
    <s v="Nutrition Labeling - Update"/>
    <x v="37"/>
    <x v="214"/>
    <n v="1"/>
    <n v="94"/>
    <x v="8"/>
    <m/>
    <x v="6"/>
    <m/>
    <m/>
    <m/>
    <m/>
    <m/>
    <s v="upcoming"/>
    <s v="future"/>
    <n v="150"/>
    <s v="EE"/>
    <s v="WK4"/>
    <d v="2025-10-06T00:00:00"/>
    <m/>
    <x v="1"/>
    <n v="0.5"/>
  </r>
  <r>
    <n v="1212"/>
    <s v="Nutrition Labeling - Update"/>
    <x v="37"/>
    <x v="215"/>
    <n v="1"/>
    <n v="94"/>
    <x v="69"/>
    <m/>
    <x v="6"/>
    <m/>
    <m/>
    <m/>
    <m/>
    <m/>
    <s v="upcoming"/>
    <s v="future"/>
    <n v="150"/>
    <s v="EE"/>
    <s v="WK4"/>
    <d v="2025-10-06T00:00:00"/>
    <m/>
    <x v="1"/>
    <n v="0.5"/>
  </r>
  <r>
    <n v="1213"/>
    <s v="Nutrition Labeling - Update"/>
    <x v="37"/>
    <x v="216"/>
    <n v="1"/>
    <n v="94"/>
    <x v="8"/>
    <m/>
    <x v="6"/>
    <m/>
    <m/>
    <s v="dependent on: Weight Measure=METRIC"/>
    <m/>
    <m/>
    <s v="upcoming"/>
    <s v="future"/>
    <n v="150"/>
    <s v="EE"/>
    <s v="WK4"/>
    <d v="2025-10-06T00:00:00"/>
    <m/>
    <x v="1"/>
    <n v="0.5"/>
  </r>
  <r>
    <n v="1214"/>
    <s v="Nutrition Labeling - Update"/>
    <x v="37"/>
    <x v="217"/>
    <n v="0"/>
    <n v="94"/>
    <x v="0"/>
    <m/>
    <x v="6"/>
    <m/>
    <m/>
    <s v="dependent on: Weight Measure=METRIC"/>
    <m/>
    <m/>
    <s v="upcoming"/>
    <s v="future"/>
    <n v="150"/>
    <s v="EE"/>
    <s v="WK4"/>
    <d v="2025-10-06T00:00:00"/>
    <m/>
    <x v="1"/>
    <n v="0"/>
  </r>
  <r>
    <n v="1215"/>
    <s v="Nutrition Labeling - Update"/>
    <x v="37"/>
    <x v="218"/>
    <n v="1"/>
    <n v="94"/>
    <x v="8"/>
    <m/>
    <x v="6"/>
    <m/>
    <m/>
    <s v="dependent on: Weight Measure=METRIC"/>
    <m/>
    <m/>
    <s v="upcoming"/>
    <s v="future"/>
    <n v="150"/>
    <s v="EE"/>
    <s v="WK4"/>
    <d v="2025-10-06T00:00:00"/>
    <m/>
    <x v="1"/>
    <n v="0.5"/>
  </r>
  <r>
    <n v="1216"/>
    <s v="Nutrition Labeling - Update"/>
    <x v="37"/>
    <x v="219"/>
    <n v="0"/>
    <n v="94"/>
    <x v="0"/>
    <m/>
    <x v="6"/>
    <m/>
    <m/>
    <s v="dependent on: Weight Measure=METRIC"/>
    <m/>
    <m/>
    <s v="upcoming"/>
    <s v="future"/>
    <n v="150"/>
    <s v="EE"/>
    <s v="WK4"/>
    <d v="2025-10-06T00:00:00"/>
    <m/>
    <x v="1"/>
    <n v="0"/>
  </r>
  <r>
    <n v="1217"/>
    <s v="Nutrition Labeling - Update"/>
    <x v="37"/>
    <x v="220"/>
    <n v="1"/>
    <n v="94"/>
    <x v="8"/>
    <m/>
    <x v="6"/>
    <m/>
    <m/>
    <s v="dependent on: Weight Measure=METRIC"/>
    <m/>
    <m/>
    <s v="upcoming"/>
    <s v="future"/>
    <n v="150"/>
    <s v="EE"/>
    <s v="WK4"/>
    <d v="2025-10-06T00:00:00"/>
    <m/>
    <x v="1"/>
    <n v="0.5"/>
  </r>
  <r>
    <n v="1218"/>
    <s v="Nutrition Labeling - Update"/>
    <x v="37"/>
    <x v="221"/>
    <n v="1"/>
    <n v="94"/>
    <x v="8"/>
    <m/>
    <x v="6"/>
    <m/>
    <m/>
    <s v="dependent on: Weight Measure=IMPERIAL"/>
    <m/>
    <m/>
    <s v="upcoming"/>
    <s v="future"/>
    <n v="150"/>
    <s v="EE"/>
    <s v="WK4"/>
    <d v="2025-10-06T00:00:00"/>
    <m/>
    <x v="1"/>
    <n v="0.5"/>
  </r>
  <r>
    <n v="1219"/>
    <s v="Nutrition Labeling - Update"/>
    <x v="37"/>
    <x v="222"/>
    <n v="0"/>
    <n v="94"/>
    <x v="0"/>
    <m/>
    <x v="6"/>
    <m/>
    <m/>
    <s v="dependent on: Weight Measure=IMPERIAL"/>
    <m/>
    <m/>
    <s v="upcoming"/>
    <s v="future"/>
    <n v="150"/>
    <s v="EE"/>
    <s v="WK4"/>
    <d v="2025-10-06T00:00:00"/>
    <m/>
    <x v="1"/>
    <n v="0"/>
  </r>
  <r>
    <n v="1220"/>
    <s v="Nutrition Labeling - Update"/>
    <x v="37"/>
    <x v="223"/>
    <n v="1"/>
    <n v="94"/>
    <x v="8"/>
    <m/>
    <x v="6"/>
    <m/>
    <m/>
    <s v="dependent on: Weight Measure=IMPERIAL"/>
    <m/>
    <m/>
    <s v="upcoming"/>
    <s v="future"/>
    <n v="150"/>
    <s v="EE"/>
    <s v="WK4"/>
    <d v="2025-10-06T00:00:00"/>
    <m/>
    <x v="1"/>
    <n v="0.5"/>
  </r>
  <r>
    <n v="1221"/>
    <s v="Nutrition Labeling - Update"/>
    <x v="37"/>
    <x v="224"/>
    <n v="1"/>
    <n v="94"/>
    <x v="70"/>
    <m/>
    <x v="6"/>
    <m/>
    <m/>
    <s v="dependent on: Weight Measure=IMPERIAL"/>
    <m/>
    <m/>
    <s v="upcoming"/>
    <s v="future"/>
    <n v="150"/>
    <s v="EE"/>
    <s v="WK4"/>
    <d v="2025-10-06T00:00:00"/>
    <m/>
    <x v="1"/>
    <n v="0.5"/>
  </r>
  <r>
    <n v="1222"/>
    <s v="Nutrition Labeling - Update"/>
    <x v="37"/>
    <x v="225"/>
    <n v="1"/>
    <n v="94"/>
    <x v="8"/>
    <m/>
    <x v="6"/>
    <m/>
    <m/>
    <s v="dependent on: Weight Measure=IMPERIAL"/>
    <m/>
    <m/>
    <s v="upcoming"/>
    <s v="future"/>
    <n v="150"/>
    <s v="EE"/>
    <s v="WK4"/>
    <d v="2025-10-06T00:00:00"/>
    <m/>
    <x v="1"/>
    <n v="0.5"/>
  </r>
  <r>
    <n v="1223"/>
    <s v="Nutrition Labeling - Update"/>
    <x v="38"/>
    <x v="226"/>
    <n v="1"/>
    <n v="94"/>
    <x v="71"/>
    <m/>
    <x v="6"/>
    <m/>
    <m/>
    <s v="calculations"/>
    <m/>
    <m/>
    <s v="upcoming"/>
    <s v="future"/>
    <n v="150"/>
    <s v="EE"/>
    <s v="WK4"/>
    <d v="2025-10-06T00:00:00"/>
    <m/>
    <x v="2"/>
    <n v="1.5"/>
  </r>
  <r>
    <n v="1224"/>
    <s v="Nutrition Labeling - Update"/>
    <x v="38"/>
    <x v="227"/>
    <n v="1"/>
    <n v="94"/>
    <x v="71"/>
    <m/>
    <x v="6"/>
    <m/>
    <m/>
    <s v="calculations"/>
    <m/>
    <m/>
    <s v="upcoming"/>
    <s v="future"/>
    <n v="150"/>
    <s v="EE"/>
    <s v="WK4"/>
    <d v="2025-10-06T00:00:00"/>
    <m/>
    <x v="2"/>
    <n v="1.5"/>
  </r>
  <r>
    <n v="1225"/>
    <s v="Nutrition Labeling - Update"/>
    <x v="38"/>
    <x v="228"/>
    <n v="1"/>
    <n v="94"/>
    <x v="71"/>
    <m/>
    <x v="6"/>
    <m/>
    <m/>
    <s v="calculations"/>
    <m/>
    <m/>
    <s v="upcoming"/>
    <s v="future"/>
    <n v="150"/>
    <s v="EE"/>
    <s v="WK4"/>
    <d v="2025-10-06T00:00:00"/>
    <m/>
    <x v="2"/>
    <n v="1.5"/>
  </r>
  <r>
    <n v="1226"/>
    <s v="Nutrition Labeling - Update"/>
    <x v="38"/>
    <x v="229"/>
    <n v="1"/>
    <n v="94"/>
    <x v="71"/>
    <m/>
    <x v="6"/>
    <m/>
    <m/>
    <s v="calculations"/>
    <m/>
    <m/>
    <s v="upcoming"/>
    <s v="future"/>
    <n v="150"/>
    <s v="EE"/>
    <s v="WK4"/>
    <d v="2025-10-06T00:00:00"/>
    <m/>
    <x v="2"/>
    <n v="1.5"/>
  </r>
  <r>
    <n v="1227"/>
    <s v="Nutrition Labeling - Update"/>
    <x v="39"/>
    <x v="230"/>
    <n v="1"/>
    <n v="94"/>
    <x v="8"/>
    <m/>
    <x v="6"/>
    <m/>
    <m/>
    <s v="dependent on: Form Type=BULK w/pkg upc"/>
    <m/>
    <m/>
    <s v="upcoming"/>
    <s v="future"/>
    <n v="150"/>
    <s v="EE"/>
    <s v="WK4"/>
    <d v="2025-10-06T00:00:00"/>
    <m/>
    <x v="1"/>
    <n v="0.5"/>
  </r>
  <r>
    <n v="1228"/>
    <s v="Nutrition Labeling - Update"/>
    <x v="39"/>
    <x v="231"/>
    <n v="1"/>
    <n v="94"/>
    <x v="8"/>
    <m/>
    <x v="6"/>
    <m/>
    <m/>
    <s v="dependent on: Form Type=BULK w/pkg upc"/>
    <m/>
    <m/>
    <s v="upcoming"/>
    <s v="future"/>
    <n v="150"/>
    <s v="EE"/>
    <s v="WK4"/>
    <d v="2025-10-06T00:00:00"/>
    <m/>
    <x v="1"/>
    <n v="0.5"/>
  </r>
  <r>
    <n v="1229"/>
    <s v="Nutrition Labeling - Update"/>
    <x v="39"/>
    <x v="232"/>
    <n v="1"/>
    <n v="94"/>
    <x v="8"/>
    <m/>
    <x v="6"/>
    <m/>
    <m/>
    <s v="dependent on: Form Type=BULK w/pkg upc"/>
    <m/>
    <m/>
    <s v="upcoming"/>
    <s v="future"/>
    <n v="150"/>
    <s v="EE"/>
    <s v="WK4"/>
    <d v="2025-10-06T00:00:00"/>
    <m/>
    <x v="1"/>
    <n v="0.5"/>
  </r>
  <r>
    <n v="1230"/>
    <s v="Nutrition Labeling - Update"/>
    <x v="40"/>
    <x v="233"/>
    <n v="1"/>
    <n v="94"/>
    <x v="72"/>
    <m/>
    <x v="6"/>
    <m/>
    <m/>
    <s v="dependent on: Product Country=CANADA"/>
    <m/>
    <m/>
    <s v="upcoming"/>
    <s v="future"/>
    <n v="150"/>
    <s v="EE"/>
    <s v="WK4"/>
    <d v="2025-10-06T00:00:00"/>
    <m/>
    <x v="1"/>
    <n v="0.5"/>
  </r>
  <r>
    <n v="1231"/>
    <s v="Nutrition Labeling - Update"/>
    <x v="41"/>
    <x v="234"/>
    <n v="1"/>
    <n v="94"/>
    <x v="8"/>
    <m/>
    <x v="6"/>
    <m/>
    <m/>
    <m/>
    <m/>
    <m/>
    <s v="upcoming"/>
    <s v="future"/>
    <n v="150"/>
    <s v="EE"/>
    <s v="WK4"/>
    <d v="2025-10-06T00:00:00"/>
    <m/>
    <x v="1"/>
    <n v="0.5"/>
  </r>
  <r>
    <n v="1232"/>
    <s v="Nutrition Labeling - Update"/>
    <x v="41"/>
    <x v="235"/>
    <n v="1"/>
    <n v="94"/>
    <x v="8"/>
    <m/>
    <x v="6"/>
    <m/>
    <m/>
    <m/>
    <m/>
    <m/>
    <s v="upcoming"/>
    <s v="future"/>
    <n v="150"/>
    <s v="EE"/>
    <s v="WK4"/>
    <d v="2025-10-06T00:00:00"/>
    <m/>
    <x v="1"/>
    <n v="0.5"/>
  </r>
  <r>
    <n v="1233"/>
    <s v="Nutrition Labeling - Update"/>
    <x v="41"/>
    <x v="236"/>
    <n v="1"/>
    <n v="94"/>
    <x v="8"/>
    <m/>
    <x v="6"/>
    <m/>
    <m/>
    <m/>
    <m/>
    <m/>
    <s v="upcoming"/>
    <s v="future"/>
    <n v="150"/>
    <s v="EE"/>
    <s v="WK4"/>
    <d v="2025-10-06T00:00:00"/>
    <m/>
    <x v="1"/>
    <n v="0.5"/>
  </r>
  <r>
    <n v="1234"/>
    <s v="Nutrition Labeling - Update"/>
    <x v="41"/>
    <x v="237"/>
    <n v="1"/>
    <n v="94"/>
    <x v="8"/>
    <m/>
    <x v="6"/>
    <m/>
    <m/>
    <m/>
    <m/>
    <m/>
    <s v="upcoming"/>
    <s v="future"/>
    <n v="150"/>
    <s v="EE"/>
    <s v="WK4"/>
    <d v="2025-10-06T00:00:00"/>
    <m/>
    <x v="1"/>
    <n v="0.5"/>
  </r>
  <r>
    <n v="1235"/>
    <s v="Packaging Tech - Update"/>
    <x v="42"/>
    <x v="238"/>
    <n v="0"/>
    <n v="97"/>
    <x v="0"/>
    <m/>
    <x v="7"/>
    <m/>
    <m/>
    <s v="Packaging Tech task: For Pringles only, in the Packaging Details section, the Pringles Can Size and Pringles Cube Size are open for population, but not required. If not Pringles, both are grayed out/locked."/>
    <s v="1235 dependent on &quot;pringles&quot; (1011) =open but not required"/>
    <m/>
    <s v="pending"/>
    <s v="early"/>
    <n v="160"/>
    <s v="EE"/>
    <s v="WK4"/>
    <d v="2025-10-06T00:00:00"/>
    <m/>
    <x v="0"/>
    <n v="0"/>
  </r>
  <r>
    <n v="1236"/>
    <s v="Packaging Tech - Update"/>
    <x v="42"/>
    <x v="239"/>
    <n v="1"/>
    <n v="97"/>
    <x v="73"/>
    <m/>
    <x v="7"/>
    <m/>
    <m/>
    <m/>
    <m/>
    <m/>
    <s v="upcoming"/>
    <s v="future"/>
    <n v="160"/>
    <s v="EE"/>
    <s v="WK4"/>
    <d v="2025-10-06T00:00:00"/>
    <m/>
    <x v="1"/>
    <n v="0.5"/>
  </r>
  <r>
    <n v="1237"/>
    <s v="Packaging Tech - Update"/>
    <x v="42"/>
    <x v="240"/>
    <n v="1"/>
    <n v="97"/>
    <x v="74"/>
    <m/>
    <x v="7"/>
    <m/>
    <m/>
    <m/>
    <m/>
    <m/>
    <s v="upcoming"/>
    <s v="future"/>
    <n v="160"/>
    <s v="EE"/>
    <s v="WK4"/>
    <d v="2025-10-06T00:00:00"/>
    <m/>
    <x v="1"/>
    <n v="0.5"/>
  </r>
  <r>
    <n v="1238"/>
    <s v="Packaging Tech - Update"/>
    <x v="42"/>
    <x v="241"/>
    <n v="1"/>
    <n v="97"/>
    <x v="75"/>
    <m/>
    <x v="7"/>
    <m/>
    <m/>
    <m/>
    <m/>
    <m/>
    <s v="upcoming"/>
    <s v="future"/>
    <n v="160"/>
    <s v="EE"/>
    <s v="WK4"/>
    <d v="2025-10-06T00:00:00"/>
    <m/>
    <x v="1"/>
    <n v="0.5"/>
  </r>
  <r>
    <n v="1239"/>
    <s v="Packaging Tech - Update"/>
    <x v="42"/>
    <x v="242"/>
    <n v="1"/>
    <n v="97"/>
    <x v="76"/>
    <m/>
    <x v="7"/>
    <m/>
    <m/>
    <s v="Packaging Tech task: For Pringles only, in the Packaging Details section, the Pringles Can Size and Pringles Cube Size are open for population, but not required. If not Pringles, both are grayed out/locked."/>
    <s v="1239 dependent on &quot;pringles&quot; (1011) =open but not required"/>
    <m/>
    <s v="pending"/>
    <s v="early"/>
    <n v="160"/>
    <s v="EE"/>
    <s v="WK4"/>
    <d v="2025-10-06T00:00:00"/>
    <m/>
    <x v="1"/>
    <n v="0.5"/>
  </r>
  <r>
    <n v="1240"/>
    <s v="Packaging Tech - Update"/>
    <x v="42"/>
    <x v="243"/>
    <n v="1"/>
    <n v="97"/>
    <x v="77"/>
    <m/>
    <x v="7"/>
    <m/>
    <m/>
    <m/>
    <m/>
    <m/>
    <s v="upcoming"/>
    <s v="future"/>
    <n v="160"/>
    <s v="EE"/>
    <s v="WK4"/>
    <d v="2025-10-06T00:00:00"/>
    <m/>
    <x v="1"/>
    <n v="0.5"/>
  </r>
  <r>
    <n v="1241"/>
    <s v="Packaging Tech - Update"/>
    <x v="21"/>
    <x v="244"/>
    <n v="0"/>
    <n v="98"/>
    <x v="0"/>
    <m/>
    <x v="7"/>
    <m/>
    <m/>
    <m/>
    <m/>
    <m/>
    <s v="upcoming"/>
    <s v="future"/>
    <n v="160"/>
    <s v="EE"/>
    <s v="WK4"/>
    <d v="2025-10-06T00:00:00"/>
    <m/>
    <x v="0"/>
    <n v="0"/>
  </r>
  <r>
    <n v="1242"/>
    <s v="Packaging Tech - Update"/>
    <x v="21"/>
    <x v="245"/>
    <n v="0"/>
    <n v="98"/>
    <x v="0"/>
    <m/>
    <x v="7"/>
    <m/>
    <m/>
    <m/>
    <m/>
    <m/>
    <s v="upcoming"/>
    <s v="future"/>
    <n v="160"/>
    <s v="EE"/>
    <s v="WK4"/>
    <d v="2025-10-06T00:00:00"/>
    <m/>
    <x v="0"/>
    <n v="0"/>
  </r>
  <r>
    <n v="1243"/>
    <s v="Packaging Tech - Update"/>
    <x v="21"/>
    <x v="246"/>
    <n v="0"/>
    <n v="98"/>
    <x v="0"/>
    <m/>
    <x v="7"/>
    <m/>
    <m/>
    <m/>
    <m/>
    <m/>
    <s v="upcoming"/>
    <s v="future"/>
    <n v="160"/>
    <s v="EE"/>
    <s v="WK4"/>
    <d v="2025-10-06T00:00:00"/>
    <m/>
    <x v="0"/>
    <n v="0"/>
  </r>
  <r>
    <n v="1244"/>
    <s v="Packaging Tech - Update"/>
    <x v="43"/>
    <x v="247"/>
    <n v="1"/>
    <s v="99, 125"/>
    <x v="8"/>
    <m/>
    <x v="7"/>
    <s v="Masterfiles"/>
    <m/>
    <m/>
    <m/>
    <m/>
    <s v="upcoming"/>
    <s v="future"/>
    <n v="160"/>
    <s v="EE"/>
    <s v="WK4"/>
    <d v="2025-10-06T00:00:00"/>
    <m/>
    <x v="1"/>
    <n v="0.5"/>
  </r>
  <r>
    <n v="1245"/>
    <s v="Packaging Tech - Update"/>
    <x v="43"/>
    <x v="248"/>
    <n v="1"/>
    <s v="99, 125"/>
    <x v="8"/>
    <m/>
    <x v="7"/>
    <s v="Masterfiles"/>
    <m/>
    <m/>
    <m/>
    <m/>
    <s v="upcoming"/>
    <s v="future"/>
    <n v="160"/>
    <s v="EE"/>
    <s v="WK4"/>
    <d v="2025-10-06T00:00:00"/>
    <m/>
    <x v="1"/>
    <n v="0.5"/>
  </r>
  <r>
    <n v="1246"/>
    <s v="Packaging Tech - Update"/>
    <x v="43"/>
    <x v="249"/>
    <n v="1"/>
    <s v="99, 125"/>
    <x v="78"/>
    <m/>
    <x v="7"/>
    <s v="Masterfiles"/>
    <m/>
    <m/>
    <m/>
    <m/>
    <s v="upcoming"/>
    <s v="future"/>
    <n v="160"/>
    <s v="EE"/>
    <s v="WK4"/>
    <d v="2025-10-06T00:00:00"/>
    <m/>
    <x v="1"/>
    <n v="0.5"/>
  </r>
  <r>
    <n v="1247"/>
    <s v="Packaging Tech - Update"/>
    <x v="43"/>
    <x v="250"/>
    <n v="1"/>
    <s v="99, 125"/>
    <x v="8"/>
    <m/>
    <x v="7"/>
    <s v="Masterfiles"/>
    <m/>
    <m/>
    <m/>
    <m/>
    <s v="upcoming"/>
    <s v="future"/>
    <n v="160"/>
    <s v="EE"/>
    <s v="WK4"/>
    <d v="2025-10-06T00:00:00"/>
    <m/>
    <x v="1"/>
    <n v="0.5"/>
  </r>
  <r>
    <n v="1248"/>
    <s v="Packaging Tech - Update"/>
    <x v="43"/>
    <x v="251"/>
    <n v="1"/>
    <s v="99, 125"/>
    <x v="8"/>
    <m/>
    <x v="7"/>
    <s v="Masterfiles"/>
    <m/>
    <m/>
    <m/>
    <m/>
    <s v="upcoming"/>
    <s v="future"/>
    <n v="160"/>
    <s v="EE"/>
    <s v="WK4"/>
    <d v="2025-10-06T00:00:00"/>
    <m/>
    <x v="1"/>
    <n v="0.5"/>
  </r>
  <r>
    <n v="1249"/>
    <s v="Packaging Tech - Update"/>
    <x v="43"/>
    <x v="252"/>
    <n v="1"/>
    <s v="99, 125"/>
    <x v="8"/>
    <m/>
    <x v="7"/>
    <s v="Masterfiles"/>
    <m/>
    <m/>
    <m/>
    <m/>
    <s v="upcoming"/>
    <s v="future"/>
    <n v="160"/>
    <s v="EE"/>
    <s v="WK4"/>
    <d v="2025-10-06T00:00:00"/>
    <m/>
    <x v="1"/>
    <n v="0.5"/>
  </r>
  <r>
    <n v="1250"/>
    <s v="Packaging Tech - Update"/>
    <x v="43"/>
    <x v="253"/>
    <n v="1"/>
    <s v="99, 125"/>
    <x v="7"/>
    <m/>
    <x v="7"/>
    <s v="Masterfiles"/>
    <m/>
    <m/>
    <m/>
    <m/>
    <s v="upcoming"/>
    <s v="future"/>
    <n v="160"/>
    <s v="EE"/>
    <s v="WK4"/>
    <d v="2025-10-06T00:00:00"/>
    <m/>
    <x v="1"/>
    <n v="0.5"/>
  </r>
  <r>
    <n v="1251"/>
    <s v="Packaging Tech - Update"/>
    <x v="43"/>
    <x v="254"/>
    <n v="1"/>
    <s v="99, 125"/>
    <x v="7"/>
    <m/>
    <x v="7"/>
    <s v="Masterfiles"/>
    <m/>
    <m/>
    <m/>
    <m/>
    <s v="upcoming"/>
    <s v="future"/>
    <n v="160"/>
    <s v="EE"/>
    <s v="WK4"/>
    <d v="2025-10-06T00:00:00"/>
    <m/>
    <x v="1"/>
    <n v="0.5"/>
  </r>
  <r>
    <n v="1252"/>
    <s v="Packaging Tech - Update"/>
    <x v="44"/>
    <x v="255"/>
    <n v="1"/>
    <n v="99"/>
    <x v="8"/>
    <m/>
    <x v="7"/>
    <m/>
    <m/>
    <m/>
    <m/>
    <m/>
    <s v="upcoming"/>
    <s v="future"/>
    <n v="160"/>
    <s v="EE"/>
    <s v="WK4"/>
    <d v="2025-10-06T00:00:00"/>
    <m/>
    <x v="1"/>
    <n v="0.5"/>
  </r>
  <r>
    <n v="1253"/>
    <s v="Packaging Tech - Update"/>
    <x v="44"/>
    <x v="256"/>
    <n v="1"/>
    <n v="99"/>
    <x v="8"/>
    <m/>
    <x v="7"/>
    <m/>
    <m/>
    <m/>
    <m/>
    <m/>
    <s v="upcoming"/>
    <s v="future"/>
    <n v="160"/>
    <s v="EE"/>
    <s v="WK4"/>
    <d v="2025-10-06T00:00:00"/>
    <m/>
    <x v="1"/>
    <n v="0.5"/>
  </r>
  <r>
    <n v="1254"/>
    <s v="CA Finance Tax"/>
    <x v="45"/>
    <x v="257"/>
    <n v="1"/>
    <n v="105"/>
    <x v="79"/>
    <m/>
    <x v="8"/>
    <m/>
    <m/>
    <m/>
    <m/>
    <m/>
    <s v="upcoming"/>
    <s v="future"/>
    <n v="170"/>
    <s v="FF"/>
    <s v="WK5"/>
    <d v="2025-10-13T00:00:00"/>
    <m/>
    <x v="1"/>
    <n v="0.5"/>
  </r>
  <r>
    <n v="1255"/>
    <s v="CA Finance Tax"/>
    <x v="45"/>
    <x v="258"/>
    <n v="1"/>
    <n v="105"/>
    <x v="8"/>
    <m/>
    <x v="8"/>
    <m/>
    <m/>
    <m/>
    <m/>
    <m/>
    <s v="upcoming"/>
    <s v="future"/>
    <n v="170"/>
    <s v="FF"/>
    <s v="WK5"/>
    <d v="2025-10-13T00:00:00"/>
    <m/>
    <x v="1"/>
    <n v="0.5"/>
  </r>
  <r>
    <n v="1256"/>
    <s v="Category Finance - update"/>
    <x v="46"/>
    <x v="259"/>
    <n v="1"/>
    <n v="107"/>
    <x v="8"/>
    <m/>
    <x v="9"/>
    <m/>
    <m/>
    <m/>
    <m/>
    <m/>
    <s v="upcoming"/>
    <s v="future"/>
    <n v="180"/>
    <s v="FF"/>
    <s v="WK5"/>
    <d v="2025-10-13T00:00:00"/>
    <m/>
    <x v="1"/>
    <n v="0.5"/>
  </r>
  <r>
    <n v="1257"/>
    <s v="Data Integrity (DI) - Hierarchy"/>
    <x v="13"/>
    <x v="260"/>
    <n v="1"/>
    <n v="110"/>
    <x v="8"/>
    <m/>
    <x v="4"/>
    <m/>
    <m/>
    <m/>
    <m/>
    <m/>
    <s v="upcoming"/>
    <s v="future"/>
    <n v="190"/>
    <s v="FF"/>
    <s v="WK5"/>
    <d v="2025-10-13T00:00:00"/>
    <m/>
    <x v="1"/>
    <n v="0.5"/>
  </r>
  <r>
    <n v="1258"/>
    <s v="LIM - Approval/NIF Dashboard"/>
    <x v="47"/>
    <x v="261"/>
    <n v="1"/>
    <s v="71, 111"/>
    <x v="1"/>
    <m/>
    <x v="2"/>
    <m/>
    <m/>
    <s v="returning to previous team"/>
    <m/>
    <m/>
    <s v="upcoming"/>
    <s v="current"/>
    <n v="200"/>
    <s v="DD"/>
    <s v="WK3"/>
    <d v="2025-09-29T00:00:00"/>
    <m/>
    <x v="1"/>
    <n v="0.5"/>
  </r>
  <r>
    <n v="1259"/>
    <s v="LIM - Approval/NIF Dashboard"/>
    <x v="47"/>
    <x v="262"/>
    <n v="1"/>
    <s v="71, 111"/>
    <x v="8"/>
    <m/>
    <x v="2"/>
    <m/>
    <m/>
    <s v="can only return to one group at a time"/>
    <m/>
    <m/>
    <s v="upcoming"/>
    <s v="current"/>
    <n v="200"/>
    <s v="DD"/>
    <s v="WK3"/>
    <d v="2025-09-29T00:00:00"/>
    <m/>
    <x v="1"/>
    <n v="0.5"/>
  </r>
  <r>
    <n v="1260"/>
    <s v="Masterfiles - Approval"/>
    <x v="48"/>
    <x v="263"/>
    <n v="1"/>
    <n v="114"/>
    <x v="8"/>
    <m/>
    <x v="1"/>
    <m/>
    <m/>
    <m/>
    <m/>
    <m/>
    <s v="upcoming"/>
    <s v="future"/>
    <n v="210"/>
    <s v="HH"/>
    <s v="WK5"/>
    <d v="2025-10-13T00:00:00"/>
    <m/>
    <x v="1"/>
    <n v="0.5"/>
  </r>
  <r>
    <n v="1261"/>
    <s v="Masterfiles - Approval"/>
    <x v="48"/>
    <x v="264"/>
    <n v="1"/>
    <n v="114"/>
    <x v="8"/>
    <m/>
    <x v="1"/>
    <m/>
    <m/>
    <m/>
    <m/>
    <m/>
    <s v="upcoming"/>
    <s v="future"/>
    <n v="210"/>
    <s v="HH"/>
    <s v="WK5"/>
    <d v="2025-10-13T00:00:00"/>
    <m/>
    <x v="1"/>
    <n v="0.5"/>
  </r>
  <r>
    <n v="1262"/>
    <s v="Masterfiles - Approval"/>
    <x v="49"/>
    <x v="265"/>
    <n v="1"/>
    <n v="114"/>
    <x v="80"/>
    <m/>
    <x v="1"/>
    <m/>
    <m/>
    <m/>
    <m/>
    <m/>
    <s v="upcoming"/>
    <s v="future"/>
    <n v="210"/>
    <s v="HH"/>
    <s v="WK5"/>
    <d v="2025-10-13T00:00:00"/>
    <m/>
    <x v="1"/>
    <n v="0.5"/>
  </r>
  <r>
    <n v="1263"/>
    <s v="Masterfiles - Approval"/>
    <x v="50"/>
    <x v="266"/>
    <n v="0"/>
    <n v="115"/>
    <x v="0"/>
    <m/>
    <x v="1"/>
    <m/>
    <m/>
    <m/>
    <m/>
    <m/>
    <s v="upcoming"/>
    <s v="future"/>
    <n v="210"/>
    <s v="HH"/>
    <s v="WK5"/>
    <d v="2025-10-13T00:00:00"/>
    <m/>
    <x v="0"/>
    <n v="0"/>
  </r>
  <r>
    <n v="1264"/>
    <s v="Masterfiles - Approval"/>
    <x v="50"/>
    <x v="267"/>
    <n v="0"/>
    <n v="115"/>
    <x v="0"/>
    <m/>
    <x v="1"/>
    <m/>
    <m/>
    <m/>
    <m/>
    <m/>
    <s v="upcoming"/>
    <s v="future"/>
    <n v="210"/>
    <s v="HH"/>
    <s v="WK5"/>
    <d v="2025-10-13T00:00:00"/>
    <m/>
    <x v="0"/>
    <n v="0"/>
  </r>
  <r>
    <n v="1265"/>
    <s v="Masterfiles - Approval"/>
    <x v="50"/>
    <x v="268"/>
    <n v="0"/>
    <n v="115"/>
    <x v="0"/>
    <m/>
    <x v="1"/>
    <m/>
    <m/>
    <m/>
    <m/>
    <m/>
    <s v="upcoming"/>
    <s v="future"/>
    <n v="210"/>
    <s v="HH"/>
    <s v="WK5"/>
    <d v="2025-10-13T00:00:00"/>
    <m/>
    <x v="0"/>
    <n v="0"/>
  </r>
  <r>
    <n v="1266"/>
    <s v="Masterfiles - Approval"/>
    <x v="50"/>
    <x v="269"/>
    <n v="1"/>
    <n v="115"/>
    <x v="8"/>
    <m/>
    <x v="1"/>
    <m/>
    <m/>
    <m/>
    <s v="Sales_Org_CA_Tax  (LIM Forecast - field name: Canada Tax Code); see notes from 9/25/25"/>
    <m/>
    <s v="upcoming"/>
    <s v="future"/>
    <n v="210"/>
    <s v="HH"/>
    <s v="WK5"/>
    <d v="2025-10-13T00:00:00"/>
    <m/>
    <x v="1"/>
    <n v="0.5"/>
  </r>
  <r>
    <n v="1267"/>
    <s v="Masterfiles - Approval"/>
    <x v="51"/>
    <x v="270"/>
    <n v="1"/>
    <n v="118"/>
    <x v="72"/>
    <m/>
    <x v="1"/>
    <m/>
    <m/>
    <m/>
    <m/>
    <m/>
    <s v="upcoming"/>
    <s v="future"/>
    <n v="210"/>
    <s v="HH"/>
    <s v="WK5"/>
    <d v="2025-10-13T00:00:00"/>
    <m/>
    <x v="1"/>
    <n v="0.5"/>
  </r>
  <r>
    <n v="1268"/>
    <s v="Masterfiles - Approval"/>
    <x v="51"/>
    <x v="271"/>
    <n v="1"/>
    <n v="118"/>
    <x v="8"/>
    <m/>
    <x v="1"/>
    <m/>
    <m/>
    <m/>
    <m/>
    <m/>
    <s v="upcoming"/>
    <s v="future"/>
    <n v="210"/>
    <s v="HH"/>
    <s v="WK5"/>
    <d v="2025-10-13T00:00:00"/>
    <m/>
    <x v="1"/>
    <n v="0.5"/>
  </r>
  <r>
    <n v="1269"/>
    <s v="Masterfiles - Approval"/>
    <x v="51"/>
    <x v="272"/>
    <n v="1"/>
    <n v="118"/>
    <x v="72"/>
    <m/>
    <x v="1"/>
    <m/>
    <m/>
    <m/>
    <m/>
    <m/>
    <s v="upcoming"/>
    <s v="future"/>
    <n v="210"/>
    <s v="HH"/>
    <s v="WK5"/>
    <d v="2025-10-13T00:00:00"/>
    <m/>
    <x v="1"/>
    <n v="0.5"/>
  </r>
  <r>
    <n v="1270"/>
    <s v="Masterfiles - Approval"/>
    <x v="51"/>
    <x v="273"/>
    <n v="1"/>
    <n v="118"/>
    <x v="8"/>
    <m/>
    <x v="1"/>
    <m/>
    <m/>
    <m/>
    <m/>
    <m/>
    <s v="upcoming"/>
    <s v="future"/>
    <n v="210"/>
    <s v="HH"/>
    <s v="WK5"/>
    <d v="2025-10-13T00:00:00"/>
    <m/>
    <x v="1"/>
    <n v="0.5"/>
  </r>
  <r>
    <n v="1271"/>
    <s v="Masterfiles - Approval"/>
    <x v="51"/>
    <x v="274"/>
    <n v="1"/>
    <n v="118"/>
    <x v="72"/>
    <m/>
    <x v="1"/>
    <m/>
    <m/>
    <m/>
    <m/>
    <m/>
    <s v="upcoming"/>
    <s v="future"/>
    <n v="210"/>
    <s v="HH"/>
    <s v="WK5"/>
    <d v="2025-10-13T00:00:00"/>
    <m/>
    <x v="1"/>
    <n v="0.5"/>
  </r>
  <r>
    <n v="1272"/>
    <s v="Masterfiles - Approval"/>
    <x v="51"/>
    <x v="275"/>
    <n v="1"/>
    <n v="118"/>
    <x v="8"/>
    <m/>
    <x v="1"/>
    <m/>
    <m/>
    <m/>
    <m/>
    <m/>
    <s v="upcoming"/>
    <s v="future"/>
    <n v="210"/>
    <s v="HH"/>
    <s v="WK5"/>
    <d v="2025-10-13T00:00:00"/>
    <m/>
    <x v="1"/>
    <n v="0.5"/>
  </r>
  <r>
    <n v="1273"/>
    <s v="Masterfiles - Approval"/>
    <x v="51"/>
    <x v="276"/>
    <n v="1"/>
    <n v="118"/>
    <x v="72"/>
    <m/>
    <x v="1"/>
    <m/>
    <m/>
    <m/>
    <m/>
    <m/>
    <s v="upcoming"/>
    <s v="future"/>
    <n v="210"/>
    <s v="HH"/>
    <s v="WK5"/>
    <d v="2025-10-13T00:00:00"/>
    <m/>
    <x v="1"/>
    <n v="0.5"/>
  </r>
  <r>
    <n v="1274"/>
    <s v="Masterfiles - Approval"/>
    <x v="51"/>
    <x v="277"/>
    <n v="1"/>
    <n v="118"/>
    <x v="8"/>
    <m/>
    <x v="1"/>
    <m/>
    <m/>
    <m/>
    <m/>
    <m/>
    <s v="upcoming"/>
    <s v="future"/>
    <n v="210"/>
    <s v="HH"/>
    <s v="WK5"/>
    <d v="2025-10-13T00:00:00"/>
    <m/>
    <x v="1"/>
    <n v="0.5"/>
  </r>
  <r>
    <n v="1275"/>
    <s v="Masterfiles - Approval"/>
    <x v="51"/>
    <x v="278"/>
    <n v="1"/>
    <n v="118"/>
    <x v="72"/>
    <m/>
    <x v="1"/>
    <m/>
    <m/>
    <m/>
    <m/>
    <m/>
    <s v="upcoming"/>
    <s v="future"/>
    <n v="210"/>
    <s v="HH"/>
    <s v="WK5"/>
    <d v="2025-10-13T00:00:00"/>
    <m/>
    <x v="1"/>
    <n v="0.5"/>
  </r>
  <r>
    <n v="1276"/>
    <s v="Masterfiles - Approval"/>
    <x v="51"/>
    <x v="279"/>
    <n v="1"/>
    <n v="118"/>
    <x v="8"/>
    <m/>
    <x v="1"/>
    <m/>
    <m/>
    <m/>
    <m/>
    <m/>
    <s v="upcoming"/>
    <s v="future"/>
    <n v="210"/>
    <s v="HH"/>
    <s v="WK5"/>
    <d v="2025-10-13T00:00:00"/>
    <m/>
    <x v="1"/>
    <n v="0.5"/>
  </r>
  <r>
    <n v="1277"/>
    <s v="Masterfiles - Approval"/>
    <x v="51"/>
    <x v="280"/>
    <n v="1"/>
    <n v="118"/>
    <x v="43"/>
    <m/>
    <x v="1"/>
    <m/>
    <m/>
    <m/>
    <m/>
    <m/>
    <s v="upcoming"/>
    <s v="future"/>
    <n v="210"/>
    <s v="HH"/>
    <s v="WK5"/>
    <d v="2025-10-13T00:00:00"/>
    <m/>
    <x v="1"/>
    <n v="0.5"/>
  </r>
  <r>
    <n v="1278"/>
    <s v="Masterfiles - Create Plant Extensions, pricing &amp; BOM's"/>
    <x v="52"/>
    <x v="281"/>
    <n v="1"/>
    <n v="120"/>
    <x v="78"/>
    <m/>
    <x v="1"/>
    <m/>
    <m/>
    <m/>
    <m/>
    <m/>
    <s v="upcoming"/>
    <s v="future"/>
    <n v="220"/>
    <s v="HH"/>
    <s v="WK5"/>
    <d v="2025-10-13T00:00:00"/>
    <m/>
    <x v="1"/>
    <n v="0.5"/>
  </r>
  <r>
    <n v="1279"/>
    <s v="Masterfiles - Create Plant Extensions, pricing &amp; BOM's"/>
    <x v="52"/>
    <x v="282"/>
    <n v="1"/>
    <n v="120"/>
    <x v="78"/>
    <m/>
    <x v="1"/>
    <m/>
    <m/>
    <m/>
    <m/>
    <m/>
    <s v="upcoming"/>
    <s v="future"/>
    <n v="220"/>
    <s v="HH"/>
    <s v="WK5"/>
    <d v="2025-10-13T00:00:00"/>
    <m/>
    <x v="1"/>
    <n v="0.5"/>
  </r>
  <r>
    <n v="1280"/>
    <s v="Masterfiles - Create Plant Extensions, pricing &amp; BOM's"/>
    <x v="52"/>
    <x v="283"/>
    <n v="0"/>
    <n v="120"/>
    <x v="0"/>
    <m/>
    <x v="1"/>
    <m/>
    <m/>
    <m/>
    <m/>
    <m/>
    <s v="upcoming"/>
    <s v="future"/>
    <n v="220"/>
    <s v="HH"/>
    <s v="WK5"/>
    <d v="2025-10-13T00:00:00"/>
    <m/>
    <x v="0"/>
    <n v="0"/>
  </r>
  <r>
    <n v="1281"/>
    <s v="Masterfiles - Create Plant Extensions, pricing &amp; BOM's"/>
    <x v="53"/>
    <x v="284"/>
    <n v="1"/>
    <n v="120"/>
    <x v="72"/>
    <m/>
    <x v="1"/>
    <m/>
    <m/>
    <m/>
    <m/>
    <m/>
    <s v="upcoming"/>
    <s v="future"/>
    <n v="220"/>
    <s v="HH"/>
    <s v="WK5"/>
    <d v="2025-10-13T00:00:00"/>
    <m/>
    <x v="1"/>
    <n v="0.5"/>
  </r>
  <r>
    <n v="1282"/>
    <s v="Masterfiles - Create Plant Extensions, pricing &amp; BOM's"/>
    <x v="53"/>
    <x v="285"/>
    <n v="1"/>
    <n v="120"/>
    <x v="8"/>
    <m/>
    <x v="1"/>
    <m/>
    <m/>
    <m/>
    <m/>
    <m/>
    <s v="upcoming"/>
    <s v="future"/>
    <n v="220"/>
    <s v="HH"/>
    <s v="WK5"/>
    <d v="2025-10-13T00:00:00"/>
    <m/>
    <x v="1"/>
    <n v="0.5"/>
  </r>
  <r>
    <n v="1283"/>
    <s v="Masterfiles - Create Plant Extensions, pricing &amp; BOM's"/>
    <x v="53"/>
    <x v="286"/>
    <n v="1"/>
    <n v="120"/>
    <x v="8"/>
    <m/>
    <x v="1"/>
    <m/>
    <m/>
    <m/>
    <m/>
    <m/>
    <s v="upcoming"/>
    <s v="future"/>
    <n v="220"/>
    <s v="HH"/>
    <s v="WK5"/>
    <d v="2025-10-13T00:00:00"/>
    <m/>
    <x v="1"/>
    <n v="0.5"/>
  </r>
  <r>
    <n v="1284"/>
    <s v="Masterfiles - Create Plant Extensions, pricing &amp; BOM's"/>
    <x v="54"/>
    <x v="287"/>
    <n v="1"/>
    <n v="125"/>
    <x v="8"/>
    <m/>
    <x v="1"/>
    <m/>
    <m/>
    <m/>
    <m/>
    <m/>
    <s v="upcoming"/>
    <s v="future"/>
    <n v="220"/>
    <s v="HH"/>
    <s v="WK5"/>
    <d v="2025-10-13T00:00:00"/>
    <m/>
    <x v="1"/>
    <n v="0.5"/>
  </r>
  <r>
    <n v="1285"/>
    <s v="Masterfiles - Create Plant Extensions, pricing &amp; BOM's"/>
    <x v="54"/>
    <x v="288"/>
    <n v="1"/>
    <n v="125"/>
    <x v="8"/>
    <m/>
    <x v="1"/>
    <m/>
    <m/>
    <m/>
    <m/>
    <m/>
    <s v="upcoming"/>
    <s v="future"/>
    <n v="220"/>
    <s v="HH"/>
    <s v="WK5"/>
    <d v="2025-10-13T00:00:00"/>
    <m/>
    <x v="1"/>
    <n v="0.5"/>
  </r>
  <r>
    <n v="1286"/>
    <s v="Masterfiles - Create Plant Extensions, pricing &amp; BOM's"/>
    <x v="54"/>
    <x v="289"/>
    <n v="1"/>
    <n v="125"/>
    <x v="8"/>
    <m/>
    <x v="1"/>
    <m/>
    <m/>
    <m/>
    <m/>
    <m/>
    <s v="upcoming"/>
    <s v="future"/>
    <n v="220"/>
    <s v="HH"/>
    <s v="WK5"/>
    <d v="2025-10-13T00:00:00"/>
    <m/>
    <x v="1"/>
    <n v="0.5"/>
  </r>
  <r>
    <n v="1287"/>
    <s v="Masterfiles - Create Plant Extensions, pricing &amp; BOM's"/>
    <x v="55"/>
    <x v="290"/>
    <n v="1"/>
    <n v="125"/>
    <x v="72"/>
    <m/>
    <x v="1"/>
    <m/>
    <m/>
    <m/>
    <m/>
    <m/>
    <s v="upcoming"/>
    <s v="future"/>
    <n v="220"/>
    <s v="HH"/>
    <s v="WK5"/>
    <d v="2025-10-13T00:00:00"/>
    <m/>
    <x v="1"/>
    <n v="0.5"/>
  </r>
  <r>
    <n v="1288"/>
    <s v="Masterfiles - Create Plant Extensions, pricing &amp; BOM's"/>
    <x v="55"/>
    <x v="291"/>
    <n v="1"/>
    <n v="125"/>
    <x v="8"/>
    <m/>
    <x v="1"/>
    <m/>
    <m/>
    <m/>
    <m/>
    <m/>
    <s v="upcoming"/>
    <s v="future"/>
    <n v="220"/>
    <s v="HH"/>
    <s v="WK5"/>
    <d v="2025-10-13T00:00:00"/>
    <m/>
    <x v="1"/>
    <n v="0.5"/>
  </r>
  <r>
    <n v="1289"/>
    <s v="Masterfiles - Create Plant Extensions, pricing &amp; BOM's"/>
    <x v="55"/>
    <x v="292"/>
    <n v="1"/>
    <n v="125"/>
    <x v="8"/>
    <m/>
    <x v="1"/>
    <m/>
    <m/>
    <m/>
    <m/>
    <m/>
    <s v="upcoming"/>
    <s v="future"/>
    <n v="220"/>
    <s v="HH"/>
    <s v="WK5"/>
    <d v="2025-10-13T00:00:00"/>
    <m/>
    <x v="1"/>
    <n v="0.5"/>
  </r>
  <r>
    <n v="1290"/>
    <s v="Masterfiles - Create Plant Extensions, pricing &amp; BOM's"/>
    <x v="55"/>
    <x v="293"/>
    <n v="1"/>
    <n v="125"/>
    <x v="8"/>
    <m/>
    <x v="1"/>
    <m/>
    <m/>
    <m/>
    <m/>
    <m/>
    <s v="upcoming"/>
    <s v="future"/>
    <n v="220"/>
    <s v="HH"/>
    <s v="WK5"/>
    <d v="2025-10-13T00:00:00"/>
    <m/>
    <x v="1"/>
    <n v="0.5"/>
  </r>
  <r>
    <n v="1291"/>
    <s v="Masterfiles - Create Plant Extensions, pricing &amp; BOM's"/>
    <x v="56"/>
    <x v="294"/>
    <n v="1"/>
    <n v="125"/>
    <x v="7"/>
    <m/>
    <x v="1"/>
    <m/>
    <m/>
    <m/>
    <m/>
    <m/>
    <s v="upcoming"/>
    <s v="future"/>
    <n v="220"/>
    <s v="HH"/>
    <s v="WK5"/>
    <d v="2025-10-13T00:00:00"/>
    <m/>
    <x v="1"/>
    <n v="0.5"/>
  </r>
  <r>
    <n v="1292"/>
    <s v="Masterfiles - Create Plant Extensions, pricing &amp; BOM's"/>
    <x v="56"/>
    <x v="295"/>
    <n v="1"/>
    <n v="125"/>
    <x v="8"/>
    <m/>
    <x v="1"/>
    <m/>
    <m/>
    <m/>
    <s v=" 1292 dependent on 1012 DTC"/>
    <m/>
    <s v="upcoming"/>
    <s v="future"/>
    <n v="220"/>
    <s v="HH"/>
    <s v="WK5"/>
    <d v="2025-10-13T00:00:00"/>
    <m/>
    <x v="1"/>
    <n v="0.5"/>
  </r>
  <r>
    <n v="1293"/>
    <s v="Masterfiles - Create Plant Extensions, pricing &amp; BOM's"/>
    <x v="57"/>
    <x v="296"/>
    <n v="1"/>
    <n v="126"/>
    <x v="72"/>
    <m/>
    <x v="1"/>
    <m/>
    <m/>
    <s v="Manually perform all steps"/>
    <m/>
    <m/>
    <s v="upcoming"/>
    <s v="future"/>
    <n v="220"/>
    <s v="HH"/>
    <s v="WK5"/>
    <d v="2025-10-13T00:00:00"/>
    <m/>
    <x v="0"/>
    <n v="0"/>
  </r>
  <r>
    <n v="1294"/>
    <s v="Masterfiles - Create Plant Extensions, pricing &amp; BOM's"/>
    <x v="58"/>
    <x v="297"/>
    <n v="1"/>
    <n v="126"/>
    <x v="43"/>
    <m/>
    <x v="1"/>
    <m/>
    <m/>
    <m/>
    <m/>
    <m/>
    <s v="upcoming"/>
    <s v="future"/>
    <n v="220"/>
    <s v="HH"/>
    <s v="WK5"/>
    <d v="2025-10-13T00:00:00"/>
    <m/>
    <x v="1"/>
    <n v="0.5"/>
  </r>
  <r>
    <n v="1295"/>
    <s v="Requestor - Req Launch DTC"/>
    <x v="59"/>
    <x v="298"/>
    <n v="1"/>
    <n v="128"/>
    <x v="28"/>
    <m/>
    <x v="0"/>
    <m/>
    <m/>
    <m/>
    <m/>
    <m/>
    <s v="upcoming"/>
    <s v="current"/>
    <n v="230"/>
    <s v="CC"/>
    <s v="WK3"/>
    <d v="2025-09-29T00:00:00"/>
    <n v="8"/>
    <x v="1"/>
    <n v="0.5"/>
  </r>
  <r>
    <n v="1296"/>
    <s v="Requestor - Req Launch DTC"/>
    <x v="59"/>
    <x v="299"/>
    <n v="1"/>
    <n v="128"/>
    <x v="8"/>
    <m/>
    <x v="0"/>
    <m/>
    <m/>
    <m/>
    <m/>
    <m/>
    <s v="upcoming"/>
    <s v="current"/>
    <n v="230"/>
    <s v="CC"/>
    <s v="WK3"/>
    <d v="2025-09-29T00:00:00"/>
    <n v="8"/>
    <x v="1"/>
    <n v="0.5"/>
  </r>
  <r>
    <n v="1297"/>
    <s v="Requestor - Req Launch DTC"/>
    <x v="59"/>
    <x v="300"/>
    <n v="0"/>
    <n v="128"/>
    <x v="81"/>
    <m/>
    <x v="0"/>
    <m/>
    <m/>
    <m/>
    <m/>
    <m/>
    <s v="upcoming"/>
    <s v="current"/>
    <n v="230"/>
    <s v="CC"/>
    <s v="WK3"/>
    <d v="2025-09-29T00:00:00"/>
    <n v="8"/>
    <x v="2"/>
    <n v="0"/>
  </r>
  <r>
    <n v="1298"/>
    <s v="Requestor - Req Launch DTC"/>
    <x v="59"/>
    <x v="301"/>
    <n v="0"/>
    <n v="129"/>
    <x v="81"/>
    <m/>
    <x v="0"/>
    <m/>
    <m/>
    <m/>
    <m/>
    <m/>
    <s v="upcoming"/>
    <s v="current"/>
    <n v="230"/>
    <s v="CC"/>
    <s v="WK3"/>
    <d v="2025-09-29T00:00:00"/>
    <n v="8"/>
    <x v="2"/>
    <n v="0"/>
  </r>
  <r>
    <n v="1299"/>
    <s v="Requestor - Req Launch DTC"/>
    <x v="59"/>
    <x v="302"/>
    <n v="0"/>
    <n v="130"/>
    <x v="81"/>
    <m/>
    <x v="0"/>
    <m/>
    <m/>
    <m/>
    <m/>
    <m/>
    <s v="upcoming"/>
    <s v="current"/>
    <n v="230"/>
    <s v="CC"/>
    <s v="WK3"/>
    <d v="2025-09-29T00:00:00"/>
    <n v="8"/>
    <x v="2"/>
    <n v="0"/>
  </r>
  <r>
    <n v="1300"/>
    <s v="Requestor - Req Launch DTC"/>
    <x v="60"/>
    <x v="303"/>
    <n v="1"/>
    <n v="130"/>
    <x v="82"/>
    <m/>
    <x v="0"/>
    <m/>
    <m/>
    <m/>
    <m/>
    <m/>
    <s v="upcoming"/>
    <s v="current"/>
    <n v="230"/>
    <s v="CC"/>
    <s v="WK3"/>
    <d v="2025-09-29T00:00:00"/>
    <n v="8"/>
    <x v="3"/>
    <n v="1"/>
  </r>
  <r>
    <n v="1301"/>
    <s v="Requestor - Req Launch DTC"/>
    <x v="61"/>
    <x v="304"/>
    <n v="1"/>
    <n v="130"/>
    <x v="7"/>
    <m/>
    <x v="0"/>
    <m/>
    <m/>
    <m/>
    <s v=" 1301 dependent on 1012 DTC"/>
    <m/>
    <s v="upcoming"/>
    <s v="current"/>
    <n v="230"/>
    <s v="CC"/>
    <s v="WK3"/>
    <d v="2025-09-29T00:00:00"/>
    <n v="8"/>
    <x v="1"/>
    <n v="0.5"/>
  </r>
  <r>
    <n v="1302"/>
    <s v="Requestor - Req Launch DTC"/>
    <x v="61"/>
    <x v="305"/>
    <n v="0"/>
    <n v="130"/>
    <x v="81"/>
    <m/>
    <x v="0"/>
    <m/>
    <m/>
    <m/>
    <s v=" 1302 dependent on 1012 DTC"/>
    <m/>
    <s v="upcoming"/>
    <s v="current"/>
    <n v="230"/>
    <s v="CC"/>
    <s v="WK3"/>
    <d v="2025-09-29T00:00:00"/>
    <n v="8"/>
    <x v="2"/>
    <n v="0"/>
  </r>
  <r>
    <n v="1303"/>
    <s v="Requestor - Req Launch DTC"/>
    <x v="61"/>
    <x v="306"/>
    <n v="0"/>
    <n v="130"/>
    <x v="81"/>
    <m/>
    <x v="0"/>
    <m/>
    <m/>
    <m/>
    <m/>
    <m/>
    <s v="upcoming"/>
    <s v="current"/>
    <n v="230"/>
    <s v="CC"/>
    <s v="WK3"/>
    <d v="2025-09-29T00:00:00"/>
    <n v="8"/>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7B1F3E-9B8E-48A0-BFB2-A67AB83B2686}" name="PivotTable4" cacheId="567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S6:AU31" firstHeaderRow="2" firstDataRow="2" firstDataCol="2"/>
  <pivotFields count="27">
    <pivotField compact="0" outline="0" subtotalTop="0" showAll="0" defaultSubtotal="0"/>
    <pivotField axis="axisRow" compact="0" outline="0" subtotalTop="0" showAll="0" defaultSubtotal="0">
      <items count="23">
        <item x="16"/>
        <item x="17"/>
        <item x="18"/>
        <item x="12"/>
        <item x="11"/>
        <item x="19"/>
        <item x="4"/>
        <item x="1"/>
        <item x="7"/>
        <item x="2"/>
        <item x="10"/>
        <item x="8"/>
        <item x="20"/>
        <item x="21"/>
        <item x="3"/>
        <item x="6"/>
        <item x="14"/>
        <item x="15"/>
        <item x="13"/>
        <item x="0"/>
        <item x="22"/>
        <item x="5"/>
        <item x="9"/>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multipleItemSelectionAllowed="1" showAll="0" defaultSubtotal="0">
      <items count="7">
        <item x="2"/>
        <item x="0"/>
        <item m="1" x="5"/>
        <item x="3"/>
        <item m="1" x="6"/>
        <item x="1"/>
        <item x="4"/>
      </items>
    </pivotField>
    <pivotField compact="0" outline="0" subtotalTop="0" showAll="0" defaultSubtotal="0"/>
    <pivotField axis="axisRow" compact="0" outline="0" subtotalTop="0" showAll="0" defaultSubtotal="0">
      <items count="23">
        <item x="0"/>
        <item x="1"/>
        <item x="2"/>
        <item x="3"/>
        <item x="4"/>
        <item x="6"/>
        <item x="7"/>
        <item x="8"/>
        <item x="9"/>
        <item x="5"/>
        <item x="10"/>
        <item x="11"/>
        <item x="12"/>
        <item x="13"/>
        <item x="14"/>
        <item x="15"/>
        <item x="16"/>
        <item x="17"/>
        <item x="18"/>
        <item x="19"/>
        <item x="20"/>
        <item x="21"/>
        <item x="22"/>
      </items>
    </pivotField>
    <pivotField compact="0" outline="0" subtotalTop="0" showAll="0" sortType="ascending"/>
    <pivotField compact="0" outline="0" subtotalTop="0" showAll="0">
      <items count="7">
        <item x="1"/>
        <item x="0"/>
        <item x="2"/>
        <item x="4"/>
        <item x="3"/>
        <item m="1" x="5"/>
        <item t="default"/>
      </items>
    </pivotField>
    <pivotField compact="0" numFmtId="14" outline="0" subtotalTop="0" showAll="0" defaultSubtotal="0">
      <items count="5">
        <item x="1"/>
        <item x="0"/>
        <item x="2"/>
        <item x="4"/>
        <item x="3"/>
      </items>
    </pivotField>
    <pivotField compact="0" outline="0" showAll="0" defaultSubtotal="0"/>
    <pivotField compact="0" outline="0" subtotalTop="0" showAll="0" sortType="descending" defaultSubtotal="0"/>
    <pivotField compact="0" outline="0" subtotalTop="0" showAll="0" defaultSubtotal="0"/>
    <pivotField compact="0" outline="0" subtotalTop="0" showAll="0" defaultSubtotal="0">
      <items count="11">
        <item x="2"/>
        <item x="3"/>
        <item x="4"/>
        <item x="1"/>
        <item m="1" x="10"/>
        <item m="1" x="9"/>
        <item m="1" x="8"/>
        <item x="0"/>
        <item x="5"/>
        <item x="7"/>
        <item x="6"/>
      </items>
    </pivotField>
    <pivotField compact="0" outline="0" subtotalTop="0" showAll="0" defaultSubtotal="0"/>
    <pivotField compact="0" outline="0" subtotalTop="0" showAll="0" defaultSubtotal="0"/>
    <pivotField compact="0" outline="0" subtotalTop="0" showAll="0" defaultSubtotal="0"/>
  </pivotFields>
  <rowFields count="2">
    <field x="16"/>
    <field x="1"/>
  </rowFields>
  <rowItems count="24">
    <i>
      <x/>
      <x v="19"/>
    </i>
    <i>
      <x v="1"/>
      <x v="7"/>
    </i>
    <i>
      <x v="2"/>
      <x v="9"/>
    </i>
    <i>
      <x v="3"/>
      <x v="14"/>
    </i>
    <i>
      <x v="4"/>
      <x v="6"/>
    </i>
    <i>
      <x v="5"/>
      <x v="15"/>
    </i>
    <i>
      <x v="6"/>
      <x v="8"/>
    </i>
    <i>
      <x v="7"/>
      <x v="11"/>
    </i>
    <i>
      <x v="8"/>
      <x v="22"/>
    </i>
    <i>
      <x v="9"/>
      <x v="21"/>
    </i>
    <i>
      <x v="10"/>
      <x v="10"/>
    </i>
    <i>
      <x v="11"/>
      <x v="4"/>
    </i>
    <i>
      <x v="12"/>
      <x v="3"/>
    </i>
    <i>
      <x v="13"/>
      <x v="18"/>
    </i>
    <i>
      <x v="14"/>
      <x v="16"/>
    </i>
    <i>
      <x v="15"/>
      <x v="17"/>
    </i>
    <i>
      <x v="16"/>
      <x/>
    </i>
    <i>
      <x v="17"/>
      <x v="1"/>
    </i>
    <i>
      <x v="18"/>
      <x v="2"/>
    </i>
    <i>
      <x v="19"/>
      <x v="5"/>
    </i>
    <i>
      <x v="20"/>
      <x v="12"/>
    </i>
    <i>
      <x v="21"/>
      <x v="13"/>
    </i>
    <i>
      <x v="22"/>
      <x v="20"/>
    </i>
    <i t="grand">
      <x/>
    </i>
  </rowItems>
  <colItems count="1">
    <i/>
  </colItems>
  <dataFields count="1">
    <dataField name="# fields" fld="3" subtotal="count" baseField="1" baseItem="19"/>
  </dataFields>
  <formats count="11">
    <format dxfId="48">
      <pivotArea field="14" type="button" dataOnly="0" labelOnly="1" outline="0"/>
    </format>
    <format dxfId="49">
      <pivotArea dataOnly="0" labelOnly="1" grandCol="1" outline="0" fieldPosition="0"/>
    </format>
    <format dxfId="50">
      <pivotArea field="18" type="button" dataOnly="0" labelOnly="1" outline="0"/>
    </format>
    <format dxfId="51">
      <pivotArea field="19" type="button" dataOnly="0" labelOnly="1" outline="0"/>
    </format>
    <format dxfId="52">
      <pivotArea field="23" type="button" dataOnly="0" labelOnly="1" outline="0"/>
    </format>
    <format dxfId="53">
      <pivotArea field="16" type="button" dataOnly="0" labelOnly="1" outline="0" axis="axisRow" fieldPosition="0"/>
    </format>
    <format dxfId="54">
      <pivotArea field="1" type="button" dataOnly="0" labelOnly="1" outline="0" axis="axisRow" fieldPosition="1"/>
    </format>
    <format dxfId="55">
      <pivotArea dataOnly="0" labelOnly="1" outline="0" fieldPosition="0">
        <references count="1">
          <reference field="4294967294" count="1">
            <x v="0"/>
          </reference>
        </references>
      </pivotArea>
    </format>
    <format dxfId="56">
      <pivotArea outline="0" fieldPosition="0">
        <references count="2">
          <reference field="1" count="1" selected="0">
            <x v="19"/>
          </reference>
          <reference field="16" count="1" selected="0">
            <x v="0"/>
          </reference>
        </references>
      </pivotArea>
    </format>
    <format dxfId="57">
      <pivotArea dataOnly="0" labelOnly="1" outline="0" fieldPosition="0">
        <references count="1">
          <reference field="16" count="1">
            <x v="0"/>
          </reference>
        </references>
      </pivotArea>
    </format>
    <format dxfId="58">
      <pivotArea dataOnly="0" labelOnly="1" outline="0" fieldPosition="0">
        <references count="2">
          <reference field="1" count="1">
            <x v="19"/>
          </reference>
          <reference field="16"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BD1FD7-A22E-4DA3-A635-7671DF9CD55C}" name="PivotTable1" cacheId="567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6:L320" firstHeaderRow="1" firstDataRow="2" firstDataCol="7"/>
  <pivotFields count="27">
    <pivotField compact="0" outline="0" subtotalTop="0" showAll="0" defaultSubtotal="0"/>
    <pivotField axis="axisRow" compact="0" outline="0" subtotalTop="0" showAll="0" defaultSubtotal="0">
      <items count="23">
        <item x="16"/>
        <item x="17"/>
        <item x="18"/>
        <item x="12"/>
        <item x="11"/>
        <item x="19"/>
        <item x="4"/>
        <item x="1"/>
        <item x="7"/>
        <item x="2"/>
        <item x="10"/>
        <item x="8"/>
        <item x="20"/>
        <item x="21"/>
        <item x="3"/>
        <item x="6"/>
        <item x="14"/>
        <item x="15"/>
        <item x="13"/>
        <item x="0"/>
        <item x="22"/>
        <item x="5"/>
        <item x="9"/>
      </items>
    </pivotField>
    <pivotField compact="0" outline="0" showAll="0" defaultSubtotal="0"/>
    <pivotField axis="axisRow" dataField="1" compact="0" outline="0" showAll="0" defaultSubtotal="0">
      <items count="340">
        <item x="296"/>
        <item x="258"/>
        <item x="260"/>
        <item x="209"/>
        <item x="208"/>
        <item x="262"/>
        <item x="261"/>
        <item x="69"/>
        <item x="140"/>
        <item x="205"/>
        <item x="82"/>
        <item x="273"/>
        <item x="277"/>
        <item x="275"/>
        <item x="279"/>
        <item x="271"/>
        <item x="237"/>
        <item x="256"/>
        <item x="117"/>
        <item x="300"/>
        <item x="146"/>
        <item x="147"/>
        <item x="148"/>
        <item x="149"/>
        <item x="301"/>
        <item x="70"/>
        <item m="1" x="336"/>
        <item x="54"/>
        <item x="116"/>
        <item x="167"/>
        <item x="166"/>
        <item x="168"/>
        <item x="26"/>
        <item x="290"/>
        <item x="182"/>
        <item x="119"/>
        <item x="108"/>
        <item x="109"/>
        <item x="17"/>
        <item x="18"/>
        <item m="1" x="316"/>
        <item m="1" x="313"/>
        <item m="1" x="318"/>
        <item x="144"/>
        <item x="172"/>
        <item x="195"/>
        <item x="236"/>
        <item x="24"/>
        <item x="23"/>
        <item x="105"/>
        <item m="1" x="339"/>
        <item x="64"/>
        <item x="272"/>
        <item x="198"/>
        <item x="303"/>
        <item x="243"/>
        <item x="288"/>
        <item x="248"/>
        <item x="247"/>
        <item x="187"/>
        <item x="193"/>
        <item x="50"/>
        <item x="159"/>
        <item x="160"/>
        <item x="298"/>
        <item x="203"/>
        <item x="94"/>
        <item x="137"/>
        <item x="284"/>
        <item x="74"/>
        <item x="59"/>
        <item x="60"/>
        <item m="1" x="319"/>
        <item x="212"/>
        <item x="134"/>
        <item x="28"/>
        <item m="1" x="334"/>
        <item m="1" x="338"/>
        <item x="251"/>
        <item x="245"/>
        <item x="244"/>
        <item x="196"/>
        <item x="265"/>
        <item x="305"/>
        <item x="295"/>
        <item x="58"/>
        <item x="86"/>
        <item x="85"/>
        <item x="150"/>
        <item x="259"/>
        <item x="99"/>
        <item x="176"/>
        <item x="100"/>
        <item x="114"/>
        <item x="7"/>
        <item x="131"/>
        <item x="214"/>
        <item x="183"/>
        <item x="126"/>
        <item x="246"/>
        <item x="184"/>
        <item x="77"/>
        <item x="79"/>
        <item m="1" x="326"/>
        <item x="241"/>
        <item x="122"/>
        <item x="93"/>
        <item m="1" x="328"/>
        <item m="1" x="310"/>
        <item m="1" x="321"/>
        <item m="1" x="309"/>
        <item m="1" x="333"/>
        <item m="1" x="307"/>
        <item m="1" x="330"/>
        <item m="1" x="315"/>
        <item m="1" x="308"/>
        <item m="1" x="314"/>
        <item m="1" x="320"/>
        <item x="73"/>
        <item x="98"/>
        <item x="128"/>
        <item x="306"/>
        <item x="120"/>
        <item x="133"/>
        <item x="25"/>
        <item x="5"/>
        <item x="276"/>
        <item x="53"/>
        <item x="36"/>
        <item x="40"/>
        <item x="181"/>
        <item x="49"/>
        <item x="95"/>
        <item x="96"/>
        <item x="138"/>
        <item x="57"/>
        <item x="129"/>
        <item x="180"/>
        <item x="130"/>
        <item x="197"/>
        <item x="84"/>
        <item x="145"/>
        <item x="257"/>
        <item x="71"/>
        <item x="179"/>
        <item x="286"/>
        <item x="266"/>
        <item x="291"/>
        <item x="89"/>
        <item x="43"/>
        <item x="103"/>
        <item x="102"/>
        <item x="281"/>
        <item x="210"/>
        <item x="227"/>
        <item x="218"/>
        <item x="219"/>
        <item x="92"/>
        <item x="217"/>
        <item x="226"/>
        <item x="216"/>
        <item x="83"/>
        <item x="213"/>
        <item x="91"/>
        <item x="185"/>
        <item x="255"/>
        <item x="186"/>
        <item x="268"/>
        <item x="267"/>
        <item x="293"/>
        <item x="189"/>
        <item x="250"/>
        <item x="62"/>
        <item x="274"/>
        <item x="287"/>
        <item x="292"/>
        <item x="161"/>
        <item x="152"/>
        <item x="235"/>
        <item x="230"/>
        <item x="231"/>
        <item x="232"/>
        <item x="46"/>
        <item x="225"/>
        <item x="220"/>
        <item x="201"/>
        <item x="202"/>
        <item x="45"/>
        <item x="188"/>
        <item x="240"/>
        <item x="278"/>
        <item x="65"/>
        <item x="67"/>
        <item x="63"/>
        <item x="66"/>
        <item x="211"/>
        <item x="192"/>
        <item x="153"/>
        <item x="285"/>
        <item x="282"/>
        <item x="283"/>
        <item x="234"/>
        <item x="48"/>
        <item x="199"/>
        <item x="200"/>
        <item x="47"/>
        <item x="151"/>
        <item x="238"/>
        <item x="178"/>
        <item m="1" x="335"/>
        <item x="55"/>
        <item x="38"/>
        <item m="1" x="317"/>
        <item x="8"/>
        <item x="10"/>
        <item x="9"/>
        <item x="15"/>
        <item x="14"/>
        <item x="171"/>
        <item x="170"/>
        <item x="143"/>
        <item x="142"/>
        <item x="289"/>
        <item x="61"/>
        <item x="88"/>
        <item x="157"/>
        <item x="4"/>
        <item x="2"/>
        <item x="1"/>
        <item x="0"/>
        <item x="270"/>
        <item x="299"/>
        <item x="174"/>
        <item x="175"/>
        <item x="173"/>
        <item x="242"/>
        <item x="51"/>
        <item x="13"/>
        <item x="302"/>
        <item x="56"/>
        <item x="280"/>
        <item x="16"/>
        <item x="162"/>
        <item x="154"/>
        <item x="81"/>
        <item x="177"/>
        <item x="87"/>
        <item x="229"/>
        <item x="223"/>
        <item x="224"/>
        <item x="228"/>
        <item x="221"/>
        <item x="222"/>
        <item x="21"/>
        <item x="22"/>
        <item x="19"/>
        <item x="20"/>
        <item x="141"/>
        <item x="156"/>
        <item x="207"/>
        <item x="107"/>
        <item x="106"/>
        <item x="101"/>
        <item x="113"/>
        <item x="112"/>
        <item x="132"/>
        <item x="252"/>
        <item m="1" x="323"/>
        <item x="135"/>
        <item x="136"/>
        <item x="269"/>
        <item m="1" x="332"/>
        <item x="164"/>
        <item x="169"/>
        <item x="90"/>
        <item x="111"/>
        <item x="110"/>
        <item m="1" x="327"/>
        <item m="1" x="325"/>
        <item m="1" x="322"/>
        <item x="239"/>
        <item x="123"/>
        <item x="249"/>
        <item x="72"/>
        <item m="1" x="324"/>
        <item x="297"/>
        <item m="1" x="312"/>
        <item m="1" x="311"/>
        <item x="194"/>
        <item x="206"/>
        <item m="1" x="329"/>
        <item x="3"/>
        <item x="124"/>
        <item x="125"/>
        <item x="215"/>
        <item x="127"/>
        <item x="121"/>
        <item m="1" x="337"/>
        <item m="1" x="331"/>
        <item x="191"/>
        <item x="115"/>
        <item x="118"/>
        <item x="263"/>
        <item x="264"/>
        <item x="6"/>
        <item x="155"/>
        <item x="163"/>
        <item x="104"/>
        <item x="11"/>
        <item x="12"/>
        <item x="27"/>
        <item x="29"/>
        <item x="30"/>
        <item x="31"/>
        <item x="32"/>
        <item x="33"/>
        <item x="34"/>
        <item x="35"/>
        <item x="37"/>
        <item x="39"/>
        <item x="41"/>
        <item x="42"/>
        <item x="44"/>
        <item x="52"/>
        <item x="68"/>
        <item x="75"/>
        <item x="76"/>
        <item x="78"/>
        <item x="80"/>
        <item x="97"/>
        <item x="139"/>
        <item x="158"/>
        <item x="165"/>
        <item x="190"/>
        <item x="204"/>
        <item x="233"/>
        <item x="253"/>
        <item x="254"/>
        <item x="294"/>
        <item x="304"/>
      </items>
    </pivotField>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23">
        <item x="0"/>
        <item x="1"/>
        <item x="2"/>
        <item x="3"/>
        <item x="4"/>
        <item x="6"/>
        <item x="7"/>
        <item x="8"/>
        <item x="9"/>
        <item x="5"/>
        <item x="10"/>
        <item x="11"/>
        <item x="12"/>
        <item x="13"/>
        <item x="14"/>
        <item x="15"/>
        <item x="16"/>
        <item x="17"/>
        <item x="18"/>
        <item x="19"/>
        <item x="20"/>
        <item x="21"/>
        <item x="22"/>
      </items>
    </pivotField>
    <pivotField axis="axisRow" compact="0" outline="0" subtotalTop="0" showAll="0" sortType="ascending" defaultSubtotal="0">
      <items count="33">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x="0"/>
        <item x="4"/>
        <item x="5"/>
        <item x="1"/>
        <item x="7"/>
        <item x="6"/>
        <item x="3"/>
        <item x="8"/>
        <item x="2"/>
      </items>
    </pivotField>
    <pivotField axis="axisRow" compact="0" outline="0" subtotalTop="0" showAll="0">
      <items count="7">
        <item x="1"/>
        <item x="0"/>
        <item x="2"/>
        <item x="4"/>
        <item x="3"/>
        <item m="1" x="5"/>
        <item t="default"/>
      </items>
    </pivotField>
    <pivotField axis="axisRow" compact="0" numFmtId="14" outline="0" subtotalTop="0" showAll="0" defaultSubtotal="0">
      <items count="5">
        <item x="1"/>
        <item x="0"/>
        <item x="2"/>
        <item x="4"/>
        <item x="3"/>
      </items>
    </pivotField>
    <pivotField compact="0" outline="0" showAll="0" defaultSubtotal="0"/>
    <pivotField axis="axisCol" compact="0" outline="0" subtotalTop="0" showAll="0" sortType="descending" defaultSubtotal="0">
      <items count="4">
        <item x="2"/>
        <item x="3"/>
        <item x="1"/>
        <item x="0"/>
      </items>
    </pivotField>
    <pivotField compact="0" outline="0" subtotalTop="0" showAll="0" defaultSubtotal="0"/>
    <pivotField axis="axisRow" compact="0" outline="0" subtotalTop="0" showAll="0" defaultSubtotal="0">
      <items count="11">
        <item x="2"/>
        <item x="3"/>
        <item x="4"/>
        <item x="1"/>
        <item m="1" x="8"/>
        <item m="1" x="9"/>
        <item m="1" x="10"/>
        <item x="0"/>
        <item x="5"/>
        <item x="7"/>
        <item x="6"/>
      </items>
    </pivotField>
    <pivotField name="Last Reviewed" compact="0" outline="0" subtotalTop="0" showAll="0" defaultSubtotal="0"/>
    <pivotField compact="0" outline="0" subtotalTop="0" showAll="0" defaultSubtotal="0"/>
    <pivotField compact="0" outline="0" subtotalTop="0" showAll="0" defaultSubtotal="0"/>
  </pivotFields>
  <rowFields count="7">
    <field x="18"/>
    <field x="19"/>
    <field x="23"/>
    <field x="17"/>
    <field x="16"/>
    <field x="1"/>
    <field x="3"/>
  </rowFields>
  <rowItems count="313">
    <i>
      <x/>
      <x/>
      <x/>
      <x v="24"/>
      <x/>
      <x v="19"/>
      <x v="94"/>
    </i>
    <i r="6">
      <x v="213"/>
    </i>
    <i r="6">
      <x v="214"/>
    </i>
    <i r="6">
      <x v="215"/>
    </i>
    <i r="6">
      <x v="216"/>
    </i>
    <i r="6">
      <x v="217"/>
    </i>
    <i r="6">
      <x v="241"/>
    </i>
    <i r="6">
      <x v="308"/>
    </i>
    <i r="6">
      <x v="309"/>
    </i>
    <i r="2">
      <x v="1"/>
      <x v="24"/>
      <x/>
      <x v="19"/>
      <x v="32"/>
    </i>
    <i r="6">
      <x v="38"/>
    </i>
    <i r="6">
      <x v="39"/>
    </i>
    <i r="6">
      <x v="47"/>
    </i>
    <i r="6">
      <x v="48"/>
    </i>
    <i r="6">
      <x v="75"/>
    </i>
    <i r="6">
      <x v="124"/>
    </i>
    <i r="6">
      <x v="237"/>
    </i>
    <i r="6">
      <x v="253"/>
    </i>
    <i r="6">
      <x v="254"/>
    </i>
    <i r="6">
      <x v="255"/>
    </i>
    <i r="6">
      <x v="256"/>
    </i>
    <i r="6">
      <x v="310"/>
    </i>
    <i r="6">
      <x v="311"/>
    </i>
    <i r="6">
      <x v="312"/>
    </i>
    <i r="6">
      <x v="313"/>
    </i>
    <i t="default">
      <x/>
    </i>
    <i>
      <x v="1"/>
      <x v="1"/>
      <x v="2"/>
      <x v="24"/>
      <x/>
      <x v="19"/>
      <x v="128"/>
    </i>
    <i r="6">
      <x v="129"/>
    </i>
    <i r="6">
      <x v="211"/>
    </i>
    <i r="6">
      <x v="314"/>
    </i>
    <i r="6">
      <x v="315"/>
    </i>
    <i r="6">
      <x v="316"/>
    </i>
    <i r="6">
      <x v="317"/>
    </i>
    <i r="6">
      <x v="318"/>
    </i>
    <i r="6">
      <x v="319"/>
    </i>
    <i r="6">
      <x v="320"/>
    </i>
    <i r="6">
      <x v="321"/>
    </i>
    <i r="2">
      <x v="3"/>
      <x v="24"/>
      <x/>
      <x v="19"/>
      <x v="27"/>
    </i>
    <i r="6">
      <x v="61"/>
    </i>
    <i r="6">
      <x v="125"/>
    </i>
    <i r="6">
      <x v="127"/>
    </i>
    <i r="6">
      <x v="131"/>
    </i>
    <i r="6">
      <x v="149"/>
    </i>
    <i r="6">
      <x v="182"/>
    </i>
    <i r="6">
      <x v="187"/>
    </i>
    <i r="6">
      <x v="202"/>
    </i>
    <i r="6">
      <x v="205"/>
    </i>
    <i r="6">
      <x v="236"/>
    </i>
    <i r="6">
      <x v="322"/>
    </i>
    <i r="2">
      <x v="7"/>
      <x v="24"/>
      <x/>
      <x v="19"/>
      <x v="226"/>
    </i>
    <i r="6">
      <x v="227"/>
    </i>
    <i r="6">
      <x v="228"/>
    </i>
    <i r="6">
      <x v="229"/>
    </i>
    <i r="6">
      <x v="291"/>
    </i>
    <i r="6">
      <x v="304"/>
    </i>
    <i r="6">
      <x v="323"/>
    </i>
    <i r="3">
      <x v="25"/>
      <x v="4"/>
      <x v="6"/>
      <x v="18"/>
    </i>
    <i r="6">
      <x v="35"/>
    </i>
    <i r="6">
      <x v="36"/>
    </i>
    <i r="6">
      <x v="37"/>
    </i>
    <i r="6">
      <x v="49"/>
    </i>
    <i r="6">
      <x v="66"/>
    </i>
    <i r="6">
      <x v="74"/>
    </i>
    <i r="6">
      <x v="86"/>
    </i>
    <i r="6">
      <x v="87"/>
    </i>
    <i r="6">
      <x v="90"/>
    </i>
    <i r="6">
      <x v="92"/>
    </i>
    <i r="6">
      <x v="93"/>
    </i>
    <i r="6">
      <x v="95"/>
    </i>
    <i r="6">
      <x v="98"/>
    </i>
    <i r="6">
      <x v="105"/>
    </i>
    <i r="6">
      <x v="106"/>
    </i>
    <i r="6">
      <x v="119"/>
    </i>
    <i r="6">
      <x v="120"/>
    </i>
    <i r="6">
      <x v="122"/>
    </i>
    <i r="6">
      <x v="123"/>
    </i>
    <i r="6">
      <x v="132"/>
    </i>
    <i r="6">
      <x v="133"/>
    </i>
    <i r="6">
      <x v="136"/>
    </i>
    <i r="6">
      <x v="138"/>
    </i>
    <i r="6">
      <x v="140"/>
    </i>
    <i r="6">
      <x v="148"/>
    </i>
    <i r="6">
      <x v="150"/>
    </i>
    <i r="6">
      <x v="151"/>
    </i>
    <i r="6">
      <x v="157"/>
    </i>
    <i r="6">
      <x v="161"/>
    </i>
    <i r="6">
      <x v="163"/>
    </i>
    <i r="6">
      <x v="224"/>
    </i>
    <i r="6">
      <x v="260"/>
    </i>
    <i r="6">
      <x v="261"/>
    </i>
    <i r="6">
      <x v="262"/>
    </i>
    <i r="6">
      <x v="263"/>
    </i>
    <i r="6">
      <x v="264"/>
    </i>
    <i r="6">
      <x v="265"/>
    </i>
    <i r="6">
      <x v="268"/>
    </i>
    <i r="6">
      <x v="269"/>
    </i>
    <i r="6">
      <x v="274"/>
    </i>
    <i r="6">
      <x v="275"/>
    </i>
    <i r="6">
      <x v="276"/>
    </i>
    <i r="6">
      <x v="281"/>
    </i>
    <i r="6">
      <x v="292"/>
    </i>
    <i r="6">
      <x v="293"/>
    </i>
    <i r="6">
      <x v="295"/>
    </i>
    <i r="6">
      <x v="296"/>
    </i>
    <i r="6">
      <x v="300"/>
    </i>
    <i r="6">
      <x v="301"/>
    </i>
    <i r="6">
      <x v="307"/>
    </i>
    <i r="6">
      <x v="329"/>
    </i>
    <i r="3">
      <x v="26"/>
      <x v="9"/>
      <x v="21"/>
      <x v="20"/>
    </i>
    <i r="6">
      <x v="21"/>
    </i>
    <i r="6">
      <x v="22"/>
    </i>
    <i r="6">
      <x v="23"/>
    </i>
    <i r="6">
      <x v="43"/>
    </i>
    <i r="6">
      <x v="62"/>
    </i>
    <i r="6">
      <x v="63"/>
    </i>
    <i r="6">
      <x v="88"/>
    </i>
    <i r="6">
      <x v="141"/>
    </i>
    <i r="6">
      <x v="176"/>
    </i>
    <i r="6">
      <x v="177"/>
    </i>
    <i r="6">
      <x v="197"/>
    </i>
    <i r="6">
      <x v="206"/>
    </i>
    <i r="6">
      <x v="220"/>
    </i>
    <i r="6">
      <x v="221"/>
    </i>
    <i r="6">
      <x v="225"/>
    </i>
    <i r="6">
      <x v="242"/>
    </i>
    <i r="6">
      <x v="243"/>
    </i>
    <i r="6">
      <x v="246"/>
    </i>
    <i r="6">
      <x v="258"/>
    </i>
    <i r="6">
      <x v="272"/>
    </i>
    <i r="6">
      <x v="305"/>
    </i>
    <i r="6">
      <x v="306"/>
    </i>
    <i r="6">
      <x v="331"/>
    </i>
    <i t="default">
      <x v="1"/>
    </i>
    <i>
      <x v="2"/>
      <x v="2"/>
      <x v="8"/>
      <x v="26"/>
      <x v="9"/>
      <x v="21"/>
      <x v="29"/>
    </i>
    <i r="6">
      <x v="30"/>
    </i>
    <i r="6">
      <x v="31"/>
    </i>
    <i r="6">
      <x v="34"/>
    </i>
    <i r="6">
      <x v="44"/>
    </i>
    <i r="6">
      <x v="45"/>
    </i>
    <i r="6">
      <x v="59"/>
    </i>
    <i r="6">
      <x v="60"/>
    </i>
    <i r="6">
      <x v="91"/>
    </i>
    <i r="6">
      <x v="97"/>
    </i>
    <i r="6">
      <x v="100"/>
    </i>
    <i r="6">
      <x v="130"/>
    </i>
    <i r="6">
      <x v="137"/>
    </i>
    <i r="6">
      <x v="144"/>
    </i>
    <i r="6">
      <x v="164"/>
    </i>
    <i r="6">
      <x v="166"/>
    </i>
    <i r="6">
      <x v="170"/>
    </i>
    <i r="6">
      <x v="188"/>
    </i>
    <i r="6">
      <x v="196"/>
    </i>
    <i r="6">
      <x v="208"/>
    </i>
    <i r="6">
      <x v="218"/>
    </i>
    <i r="6">
      <x v="219"/>
    </i>
    <i r="6">
      <x v="232"/>
    </i>
    <i r="6">
      <x v="233"/>
    </i>
    <i r="6">
      <x v="234"/>
    </i>
    <i r="6">
      <x v="245"/>
    </i>
    <i r="6">
      <x v="273"/>
    </i>
    <i r="6">
      <x v="288"/>
    </i>
    <i r="6">
      <x v="299"/>
    </i>
    <i r="6">
      <x v="332"/>
    </i>
    <i r="6">
      <x v="333"/>
    </i>
    <i r="4">
      <x v="22"/>
      <x v="20"/>
      <x v="19"/>
    </i>
    <i r="6">
      <x v="24"/>
    </i>
    <i r="6">
      <x v="54"/>
    </i>
    <i r="6">
      <x v="64"/>
    </i>
    <i r="6">
      <x v="83"/>
    </i>
    <i r="6">
      <x v="121"/>
    </i>
    <i r="6">
      <x v="231"/>
    </i>
    <i r="6">
      <x v="238"/>
    </i>
    <i r="6">
      <x v="339"/>
    </i>
    <i r="3">
      <x v="27"/>
      <x v="1"/>
      <x v="7"/>
      <x v="7"/>
    </i>
    <i r="6">
      <x v="51"/>
    </i>
    <i r="6">
      <x v="70"/>
    </i>
    <i r="6">
      <x v="71"/>
    </i>
    <i r="6">
      <x v="85"/>
    </i>
    <i r="6">
      <x v="135"/>
    </i>
    <i r="6">
      <x v="172"/>
    </i>
    <i r="6">
      <x v="191"/>
    </i>
    <i r="6">
      <x v="192"/>
    </i>
    <i r="6">
      <x v="193"/>
    </i>
    <i r="6">
      <x v="194"/>
    </i>
    <i r="6">
      <x v="210"/>
    </i>
    <i r="6">
      <x v="223"/>
    </i>
    <i r="6">
      <x v="239"/>
    </i>
    <i r="6">
      <x v="324"/>
    </i>
    <i r="4">
      <x v="6"/>
      <x v="8"/>
      <x v="330"/>
    </i>
    <i r="4">
      <x v="7"/>
      <x v="11"/>
      <x v="8"/>
    </i>
    <i r="4">
      <x v="10"/>
      <x v="10"/>
      <x v="9"/>
    </i>
    <i r="6">
      <x v="53"/>
    </i>
    <i r="6">
      <x v="65"/>
    </i>
    <i r="6">
      <x v="81"/>
    </i>
    <i r="6">
      <x v="139"/>
    </i>
    <i r="6">
      <x v="185"/>
    </i>
    <i r="6">
      <x v="186"/>
    </i>
    <i r="6">
      <x v="203"/>
    </i>
    <i r="6">
      <x v="204"/>
    </i>
    <i r="6">
      <x v="289"/>
    </i>
    <i r="6">
      <x v="334"/>
    </i>
    <i r="4">
      <x v="19"/>
      <x v="5"/>
      <x v="5"/>
    </i>
    <i r="6">
      <x v="6"/>
    </i>
    <i t="default">
      <x v="2"/>
    </i>
    <i>
      <x v="3"/>
      <x v="3"/>
      <x v="9"/>
      <x v="28"/>
      <x v="14"/>
      <x v="16"/>
      <x v="16"/>
    </i>
    <i r="6">
      <x v="46"/>
    </i>
    <i r="6">
      <x v="96"/>
    </i>
    <i r="6">
      <x v="154"/>
    </i>
    <i r="6">
      <x v="155"/>
    </i>
    <i r="6">
      <x v="156"/>
    </i>
    <i r="6">
      <x v="158"/>
    </i>
    <i r="6">
      <x v="159"/>
    </i>
    <i r="6">
      <x v="160"/>
    </i>
    <i r="6">
      <x v="178"/>
    </i>
    <i r="6">
      <x v="179"/>
    </i>
    <i r="6">
      <x v="180"/>
    </i>
    <i r="6">
      <x v="181"/>
    </i>
    <i r="6">
      <x v="183"/>
    </i>
    <i r="6">
      <x v="184"/>
    </i>
    <i r="6">
      <x v="201"/>
    </i>
    <i r="6">
      <x v="247"/>
    </i>
    <i r="6">
      <x v="248"/>
    </i>
    <i r="6">
      <x v="249"/>
    </i>
    <i r="6">
      <x v="250"/>
    </i>
    <i r="6">
      <x v="251"/>
    </i>
    <i r="6">
      <x v="252"/>
    </i>
    <i r="6">
      <x v="294"/>
    </i>
    <i r="6">
      <x v="335"/>
    </i>
    <i r="4">
      <x v="15"/>
      <x v="17"/>
      <x v="17"/>
    </i>
    <i r="6">
      <x v="55"/>
    </i>
    <i r="6">
      <x v="57"/>
    </i>
    <i r="6">
      <x v="58"/>
    </i>
    <i r="6">
      <x v="78"/>
    </i>
    <i r="6">
      <x v="79"/>
    </i>
    <i r="6">
      <x v="80"/>
    </i>
    <i r="6">
      <x v="99"/>
    </i>
    <i r="6">
      <x v="104"/>
    </i>
    <i r="6">
      <x v="165"/>
    </i>
    <i r="6">
      <x v="171"/>
    </i>
    <i r="6">
      <x v="189"/>
    </i>
    <i r="6">
      <x v="207"/>
    </i>
    <i r="6">
      <x v="235"/>
    </i>
    <i r="6">
      <x v="266"/>
    </i>
    <i r="6">
      <x v="280"/>
    </i>
    <i r="6">
      <x v="282"/>
    </i>
    <i r="6">
      <x v="336"/>
    </i>
    <i r="6">
      <x v="337"/>
    </i>
    <i t="default">
      <x v="3"/>
    </i>
    <i>
      <x v="4"/>
      <x v="4"/>
      <x v="10"/>
      <x v="29"/>
      <x v="11"/>
      <x v="4"/>
      <x v="4"/>
    </i>
    <i r="6">
      <x v="259"/>
    </i>
    <i r="4">
      <x v="12"/>
      <x v="3"/>
      <x v="3"/>
    </i>
    <i r="4">
      <x v="13"/>
      <x v="18"/>
      <x v="73"/>
    </i>
    <i r="6">
      <x v="153"/>
    </i>
    <i r="6">
      <x v="162"/>
    </i>
    <i r="6">
      <x v="195"/>
    </i>
    <i r="4">
      <x v="16"/>
      <x/>
      <x v="1"/>
    </i>
    <i r="6">
      <x v="142"/>
    </i>
    <i r="4">
      <x v="17"/>
      <x v="1"/>
      <x v="89"/>
    </i>
    <i r="4">
      <x v="18"/>
      <x v="2"/>
      <x v="2"/>
    </i>
    <i r="3">
      <x v="30"/>
      <x v="3"/>
      <x v="14"/>
      <x v="10"/>
    </i>
    <i r="6">
      <x v="28"/>
    </i>
    <i r="6">
      <x v="69"/>
    </i>
    <i r="6">
      <x v="101"/>
    </i>
    <i r="6">
      <x v="102"/>
    </i>
    <i r="6">
      <x v="118"/>
    </i>
    <i r="6">
      <x v="143"/>
    </i>
    <i r="6">
      <x v="244"/>
    </i>
    <i r="6">
      <x v="283"/>
    </i>
    <i r="6">
      <x v="325"/>
    </i>
    <i r="6">
      <x v="326"/>
    </i>
    <i r="6">
      <x v="327"/>
    </i>
    <i r="6">
      <x v="328"/>
    </i>
    <i r="4">
      <x v="5"/>
      <x v="15"/>
      <x v="67"/>
    </i>
    <i r="6">
      <x v="134"/>
    </i>
    <i r="3">
      <x v="31"/>
      <x v="20"/>
      <x v="12"/>
      <x v="11"/>
    </i>
    <i r="6">
      <x v="12"/>
    </i>
    <i r="6">
      <x v="13"/>
    </i>
    <i r="6">
      <x v="14"/>
    </i>
    <i r="6">
      <x v="15"/>
    </i>
    <i r="6">
      <x v="52"/>
    </i>
    <i r="6">
      <x v="82"/>
    </i>
    <i r="6">
      <x v="126"/>
    </i>
    <i r="6">
      <x v="146"/>
    </i>
    <i r="6">
      <x v="167"/>
    </i>
    <i r="6">
      <x v="168"/>
    </i>
    <i r="6">
      <x v="173"/>
    </i>
    <i r="6">
      <x v="190"/>
    </i>
    <i r="6">
      <x v="230"/>
    </i>
    <i r="6">
      <x v="240"/>
    </i>
    <i r="6">
      <x v="270"/>
    </i>
    <i r="6">
      <x v="302"/>
    </i>
    <i r="6">
      <x v="303"/>
    </i>
    <i r="4">
      <x v="21"/>
      <x v="13"/>
      <x/>
    </i>
    <i r="6">
      <x v="33"/>
    </i>
    <i r="6">
      <x v="56"/>
    </i>
    <i r="6">
      <x v="68"/>
    </i>
    <i r="6">
      <x v="84"/>
    </i>
    <i r="6">
      <x v="145"/>
    </i>
    <i r="6">
      <x v="147"/>
    </i>
    <i r="6">
      <x v="152"/>
    </i>
    <i r="6">
      <x v="169"/>
    </i>
    <i r="6">
      <x v="174"/>
    </i>
    <i r="6">
      <x v="175"/>
    </i>
    <i r="6">
      <x v="198"/>
    </i>
    <i r="6">
      <x v="199"/>
    </i>
    <i r="6">
      <x v="200"/>
    </i>
    <i r="6">
      <x v="222"/>
    </i>
    <i r="6">
      <x v="285"/>
    </i>
    <i r="6">
      <x v="338"/>
    </i>
    <i r="3">
      <x v="32"/>
      <x v="2"/>
      <x v="9"/>
      <x v="25"/>
    </i>
    <i r="4">
      <x v="8"/>
      <x v="22"/>
      <x v="257"/>
    </i>
    <i t="default">
      <x v="4"/>
    </i>
    <i t="grand">
      <x/>
    </i>
  </rowItems>
  <colFields count="1">
    <field x="21"/>
  </colFields>
  <colItems count="5">
    <i>
      <x/>
    </i>
    <i>
      <x v="1"/>
    </i>
    <i>
      <x v="2"/>
    </i>
    <i>
      <x v="3"/>
    </i>
    <i t="grand">
      <x/>
    </i>
  </colItems>
  <dataFields count="1">
    <dataField name="# fields" fld="3" subtotal="count" baseField="1" baseItem="19"/>
  </dataFields>
  <formats count="10">
    <format dxfId="38">
      <pivotArea dataOnly="0" outline="0" fieldPosition="0">
        <references count="1">
          <reference field="17" count="0" defaultSubtotal="1"/>
        </references>
      </pivotArea>
    </format>
    <format dxfId="39">
      <pivotArea dataOnly="0" outline="0" fieldPosition="0">
        <references count="1">
          <reference field="23" count="0" defaultSubtotal="1"/>
        </references>
      </pivotArea>
    </format>
    <format dxfId="40">
      <pivotArea dataOnly="0" outline="0" fieldPosition="0">
        <references count="1">
          <reference field="18" count="0" defaultSubtotal="1"/>
        </references>
      </pivotArea>
    </format>
    <format dxfId="41">
      <pivotArea field="18" type="button" dataOnly="0" labelOnly="1" outline="0" axis="axisRow" fieldPosition="0"/>
    </format>
    <format dxfId="42">
      <pivotArea field="19" type="button" dataOnly="0" labelOnly="1" outline="0" axis="axisRow" fieldPosition="1"/>
    </format>
    <format dxfId="43">
      <pivotArea field="23" type="button" dataOnly="0" labelOnly="1" outline="0" axis="axisRow" fieldPosition="2"/>
    </format>
    <format dxfId="44">
      <pivotArea field="17" type="button" dataOnly="0" labelOnly="1" outline="0" axis="axisRow" fieldPosition="3"/>
    </format>
    <format dxfId="45">
      <pivotArea field="16" type="button" dataOnly="0" labelOnly="1" outline="0" axis="axisRow" fieldPosition="4"/>
    </format>
    <format dxfId="46">
      <pivotArea field="1" type="button" dataOnly="0" labelOnly="1" outline="0" axis="axisRow" fieldPosition="5"/>
    </format>
    <format dxfId="47">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D003A8-30F0-45C2-94B3-B1D60D75C18E}" name="PivotTable2" cacheId="5678"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P6:Y38" firstHeaderRow="1" firstDataRow="2" firstDataCol="5"/>
  <pivotFields count="24">
    <pivotField compact="0" outline="0" subtotalTop="0" showAll="0" defaultSubtotal="0"/>
    <pivotField axis="axisRow" compact="0" outline="0" subtotalTop="0" showAll="0" defaultSubtotal="0">
      <items count="23">
        <item x="16"/>
        <item x="17"/>
        <item x="18"/>
        <item x="12"/>
        <item x="11"/>
        <item x="19"/>
        <item x="4"/>
        <item x="1"/>
        <item x="7"/>
        <item x="2"/>
        <item x="10"/>
        <item x="8"/>
        <item x="20"/>
        <item x="21"/>
        <item x="3"/>
        <item x="6"/>
        <item x="14"/>
        <item x="15"/>
        <item x="13"/>
        <item x="0"/>
        <item x="22"/>
        <item x="5"/>
        <item x="9"/>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23">
        <item x="0"/>
        <item x="1"/>
        <item x="2"/>
        <item x="3"/>
        <item x="4"/>
        <item x="6"/>
        <item x="7"/>
        <item x="8"/>
        <item x="9"/>
        <item x="5"/>
        <item x="10"/>
        <item x="11"/>
        <item x="12"/>
        <item x="13"/>
        <item x="14"/>
        <item x="15"/>
        <item x="16"/>
        <item x="17"/>
        <item x="18"/>
        <item x="19"/>
        <item x="20"/>
        <item x="21"/>
        <item x="22"/>
      </items>
    </pivotField>
    <pivotField axis="axisRow" compact="0" outline="0" subtotalTop="0" showAll="0" sortType="ascending" defaultSubtotal="0">
      <items count="33">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x="0"/>
        <item x="4"/>
        <item x="5"/>
        <item x="1"/>
        <item x="7"/>
        <item x="6"/>
        <item x="3"/>
        <item x="8"/>
        <item x="2"/>
      </items>
    </pivotField>
    <pivotField axis="axisRow" compact="0" outline="0" subtotalTop="0" showAll="0">
      <items count="7">
        <item x="1"/>
        <item x="0"/>
        <item x="2"/>
        <item x="4"/>
        <item x="3"/>
        <item m="1" x="5"/>
        <item t="default"/>
      </items>
    </pivotField>
    <pivotField axis="axisRow" compact="0" numFmtId="14" outline="0" subtotalTop="0" showAll="0" defaultSubtotal="0">
      <items count="5">
        <item x="1"/>
        <item x="0"/>
        <item x="2"/>
        <item x="4"/>
        <item x="3"/>
      </items>
    </pivotField>
    <pivotField compact="0" outline="0" showAll="0" defaultSubtotal="0"/>
    <pivotField name="Complexity" axis="axisCol" compact="0" outline="0" subtotalTop="0" showAll="0" sortType="descending" defaultSubtotal="0">
      <items count="4">
        <item x="2"/>
        <item x="3"/>
        <item x="1"/>
        <item x="0"/>
      </items>
    </pivotField>
    <pivotField compact="0" outline="0" subtotalTop="0" showAll="0" defaultSubtotal="0"/>
    <pivotField compact="0" outline="0" subtotalTop="0" showAll="0" defaultSubtotal="0"/>
  </pivotFields>
  <rowFields count="5">
    <field x="18"/>
    <field x="19"/>
    <field x="17"/>
    <field x="16"/>
    <field x="1"/>
  </rowFields>
  <rowItems count="31">
    <i>
      <x/>
      <x/>
      <x v="24"/>
      <x/>
      <x v="19"/>
    </i>
    <i t="default">
      <x/>
    </i>
    <i>
      <x v="1"/>
      <x v="1"/>
      <x v="24"/>
      <x/>
      <x v="19"/>
    </i>
    <i r="2">
      <x v="25"/>
      <x v="4"/>
      <x v="6"/>
    </i>
    <i r="2">
      <x v="26"/>
      <x v="9"/>
      <x v="21"/>
    </i>
    <i t="default">
      <x v="1"/>
    </i>
    <i>
      <x v="2"/>
      <x v="2"/>
      <x v="26"/>
      <x v="9"/>
      <x v="21"/>
    </i>
    <i r="3">
      <x v="22"/>
      <x v="20"/>
    </i>
    <i r="2">
      <x v="27"/>
      <x v="1"/>
      <x v="7"/>
    </i>
    <i r="3">
      <x v="6"/>
      <x v="8"/>
    </i>
    <i r="3">
      <x v="7"/>
      <x v="11"/>
    </i>
    <i r="3">
      <x v="10"/>
      <x v="10"/>
    </i>
    <i r="3">
      <x v="19"/>
      <x v="5"/>
    </i>
    <i t="default">
      <x v="2"/>
    </i>
    <i>
      <x v="3"/>
      <x v="3"/>
      <x v="28"/>
      <x v="14"/>
      <x v="16"/>
    </i>
    <i r="3">
      <x v="15"/>
      <x v="17"/>
    </i>
    <i t="default">
      <x v="3"/>
    </i>
    <i>
      <x v="4"/>
      <x v="4"/>
      <x v="29"/>
      <x v="11"/>
      <x v="4"/>
    </i>
    <i r="3">
      <x v="12"/>
      <x v="3"/>
    </i>
    <i r="3">
      <x v="13"/>
      <x v="18"/>
    </i>
    <i r="3">
      <x v="16"/>
      <x/>
    </i>
    <i r="3">
      <x v="17"/>
      <x v="1"/>
    </i>
    <i r="3">
      <x v="18"/>
      <x v="2"/>
    </i>
    <i r="2">
      <x v="30"/>
      <x v="3"/>
      <x v="14"/>
    </i>
    <i r="3">
      <x v="5"/>
      <x v="15"/>
    </i>
    <i r="2">
      <x v="31"/>
      <x v="20"/>
      <x v="12"/>
    </i>
    <i r="3">
      <x v="21"/>
      <x v="13"/>
    </i>
    <i r="2">
      <x v="32"/>
      <x v="2"/>
      <x v="9"/>
    </i>
    <i r="3">
      <x v="8"/>
      <x v="22"/>
    </i>
    <i t="default">
      <x v="4"/>
    </i>
    <i t="grand">
      <x/>
    </i>
  </rowItems>
  <colFields count="1">
    <field x="21"/>
  </colFields>
  <colItems count="5">
    <i>
      <x/>
    </i>
    <i>
      <x v="1"/>
    </i>
    <i>
      <x v="2"/>
    </i>
    <i>
      <x v="3"/>
    </i>
    <i t="grand">
      <x/>
    </i>
  </colItems>
  <dataFields count="1">
    <dataField name="Count of field names in Trng deck" fld="3" subtotal="count" baseField="0" baseItem="0"/>
  </dataFields>
  <formats count="9">
    <format dxfId="29">
      <pivotArea dataOnly="0" outline="0" fieldPosition="0">
        <references count="1">
          <reference field="17" count="0" defaultSubtotal="1"/>
        </references>
      </pivotArea>
    </format>
    <format dxfId="30">
      <pivotArea field="18" type="button" dataOnly="0" labelOnly="1" outline="0" axis="axisRow" fieldPosition="0"/>
    </format>
    <format dxfId="31">
      <pivotArea field="19" type="button" dataOnly="0" labelOnly="1" outline="0" axis="axisRow" fieldPosition="1"/>
    </format>
    <format dxfId="32">
      <pivotArea field="17" type="button" dataOnly="0" labelOnly="1" outline="0" axis="axisRow" fieldPosition="2"/>
    </format>
    <format dxfId="33">
      <pivotArea field="16" type="button" dataOnly="0" labelOnly="1" outline="0" axis="axisRow" fieldPosition="3"/>
    </format>
    <format dxfId="34">
      <pivotArea field="1" type="button" dataOnly="0" labelOnly="1" outline="0" axis="axisRow" fieldPosition="4"/>
    </format>
    <format dxfId="35">
      <pivotArea dataOnly="0" labelOnly="1" outline="0" fieldPosition="0">
        <references count="1">
          <reference field="21" count="0"/>
        </references>
      </pivotArea>
    </format>
    <format dxfId="36">
      <pivotArea dataOnly="0" labelOnly="1" grandCol="1" outline="0" fieldPosition="0"/>
    </format>
    <format dxfId="37">
      <pivotArea dataOnly="0" outline="0" fieldPosition="0">
        <references count="1">
          <reference field="18" count="0" defaultSubtotal="1"/>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13861E-3003-44FC-BF81-AF164D793C28}" name="PivotTable3" cacheId="567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C6:AO212" firstHeaderRow="1" firstDataRow="2" firstDataCol="9"/>
  <pivotFields count="27">
    <pivotField axis="axisRow" compact="0" outline="0" subtotalTop="0" showAll="0" defaultSubtotal="0">
      <items count="307">
        <item x="0"/>
        <item x="1"/>
        <item x="2"/>
        <item x="3"/>
        <item x="4"/>
        <item x="5"/>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3"/>
        <item x="44"/>
        <item x="45"/>
        <item x="46"/>
        <item x="47"/>
        <item x="48"/>
        <item x="49"/>
        <item x="50"/>
        <item x="51"/>
        <item x="52"/>
        <item x="53"/>
        <item x="54"/>
        <item x="55"/>
        <item x="56"/>
        <item x="57"/>
        <item x="58"/>
        <item x="59"/>
        <item x="60"/>
        <item x="61"/>
        <item x="62"/>
        <item x="63"/>
        <item x="64"/>
        <item x="65"/>
        <item x="66"/>
        <item x="67"/>
        <item x="68"/>
        <item x="69"/>
        <item x="70"/>
        <item x="71"/>
        <item x="116"/>
        <item x="72"/>
        <item x="73"/>
        <item x="74"/>
        <item x="75"/>
        <item x="76"/>
        <item x="77"/>
        <item x="78"/>
        <item x="79"/>
        <item x="80"/>
        <item x="81"/>
        <item x="82"/>
        <item x="83"/>
        <item x="84"/>
        <item x="85"/>
        <item x="86"/>
        <item x="88"/>
        <item x="89"/>
        <item x="90"/>
        <item x="91"/>
        <item x="92"/>
        <item x="93"/>
        <item x="94"/>
        <item x="95"/>
        <item x="96"/>
        <item x="97"/>
        <item x="98"/>
        <item x="99"/>
        <item x="100"/>
        <item x="101"/>
        <item x="102"/>
        <item x="103"/>
        <item x="104"/>
        <item x="105"/>
        <item x="106"/>
        <item x="107"/>
        <item x="108"/>
        <item x="109"/>
        <item x="110"/>
        <item x="111"/>
        <item x="112"/>
        <item x="113"/>
        <item x="114"/>
        <item x="115"/>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6"/>
        <item x="157"/>
        <item x="87"/>
        <item x="158"/>
        <item x="159"/>
        <item x="160"/>
        <item x="161"/>
        <item x="162"/>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42"/>
        <item x="6"/>
        <item x="155"/>
        <item x="163"/>
      </items>
    </pivotField>
    <pivotField axis="axisRow" compact="0" outline="0" subtotalTop="0" showAll="0" defaultSubtotal="0">
      <items count="23">
        <item x="16"/>
        <item x="17"/>
        <item x="18"/>
        <item x="12"/>
        <item x="11"/>
        <item x="19"/>
        <item x="4"/>
        <item x="1"/>
        <item x="7"/>
        <item x="2"/>
        <item x="10"/>
        <item x="8"/>
        <item x="20"/>
        <item x="21"/>
        <item x="3"/>
        <item x="6"/>
        <item x="14"/>
        <item x="15"/>
        <item x="13"/>
        <item x="0"/>
        <item x="22"/>
        <item x="5"/>
        <item x="9"/>
      </items>
    </pivotField>
    <pivotField compact="0" outline="0" showAll="0" defaultSubtotal="0"/>
    <pivotField axis="axisRow" dataField="1" compact="0" outline="0" showAll="0" defaultSubtotal="0">
      <items count="340">
        <item x="296"/>
        <item x="258"/>
        <item x="260"/>
        <item x="209"/>
        <item x="208"/>
        <item x="262"/>
        <item x="261"/>
        <item x="69"/>
        <item x="140"/>
        <item x="205"/>
        <item x="82"/>
        <item x="273"/>
        <item x="277"/>
        <item x="275"/>
        <item x="279"/>
        <item x="271"/>
        <item x="237"/>
        <item x="256"/>
        <item x="117"/>
        <item x="300"/>
        <item x="146"/>
        <item x="147"/>
        <item x="148"/>
        <item x="149"/>
        <item x="301"/>
        <item x="70"/>
        <item m="1" x="336"/>
        <item x="54"/>
        <item x="116"/>
        <item x="167"/>
        <item x="166"/>
        <item x="168"/>
        <item x="26"/>
        <item x="290"/>
        <item x="182"/>
        <item x="119"/>
        <item x="108"/>
        <item x="109"/>
        <item x="17"/>
        <item x="18"/>
        <item m="1" x="316"/>
        <item m="1" x="313"/>
        <item m="1" x="318"/>
        <item x="6"/>
        <item x="144"/>
        <item x="172"/>
        <item x="195"/>
        <item x="236"/>
        <item x="24"/>
        <item x="23"/>
        <item x="105"/>
        <item m="1" x="339"/>
        <item x="64"/>
        <item x="272"/>
        <item x="198"/>
        <item x="303"/>
        <item x="243"/>
        <item x="288"/>
        <item x="248"/>
        <item x="247"/>
        <item x="187"/>
        <item x="193"/>
        <item x="50"/>
        <item x="159"/>
        <item x="160"/>
        <item x="298"/>
        <item x="203"/>
        <item x="94"/>
        <item x="137"/>
        <item x="284"/>
        <item x="74"/>
        <item x="59"/>
        <item x="60"/>
        <item m="1" x="319"/>
        <item x="212"/>
        <item x="134"/>
        <item x="28"/>
        <item m="1" x="334"/>
        <item m="1" x="338"/>
        <item x="251"/>
        <item x="245"/>
        <item x="244"/>
        <item x="196"/>
        <item x="265"/>
        <item x="305"/>
        <item x="295"/>
        <item x="58"/>
        <item x="86"/>
        <item x="85"/>
        <item x="150"/>
        <item x="259"/>
        <item x="99"/>
        <item x="176"/>
        <item x="100"/>
        <item x="114"/>
        <item x="7"/>
        <item x="131"/>
        <item x="214"/>
        <item x="183"/>
        <item x="126"/>
        <item x="246"/>
        <item x="184"/>
        <item x="77"/>
        <item x="79"/>
        <item m="1" x="326"/>
        <item x="241"/>
        <item x="122"/>
        <item x="93"/>
        <item m="1" x="328"/>
        <item m="1" x="310"/>
        <item m="1" x="321"/>
        <item m="1" x="309"/>
        <item m="1" x="333"/>
        <item m="1" x="307"/>
        <item m="1" x="330"/>
        <item m="1" x="315"/>
        <item m="1" x="308"/>
        <item m="1" x="314"/>
        <item m="1" x="320"/>
        <item x="73"/>
        <item x="98"/>
        <item x="128"/>
        <item x="306"/>
        <item x="120"/>
        <item x="133"/>
        <item x="25"/>
        <item x="5"/>
        <item x="276"/>
        <item x="53"/>
        <item x="36"/>
        <item x="40"/>
        <item x="181"/>
        <item x="49"/>
        <item x="95"/>
        <item x="96"/>
        <item x="138"/>
        <item x="57"/>
        <item x="129"/>
        <item x="180"/>
        <item x="130"/>
        <item x="197"/>
        <item x="84"/>
        <item x="145"/>
        <item x="257"/>
        <item x="71"/>
        <item x="179"/>
        <item x="286"/>
        <item x="266"/>
        <item x="291"/>
        <item x="89"/>
        <item x="43"/>
        <item x="103"/>
        <item x="102"/>
        <item x="281"/>
        <item x="210"/>
        <item x="227"/>
        <item x="218"/>
        <item x="219"/>
        <item x="92"/>
        <item x="217"/>
        <item x="226"/>
        <item x="216"/>
        <item x="83"/>
        <item x="213"/>
        <item x="91"/>
        <item x="185"/>
        <item x="255"/>
        <item x="186"/>
        <item x="268"/>
        <item x="267"/>
        <item x="293"/>
        <item x="189"/>
        <item x="250"/>
        <item x="62"/>
        <item x="274"/>
        <item x="287"/>
        <item x="292"/>
        <item x="161"/>
        <item x="152"/>
        <item x="235"/>
        <item x="230"/>
        <item x="231"/>
        <item x="232"/>
        <item x="46"/>
        <item x="225"/>
        <item x="220"/>
        <item x="201"/>
        <item x="202"/>
        <item x="45"/>
        <item x="188"/>
        <item x="240"/>
        <item x="278"/>
        <item x="65"/>
        <item x="67"/>
        <item x="63"/>
        <item x="66"/>
        <item x="211"/>
        <item x="192"/>
        <item x="153"/>
        <item x="285"/>
        <item x="282"/>
        <item x="283"/>
        <item x="234"/>
        <item x="48"/>
        <item x="199"/>
        <item x="200"/>
        <item x="47"/>
        <item x="151"/>
        <item x="238"/>
        <item x="178"/>
        <item m="1" x="335"/>
        <item x="55"/>
        <item x="38"/>
        <item m="1" x="317"/>
        <item x="8"/>
        <item x="10"/>
        <item x="9"/>
        <item x="15"/>
        <item x="14"/>
        <item x="171"/>
        <item x="170"/>
        <item x="143"/>
        <item x="142"/>
        <item x="289"/>
        <item x="61"/>
        <item x="88"/>
        <item x="157"/>
        <item x="4"/>
        <item x="2"/>
        <item x="1"/>
        <item x="0"/>
        <item x="270"/>
        <item x="299"/>
        <item x="174"/>
        <item x="175"/>
        <item x="173"/>
        <item x="242"/>
        <item x="51"/>
        <item x="13"/>
        <item x="302"/>
        <item x="56"/>
        <item x="280"/>
        <item x="16"/>
        <item x="162"/>
        <item x="154"/>
        <item x="81"/>
        <item x="177"/>
        <item x="87"/>
        <item x="229"/>
        <item x="223"/>
        <item x="224"/>
        <item x="228"/>
        <item x="221"/>
        <item x="222"/>
        <item x="21"/>
        <item x="22"/>
        <item x="19"/>
        <item x="20"/>
        <item x="141"/>
        <item x="156"/>
        <item x="207"/>
        <item x="107"/>
        <item x="106"/>
        <item x="101"/>
        <item x="113"/>
        <item x="112"/>
        <item x="132"/>
        <item x="252"/>
        <item m="1" x="323"/>
        <item x="135"/>
        <item x="136"/>
        <item x="269"/>
        <item m="1" x="332"/>
        <item x="164"/>
        <item x="169"/>
        <item x="90"/>
        <item x="111"/>
        <item x="110"/>
        <item m="1" x="327"/>
        <item m="1" x="325"/>
        <item m="1" x="322"/>
        <item x="239"/>
        <item x="123"/>
        <item x="249"/>
        <item x="72"/>
        <item m="1" x="324"/>
        <item x="297"/>
        <item m="1" x="312"/>
        <item m="1" x="311"/>
        <item x="194"/>
        <item x="206"/>
        <item m="1" x="329"/>
        <item x="3"/>
        <item x="124"/>
        <item x="125"/>
        <item x="215"/>
        <item x="127"/>
        <item x="121"/>
        <item m="1" x="337"/>
        <item m="1" x="331"/>
        <item x="191"/>
        <item x="115"/>
        <item x="118"/>
        <item x="263"/>
        <item x="264"/>
        <item x="155"/>
        <item x="163"/>
        <item x="104"/>
        <item x="11"/>
        <item x="12"/>
        <item x="27"/>
        <item x="29"/>
        <item x="30"/>
        <item x="31"/>
        <item x="32"/>
        <item x="33"/>
        <item x="34"/>
        <item x="35"/>
        <item x="37"/>
        <item x="39"/>
        <item x="41"/>
        <item x="42"/>
        <item x="44"/>
        <item x="52"/>
        <item x="68"/>
        <item x="75"/>
        <item x="76"/>
        <item x="78"/>
        <item x="80"/>
        <item x="97"/>
        <item x="139"/>
        <item x="158"/>
        <item x="165"/>
        <item x="190"/>
        <item x="204"/>
        <item x="233"/>
        <item x="253"/>
        <item x="254"/>
        <item x="294"/>
        <item x="304"/>
      </items>
    </pivotField>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Row" compact="0" outline="0" subtotalTop="0" multipleItemSelectionAllowed="1" showAll="0" defaultSubtotal="0">
      <items count="7">
        <item x="2"/>
        <item x="0"/>
        <item m="1" x="5"/>
        <item x="3"/>
        <item m="1" x="6"/>
        <item x="1"/>
        <item x="4"/>
      </items>
    </pivotField>
    <pivotField compact="0" outline="0" subtotalTop="0" showAll="0" defaultSubtotal="0"/>
    <pivotField axis="axisRow" compact="0" outline="0" subtotalTop="0" showAll="0" defaultSubtotal="0">
      <items count="23">
        <item x="0"/>
        <item x="1"/>
        <item x="2"/>
        <item x="3"/>
        <item x="4"/>
        <item x="6"/>
        <item x="7"/>
        <item x="8"/>
        <item x="9"/>
        <item x="5"/>
        <item x="10"/>
        <item x="11"/>
        <item x="12"/>
        <item x="13"/>
        <item x="14"/>
        <item x="15"/>
        <item x="16"/>
        <item x="17"/>
        <item x="18"/>
        <item x="19"/>
        <item x="20"/>
        <item x="21"/>
        <item x="22"/>
      </items>
    </pivotField>
    <pivotField compact="0" outline="0" subtotalTop="0" showAll="0" sortType="ascending"/>
    <pivotField axis="axisRow" compact="0" outline="0" subtotalTop="0" showAll="0">
      <items count="7">
        <item x="1"/>
        <item x="0"/>
        <item x="2"/>
        <item h="1" x="4"/>
        <item h="1" x="3"/>
        <item h="1" m="1" x="5"/>
        <item t="default"/>
      </items>
    </pivotField>
    <pivotField axis="axisRow" compact="0" numFmtId="14" outline="0" subtotalTop="0" showAll="0" defaultSubtotal="0">
      <items count="5">
        <item x="1"/>
        <item x="0"/>
        <item x="2"/>
        <item x="4"/>
        <item x="3"/>
      </items>
    </pivotField>
    <pivotField compact="0" outline="0" showAll="0" defaultSubtotal="0"/>
    <pivotField axis="axisRow" compact="0" outline="0" subtotalTop="0" showAll="0" sortType="descending" defaultSubtotal="0">
      <items count="4">
        <item x="2"/>
        <item x="3"/>
        <item x="1"/>
        <item x="0"/>
      </items>
    </pivotField>
    <pivotField compact="0" outline="0" subtotalTop="0" showAll="0" defaultSubtotal="0"/>
    <pivotField axis="axisRow" compact="0" outline="0" subtotalTop="0" showAll="0" defaultSubtotal="0">
      <items count="11">
        <item x="2"/>
        <item x="3"/>
        <item x="4"/>
        <item x="1"/>
        <item m="1" x="10"/>
        <item m="1" x="9"/>
        <item m="1" x="8"/>
        <item x="0"/>
        <item x="5"/>
        <item x="7"/>
        <item x="6"/>
      </items>
    </pivotField>
    <pivotField dataField="1" compact="0" outline="0" subtotalTop="0" showAll="0" defaultSubtotal="0"/>
    <pivotField dataField="1" compact="0" outline="0" subtotalTop="0" showAll="0" defaultSubtotal="0"/>
    <pivotField dataField="1" compact="0" outline="0" subtotalTop="0" showAll="0" defaultSubtotal="0"/>
  </pivotFields>
  <rowFields count="9">
    <field x="18"/>
    <field x="19"/>
    <field x="23"/>
    <field x="16"/>
    <field x="1"/>
    <field x="0"/>
    <field x="3"/>
    <field x="14"/>
    <field x="21"/>
  </rowFields>
  <rowItems count="205">
    <i>
      <x/>
      <x/>
      <x/>
      <x/>
      <x v="19"/>
      <x v="6"/>
      <x v="95"/>
      <x v="1"/>
      <x/>
    </i>
    <i r="5">
      <x v="7"/>
      <x v="214"/>
      <x v="1"/>
      <x/>
    </i>
    <i r="5">
      <x v="8"/>
      <x v="216"/>
      <x v="1"/>
      <x/>
    </i>
    <i r="5">
      <x v="9"/>
      <x v="215"/>
      <x v="1"/>
      <x/>
    </i>
    <i r="5">
      <x v="10"/>
      <x v="308"/>
      <x v="1"/>
      <x v="2"/>
    </i>
    <i r="5">
      <x v="11"/>
      <x v="309"/>
      <x v="1"/>
      <x v="2"/>
    </i>
    <i r="5">
      <x v="13"/>
      <x v="218"/>
      <x v="1"/>
      <x v="1"/>
    </i>
    <i r="5">
      <x v="14"/>
      <x v="217"/>
      <x v="1"/>
      <x v="2"/>
    </i>
    <i r="5">
      <x v="15"/>
      <x v="242"/>
      <x v="1"/>
      <x v="2"/>
    </i>
    <i r="2">
      <x v="1"/>
      <x/>
      <x v="19"/>
      <x v="12"/>
      <x v="238"/>
      <x v="1"/>
      <x v="2"/>
    </i>
    <i r="5">
      <x v="16"/>
      <x v="38"/>
      <x v="1"/>
      <x v="1"/>
    </i>
    <i r="5">
      <x v="17"/>
      <x v="39"/>
      <x v="1"/>
      <x v="1"/>
    </i>
    <i r="5">
      <x v="18"/>
      <x v="256"/>
      <x v="1"/>
      <x v="1"/>
    </i>
    <i r="5">
      <x v="19"/>
      <x v="257"/>
      <x v="1"/>
      <x v="1"/>
    </i>
    <i r="5">
      <x v="20"/>
      <x v="254"/>
      <x v="1"/>
      <x v="2"/>
    </i>
    <i r="5">
      <x v="21"/>
      <x v="255"/>
      <x v="1"/>
      <x v="2"/>
    </i>
    <i r="5">
      <x v="22"/>
      <x v="49"/>
      <x v="1"/>
      <x v="1"/>
    </i>
    <i r="5">
      <x v="23"/>
      <x v="48"/>
      <x v="1"/>
      <x/>
    </i>
    <i r="5">
      <x v="24"/>
      <x v="125"/>
      <x v="1"/>
      <x/>
    </i>
    <i r="5">
      <x v="25"/>
      <x v="32"/>
      <x v="1"/>
      <x v="2"/>
    </i>
    <i r="5">
      <x v="26"/>
      <x v="310"/>
      <x v="1"/>
      <x v="2"/>
    </i>
    <i r="5">
      <x v="27"/>
      <x v="76"/>
      <x v="1"/>
      <x v="1"/>
    </i>
    <i r="5">
      <x v="28"/>
      <x v="311"/>
      <x v="1"/>
      <x v="2"/>
    </i>
    <i r="5">
      <x v="29"/>
      <x v="312"/>
      <x v="1"/>
      <x v="2"/>
    </i>
    <i r="5">
      <x v="30"/>
      <x v="313"/>
      <x v="1"/>
      <x v="2"/>
    </i>
    <i t="default">
      <x/>
    </i>
    <i>
      <x v="1"/>
      <x v="1"/>
      <x v="2"/>
      <x/>
      <x v="19"/>
      <x v="31"/>
      <x v="314"/>
      <x v="1"/>
      <x v="2"/>
    </i>
    <i r="5">
      <x v="32"/>
      <x v="315"/>
      <x v="1"/>
      <x v="2"/>
    </i>
    <i r="5">
      <x v="33"/>
      <x v="316"/>
      <x v="1"/>
      <x v="2"/>
    </i>
    <i r="5">
      <x v="34"/>
      <x v="317"/>
      <x v="1"/>
      <x v="2"/>
    </i>
    <i r="5">
      <x v="35"/>
      <x v="129"/>
      <x v="1"/>
      <x v="1"/>
    </i>
    <i r="5">
      <x v="36"/>
      <x v="318"/>
      <x v="1"/>
      <x v="2"/>
    </i>
    <i r="5">
      <x v="37"/>
      <x v="212"/>
      <x v="1"/>
      <x v="1"/>
    </i>
    <i r="5">
      <x v="38"/>
      <x v="319"/>
      <x v="1"/>
      <x v="2"/>
    </i>
    <i r="5">
      <x v="39"/>
      <x v="130"/>
      <x v="1"/>
      <x v="1"/>
    </i>
    <i r="5">
      <x v="40"/>
      <x v="320"/>
      <x v="1"/>
      <x v="2"/>
    </i>
    <i r="5">
      <x v="303"/>
      <x v="321"/>
      <x v="1"/>
      <x/>
    </i>
    <i r="2">
      <x v="3"/>
      <x/>
      <x v="19"/>
      <x v="5"/>
      <x v="126"/>
      <x v="1"/>
      <x v="2"/>
    </i>
    <i r="5">
      <x v="41"/>
      <x v="150"/>
      <x v="1"/>
      <x v="1"/>
    </i>
    <i r="5">
      <x v="42"/>
      <x v="322"/>
      <x v="1"/>
      <x v="1"/>
    </i>
    <i r="5">
      <x v="43"/>
      <x v="188"/>
      <x v="1"/>
      <x v="1"/>
    </i>
    <i r="5">
      <x v="44"/>
      <x v="183"/>
      <x v="1"/>
      <x v="1"/>
    </i>
    <i r="5">
      <x v="45"/>
      <x v="206"/>
      <x v="1"/>
      <x v="1"/>
    </i>
    <i r="5">
      <x v="46"/>
      <x v="203"/>
      <x v="1"/>
      <x v="1"/>
    </i>
    <i r="5">
      <x v="47"/>
      <x v="132"/>
      <x v="1"/>
      <x v="1"/>
    </i>
    <i r="5">
      <x v="48"/>
      <x v="62"/>
      <x v="1"/>
      <x v="1"/>
    </i>
    <i r="5">
      <x v="49"/>
      <x v="237"/>
      <x v="1"/>
      <x v="2"/>
    </i>
    <i r="5">
      <x v="51"/>
      <x v="128"/>
      <x v="1"/>
      <x v="1"/>
    </i>
    <i r="5">
      <x v="52"/>
      <x v="27"/>
      <x v="1"/>
      <x v="1"/>
    </i>
    <i r="2">
      <x v="7"/>
      <x/>
      <x v="19"/>
      <x/>
      <x v="230"/>
      <x v="1"/>
      <x v="3"/>
    </i>
    <i r="5">
      <x v="1"/>
      <x v="229"/>
      <x v="1"/>
      <x v="3"/>
    </i>
    <i r="5">
      <x v="2"/>
      <x v="228"/>
      <x v="1"/>
      <x v="3"/>
    </i>
    <i r="5">
      <x v="3"/>
      <x v="292"/>
      <x v="1"/>
      <x v="3"/>
    </i>
    <i r="5">
      <x v="4"/>
      <x v="227"/>
      <x v="1"/>
      <x v="3"/>
    </i>
    <i r="5">
      <x v="50"/>
      <x v="323"/>
      <x v="1"/>
      <x v="3"/>
    </i>
    <i r="5">
      <x v="304"/>
      <x v="43"/>
      <x v="1"/>
      <x v="2"/>
    </i>
    <i r="3">
      <x v="4"/>
      <x v="6"/>
      <x v="82"/>
      <x v="162"/>
      <x v="1"/>
      <x v="3"/>
    </i>
    <i r="5">
      <x v="83"/>
      <x v="141"/>
      <x v="1"/>
      <x v="1"/>
    </i>
    <i r="5">
      <x v="84"/>
      <x v="88"/>
      <x v="1"/>
      <x v="1"/>
    </i>
    <i r="5">
      <x v="85"/>
      <x v="87"/>
      <x v="1"/>
      <x v="2"/>
    </i>
    <i r="5">
      <x v="86"/>
      <x v="225"/>
      <x v="1"/>
      <x v="2"/>
    </i>
    <i r="5">
      <x v="87"/>
      <x v="149"/>
      <x v="1"/>
      <x v="3"/>
    </i>
    <i r="5">
      <x v="88"/>
      <x v="275"/>
      <x v="1"/>
      <x v="1"/>
    </i>
    <i r="5">
      <x v="89"/>
      <x v="164"/>
      <x v="1"/>
      <x v="2"/>
    </i>
    <i r="5">
      <x v="90"/>
      <x v="158"/>
      <x v="1"/>
      <x v="2"/>
    </i>
    <i r="5">
      <x v="91"/>
      <x v="107"/>
      <x v="1"/>
      <x v="2"/>
    </i>
    <i r="5">
      <x v="92"/>
      <x v="67"/>
      <x v="1"/>
      <x v="1"/>
    </i>
    <i r="5">
      <x v="93"/>
      <x v="133"/>
      <x v="1"/>
      <x v="1"/>
    </i>
    <i r="5">
      <x v="94"/>
      <x v="134"/>
      <x v="1"/>
      <x v="3"/>
    </i>
    <i r="5">
      <x v="95"/>
      <x v="329"/>
      <x v="1"/>
      <x v="2"/>
    </i>
    <i r="5">
      <x v="96"/>
      <x v="120"/>
      <x v="1"/>
      <x v="2"/>
    </i>
    <i r="5">
      <x v="97"/>
      <x v="91"/>
      <x v="1"/>
      <x v="1"/>
    </i>
    <i r="5">
      <x v="98"/>
      <x v="93"/>
      <x v="1"/>
      <x v="1"/>
    </i>
    <i r="5">
      <x v="99"/>
      <x v="263"/>
      <x v="1"/>
      <x v="1"/>
    </i>
    <i r="5">
      <x v="100"/>
      <x v="152"/>
      <x v="1"/>
      <x v="3"/>
    </i>
    <i r="5">
      <x v="101"/>
      <x v="151"/>
      <x v="1"/>
      <x v="3"/>
    </i>
    <i r="5">
      <x v="102"/>
      <x v="307"/>
      <x v="1"/>
      <x v="3"/>
    </i>
    <i r="5">
      <x v="103"/>
      <x v="50"/>
      <x v="1"/>
      <x v="3"/>
    </i>
    <i r="5">
      <x v="104"/>
      <x v="262"/>
      <x v="1"/>
      <x v="3"/>
    </i>
    <i r="5">
      <x v="105"/>
      <x v="261"/>
      <x v="1"/>
      <x v="3"/>
    </i>
    <i r="5">
      <x v="106"/>
      <x v="36"/>
      <x v="1"/>
      <x/>
    </i>
    <i r="5">
      <x v="107"/>
      <x v="37"/>
      <x v="1"/>
      <x v="3"/>
    </i>
    <i r="5">
      <x v="108"/>
      <x v="277"/>
      <x v="1"/>
      <x/>
    </i>
    <i r="5">
      <x v="109"/>
      <x v="276"/>
      <x v="1"/>
      <x v="3"/>
    </i>
    <i r="5">
      <x v="110"/>
      <x v="265"/>
      <x v="1"/>
      <x/>
    </i>
    <i r="5">
      <x v="111"/>
      <x v="264"/>
      <x v="1"/>
      <x v="3"/>
    </i>
    <i r="5">
      <x v="112"/>
      <x v="94"/>
      <x v="6"/>
      <x v="2"/>
    </i>
    <i r="5">
      <x v="113"/>
      <x v="301"/>
      <x v="3"/>
      <x v="2"/>
    </i>
    <i r="5">
      <x v="114"/>
      <x v="18"/>
      <x v="3"/>
      <x v="3"/>
    </i>
    <i r="5">
      <x v="115"/>
      <x v="302"/>
      <x v="3"/>
      <x v="2"/>
    </i>
    <i r="5">
      <x v="116"/>
      <x v="35"/>
      <x v="3"/>
      <x v="3"/>
    </i>
    <i r="5">
      <x v="117"/>
      <x v="123"/>
      <x v="3"/>
      <x v="2"/>
    </i>
    <i r="5">
      <x v="118"/>
      <x v="297"/>
      <x v="3"/>
      <x v="2"/>
    </i>
    <i r="5">
      <x v="119"/>
      <x v="106"/>
      <x v="3"/>
      <x v="2"/>
    </i>
    <i r="5">
      <x v="120"/>
      <x v="282"/>
      <x v="3"/>
      <x v="3"/>
    </i>
    <i r="5">
      <x v="121"/>
      <x v="293"/>
      <x v="3"/>
      <x v="3"/>
    </i>
    <i r="5">
      <x v="122"/>
      <x v="294"/>
      <x v="3"/>
      <x v="3"/>
    </i>
    <i r="5">
      <x v="123"/>
      <x v="99"/>
      <x v="3"/>
      <x v="2"/>
    </i>
    <i r="5">
      <x v="124"/>
      <x v="296"/>
      <x v="3"/>
      <x v="3"/>
    </i>
    <i r="5">
      <x v="125"/>
      <x v="121"/>
      <x v="6"/>
      <x v="3"/>
    </i>
    <i r="5">
      <x v="126"/>
      <x v="137"/>
      <x/>
      <x v="3"/>
    </i>
    <i r="5">
      <x v="127"/>
      <x v="139"/>
      <x/>
      <x v="3"/>
    </i>
    <i r="5">
      <x v="128"/>
      <x v="96"/>
      <x/>
      <x v="2"/>
    </i>
    <i r="5">
      <x v="129"/>
      <x v="266"/>
      <x v="6"/>
      <x v="1"/>
    </i>
    <i r="5">
      <x v="130"/>
      <x v="124"/>
      <x v="6"/>
      <x v="3"/>
    </i>
    <i r="5">
      <x v="131"/>
      <x v="75"/>
      <x v="3"/>
      <x v="2"/>
    </i>
    <i r="5">
      <x v="132"/>
      <x v="269"/>
      <x v="3"/>
      <x v="3"/>
    </i>
    <i r="5">
      <x v="133"/>
      <x v="270"/>
      <x v="3"/>
      <x v="2"/>
    </i>
    <i r="3">
      <x v="9"/>
      <x v="21"/>
      <x v="139"/>
      <x v="222"/>
      <x/>
      <x v="2"/>
    </i>
    <i r="5">
      <x v="140"/>
      <x v="221"/>
      <x/>
      <x v="2"/>
    </i>
    <i r="5">
      <x v="141"/>
      <x v="44"/>
      <x/>
      <x v="2"/>
    </i>
    <i r="5">
      <x v="142"/>
      <x v="142"/>
      <x/>
      <x v="3"/>
    </i>
    <i r="5">
      <x v="143"/>
      <x v="20"/>
      <x v="3"/>
      <x v="2"/>
    </i>
    <i r="5">
      <x v="144"/>
      <x v="21"/>
      <x/>
      <x v="3"/>
    </i>
    <i r="5">
      <x v="145"/>
      <x v="22"/>
      <x v="3"/>
      <x v="2"/>
    </i>
    <i r="5">
      <x v="146"/>
      <x v="23"/>
      <x/>
      <x v="3"/>
    </i>
    <i r="5">
      <x v="147"/>
      <x v="89"/>
      <x/>
      <x v="2"/>
    </i>
    <i r="5">
      <x v="148"/>
      <x v="207"/>
      <x v="3"/>
      <x v="3"/>
    </i>
    <i r="5">
      <x v="149"/>
      <x v="178"/>
      <x v="3"/>
      <x v="2"/>
    </i>
    <i r="5">
      <x v="150"/>
      <x v="198"/>
      <x v="3"/>
      <x v="2"/>
    </i>
    <i r="5">
      <x v="151"/>
      <x v="244"/>
      <x v="3"/>
      <x v="2"/>
    </i>
    <i r="5">
      <x v="152"/>
      <x v="259"/>
      <x v="3"/>
      <x v="2"/>
    </i>
    <i r="5">
      <x v="153"/>
      <x v="226"/>
      <x v="3"/>
      <x v="3"/>
    </i>
    <i r="5">
      <x v="154"/>
      <x v="247"/>
      <x v="1"/>
      <x v="2"/>
    </i>
    <i r="5">
      <x v="155"/>
      <x v="331"/>
      <x v="3"/>
      <x v="2"/>
    </i>
    <i r="5">
      <x v="156"/>
      <x v="63"/>
      <x/>
      <x v="2"/>
    </i>
    <i r="5">
      <x v="157"/>
      <x v="64"/>
      <x/>
      <x v="2"/>
    </i>
    <i r="5">
      <x v="158"/>
      <x v="177"/>
      <x/>
      <x v="2"/>
    </i>
    <i r="5">
      <x v="159"/>
      <x v="243"/>
      <x/>
      <x v="2"/>
    </i>
    <i r="5">
      <x v="160"/>
      <x v="273"/>
      <x v="3"/>
      <x v="2"/>
    </i>
    <i r="5">
      <x v="305"/>
      <x v="305"/>
      <x v="3"/>
      <x v="1"/>
    </i>
    <i r="5">
      <x v="306"/>
      <x v="306"/>
      <x v="3"/>
      <x v="1"/>
    </i>
    <i t="default">
      <x v="1"/>
    </i>
    <i>
      <x v="2"/>
      <x v="2"/>
      <x v="8"/>
      <x v="1"/>
      <x v="7"/>
      <x v="53"/>
      <x v="211"/>
      <x v="5"/>
      <x v="2"/>
    </i>
    <i r="5">
      <x v="54"/>
      <x v="240"/>
      <x v="5"/>
      <x v="2"/>
    </i>
    <i r="5">
      <x v="55"/>
      <x v="136"/>
      <x v="5"/>
      <x v="2"/>
    </i>
    <i r="5">
      <x v="56"/>
      <x v="86"/>
      <x v="5"/>
      <x v="2"/>
    </i>
    <i r="5">
      <x v="57"/>
      <x v="71"/>
      <x v="5"/>
      <x v="2"/>
    </i>
    <i r="5">
      <x v="58"/>
      <x v="72"/>
      <x v="5"/>
      <x v="2"/>
    </i>
    <i r="5">
      <x v="59"/>
      <x v="224"/>
      <x v="5"/>
      <x v="2"/>
    </i>
    <i r="5">
      <x v="60"/>
      <x v="173"/>
      <x v="5"/>
      <x v="2"/>
    </i>
    <i r="5">
      <x v="61"/>
      <x v="194"/>
      <x v="5"/>
      <x v="2"/>
    </i>
    <i r="5">
      <x v="62"/>
      <x v="52"/>
      <x v="5"/>
      <x v="2"/>
    </i>
    <i r="5">
      <x v="63"/>
      <x v="192"/>
      <x v="5"/>
      <x v="2"/>
    </i>
    <i r="5">
      <x v="64"/>
      <x v="195"/>
      <x v="5"/>
      <x v="2"/>
    </i>
    <i r="5">
      <x v="65"/>
      <x v="193"/>
      <x v="5"/>
      <x v="2"/>
    </i>
    <i r="5">
      <x v="66"/>
      <x v="324"/>
      <x/>
      <x v="1"/>
    </i>
    <i r="5">
      <x v="67"/>
      <x v="7"/>
      <x v="5"/>
      <x v="2"/>
    </i>
    <i r="3">
      <x v="6"/>
      <x v="8"/>
      <x v="136"/>
      <x v="330"/>
      <x v="3"/>
      <x v="1"/>
    </i>
    <i r="3">
      <x v="7"/>
      <x v="11"/>
      <x v="137"/>
      <x v="8"/>
      <x v="5"/>
      <x v="2"/>
    </i>
    <i r="3">
      <x v="9"/>
      <x v="21"/>
      <x v="161"/>
      <x v="332"/>
      <x v="5"/>
      <x v="1"/>
    </i>
    <i r="5">
      <x v="162"/>
      <x v="30"/>
      <x v="5"/>
      <x v="3"/>
    </i>
    <i r="5">
      <x v="163"/>
      <x v="29"/>
      <x v="5"/>
      <x v="3"/>
    </i>
    <i r="5">
      <x v="164"/>
      <x v="31"/>
      <x v="5"/>
      <x v="3"/>
    </i>
    <i r="5">
      <x v="165"/>
      <x v="274"/>
      <x v="3"/>
      <x v="1"/>
    </i>
    <i r="5">
      <x v="166"/>
      <x v="220"/>
      <x v="5"/>
      <x v="2"/>
    </i>
    <i r="5">
      <x v="167"/>
      <x v="219"/>
      <x v="5"/>
      <x v="3"/>
    </i>
    <i r="5">
      <x v="168"/>
      <x v="45"/>
      <x v="5"/>
      <x v="3"/>
    </i>
    <i r="5">
      <x v="169"/>
      <x v="235"/>
      <x v="5"/>
      <x v="2"/>
    </i>
    <i r="5">
      <x v="170"/>
      <x v="233"/>
      <x v="5"/>
      <x v="3"/>
    </i>
    <i r="5">
      <x v="171"/>
      <x v="234"/>
      <x v="5"/>
      <x v="3"/>
    </i>
    <i r="5">
      <x v="172"/>
      <x v="92"/>
      <x v="5"/>
      <x v="2"/>
    </i>
    <i r="5">
      <x v="173"/>
      <x v="246"/>
      <x v="5"/>
      <x v="2"/>
    </i>
    <i r="5">
      <x v="174"/>
      <x v="209"/>
      <x v="3"/>
      <x v="2"/>
    </i>
    <i r="5">
      <x v="175"/>
      <x v="145"/>
      <x v="3"/>
      <x v="2"/>
    </i>
    <i r="5">
      <x v="176"/>
      <x v="138"/>
      <x v="3"/>
      <x v="3"/>
    </i>
    <i r="5">
      <x v="177"/>
      <x v="131"/>
      <x v="3"/>
      <x v="2"/>
    </i>
    <i r="5">
      <x v="178"/>
      <x v="34"/>
      <x v="3"/>
      <x v="2"/>
    </i>
    <i r="5">
      <x v="179"/>
      <x v="98"/>
      <x v="3"/>
      <x v="2"/>
    </i>
    <i r="5">
      <x v="180"/>
      <x v="101"/>
      <x v="3"/>
      <x v="2"/>
    </i>
    <i r="5">
      <x v="181"/>
      <x v="165"/>
      <x v="3"/>
      <x v="2"/>
    </i>
    <i r="5">
      <x v="182"/>
      <x v="167"/>
      <x v="3"/>
      <x v="2"/>
    </i>
    <i r="5">
      <x v="183"/>
      <x v="60"/>
      <x v="3"/>
      <x v="2"/>
    </i>
    <i r="5">
      <x v="184"/>
      <x v="189"/>
      <x v="3"/>
      <x v="2"/>
    </i>
    <i r="5">
      <x v="185"/>
      <x v="171"/>
      <x v="3"/>
      <x v="2"/>
    </i>
    <i r="5">
      <x v="186"/>
      <x v="333"/>
      <x v="3"/>
      <x v="2"/>
    </i>
    <i r="5">
      <x v="187"/>
      <x v="300"/>
      <x v="3"/>
      <x v="2"/>
    </i>
    <i r="5">
      <x v="188"/>
      <x v="197"/>
      <x v="3"/>
      <x v="2"/>
    </i>
    <i r="5">
      <x v="189"/>
      <x v="61"/>
      <x v="3"/>
      <x v="2"/>
    </i>
    <i r="5">
      <x v="190"/>
      <x v="289"/>
      <x v="3"/>
      <x v="2"/>
    </i>
    <i r="5">
      <x v="191"/>
      <x v="46"/>
      <x v="3"/>
      <x v="2"/>
    </i>
    <i r="3">
      <x v="10"/>
      <x v="10"/>
      <x v="192"/>
      <x v="82"/>
      <x v="3"/>
      <x v="2"/>
    </i>
    <i r="5">
      <x v="193"/>
      <x v="140"/>
      <x v="5"/>
      <x v="2"/>
    </i>
    <i r="5">
      <x v="194"/>
      <x v="54"/>
      <x v="5"/>
      <x v="2"/>
    </i>
    <i r="5">
      <x v="195"/>
      <x v="204"/>
      <x v="5"/>
      <x v="3"/>
    </i>
    <i r="5">
      <x v="196"/>
      <x v="205"/>
      <x v="5"/>
      <x v="3"/>
    </i>
    <i r="5">
      <x v="197"/>
      <x v="186"/>
      <x v="5"/>
      <x v="3"/>
    </i>
    <i r="5">
      <x v="198"/>
      <x v="187"/>
      <x v="5"/>
      <x v="3"/>
    </i>
    <i r="5">
      <x v="199"/>
      <x v="66"/>
      <x v="5"/>
      <x v="2"/>
    </i>
    <i r="5">
      <x v="200"/>
      <x v="334"/>
      <x v="5"/>
      <x v="2"/>
    </i>
    <i r="5">
      <x v="201"/>
      <x v="9"/>
      <x v="5"/>
      <x v="2"/>
    </i>
    <i r="5">
      <x v="202"/>
      <x v="290"/>
      <x v="5"/>
      <x v="1"/>
    </i>
    <i r="3">
      <x v="19"/>
      <x v="5"/>
      <x v="257"/>
      <x v="6"/>
      <x v="5"/>
      <x v="2"/>
    </i>
    <i r="5">
      <x v="258"/>
      <x v="5"/>
      <x v="5"/>
      <x v="2"/>
    </i>
    <i r="3">
      <x v="22"/>
      <x v="20"/>
      <x v="294"/>
      <x v="65"/>
      <x v="5"/>
      <x v="2"/>
    </i>
    <i r="5">
      <x v="295"/>
      <x v="232"/>
      <x v="5"/>
      <x v="2"/>
    </i>
    <i r="5">
      <x v="296"/>
      <x v="19"/>
      <x v="5"/>
      <x/>
    </i>
    <i r="5">
      <x v="297"/>
      <x v="24"/>
      <x v="5"/>
      <x/>
    </i>
    <i r="5">
      <x v="298"/>
      <x v="239"/>
      <x v="5"/>
      <x/>
    </i>
    <i r="5">
      <x v="299"/>
      <x v="55"/>
      <x v="5"/>
      <x v="1"/>
    </i>
    <i r="5">
      <x v="300"/>
      <x v="339"/>
      <x v="5"/>
      <x v="2"/>
    </i>
    <i r="5">
      <x v="301"/>
      <x v="84"/>
      <x v="5"/>
      <x/>
    </i>
    <i r="5">
      <x v="302"/>
      <x v="122"/>
      <x v="5"/>
      <x/>
    </i>
    <i t="default">
      <x v="2"/>
    </i>
    <i t="grand">
      <x/>
    </i>
  </rowItems>
  <colFields count="1">
    <field x="-2"/>
  </colFields>
  <colItems count="4">
    <i>
      <x/>
    </i>
    <i i="1">
      <x v="1"/>
    </i>
    <i i="2">
      <x v="2"/>
    </i>
    <i i="3">
      <x v="3"/>
    </i>
  </colItems>
  <dataFields count="4">
    <dataField name="# fields" fld="3" subtotal="count" baseField="1" baseItem="19"/>
    <dataField name="Business Reviewd" fld="24" subtotal="count" baseField="1" baseItem="19"/>
    <dataField name="Formatted Business Rules" fld="25" subtotal="count" baseField="1" baseItem="19"/>
    <dataField name="Given to AI team" fld="26" subtotal="count" baseField="1" baseItem="19"/>
  </dataFields>
  <formats count="10">
    <format dxfId="19">
      <pivotArea dataOnly="0" outline="0" fieldPosition="0">
        <references count="1">
          <reference field="23" count="0" defaultSubtotal="1"/>
        </references>
      </pivotArea>
    </format>
    <format dxfId="20">
      <pivotArea dataOnly="0" outline="0" fieldPosition="0">
        <references count="1">
          <reference field="18" count="0" defaultSubtotal="1"/>
        </references>
      </pivotArea>
    </format>
    <format dxfId="21">
      <pivotArea field="14" type="button" dataOnly="0" labelOnly="1" outline="0" axis="axisRow" fieldPosition="7"/>
    </format>
    <format dxfId="22">
      <pivotArea dataOnly="0" labelOnly="1" grandCol="1" outline="0" fieldPosition="0"/>
    </format>
    <format dxfId="23">
      <pivotArea field="18" type="button" dataOnly="0" labelOnly="1" outline="0" axis="axisRow" fieldPosition="0"/>
    </format>
    <format dxfId="24">
      <pivotArea field="19" type="button" dataOnly="0" labelOnly="1" outline="0" axis="axisRow" fieldPosition="1"/>
    </format>
    <format dxfId="25">
      <pivotArea field="23" type="button" dataOnly="0" labelOnly="1" outline="0" axis="axisRow" fieldPosition="2"/>
    </format>
    <format dxfId="26">
      <pivotArea field="16" type="button" dataOnly="0" labelOnly="1" outline="0" axis="axisRow" fieldPosition="3"/>
    </format>
    <format dxfId="27">
      <pivotArea field="1" type="button" dataOnly="0" labelOnly="1" outline="0" axis="axisRow" fieldPosition="4"/>
    </format>
    <format dxfId="2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A88DFA-2712-412A-B188-12A71C965419}" name="PivotTable6" cacheId="5679"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J6:AO71" firstHeaderRow="2" firstDataRow="2" firstDataCol="5"/>
  <pivotFields count="23">
    <pivotField compact="0" outline="0" subtotalTop="0" showAll="0" defaultSubtotal="0"/>
    <pivotField compact="0" outline="0" subtotalTop="0" showAll="0" defaultSubtotal="0"/>
    <pivotField axis="axisRow" compact="0" outline="0" showAll="0" defaultSubtotal="0">
      <items count="63">
        <item x="26"/>
        <item x="21"/>
        <item m="1" x="62"/>
        <item x="40"/>
        <item x="39"/>
        <item x="56"/>
        <item x="7"/>
        <item x="37"/>
        <item x="38"/>
        <item x="32"/>
        <item x="47"/>
        <item x="14"/>
        <item x="10"/>
        <item x="33"/>
        <item x="45"/>
        <item x="15"/>
        <item x="41"/>
        <item x="25"/>
        <item x="6"/>
        <item x="43"/>
        <item x="42"/>
        <item x="12"/>
        <item x="1"/>
        <item x="46"/>
        <item x="11"/>
        <item x="18"/>
        <item x="35"/>
        <item x="2"/>
        <item x="28"/>
        <item x="36"/>
        <item x="4"/>
        <item x="0"/>
        <item x="49"/>
        <item x="34"/>
        <item x="8"/>
        <item x="3"/>
        <item x="27"/>
        <item x="9"/>
        <item x="16"/>
        <item x="29"/>
        <item x="31"/>
        <item x="17"/>
        <item x="19"/>
        <item x="20"/>
        <item x="22"/>
        <item x="23"/>
        <item x="24"/>
        <item x="44"/>
        <item x="48"/>
        <item x="50"/>
        <item x="51"/>
        <item x="52"/>
        <item x="53"/>
        <item x="54"/>
        <item x="55"/>
        <item x="57"/>
        <item x="58"/>
        <item x="59"/>
        <item x="60"/>
        <item x="61"/>
        <item x="5"/>
        <item x="13"/>
        <item x="30"/>
      </items>
    </pivotField>
    <pivotField axis="axisRow" dataField="1" compact="0" outline="0" showAll="0" defaultSubtotal="0">
      <items count="342">
        <item x="117"/>
        <item x="300"/>
        <item x="146"/>
        <item x="147"/>
        <item x="148"/>
        <item x="149"/>
        <item x="301"/>
        <item m="1" x="336"/>
        <item x="54"/>
        <item x="116"/>
        <item x="167"/>
        <item x="166"/>
        <item x="168"/>
        <item x="26"/>
        <item x="290"/>
        <item x="182"/>
        <item x="119"/>
        <item x="108"/>
        <item x="109"/>
        <item x="17"/>
        <item m="1" x="316"/>
        <item m="1" x="313"/>
        <item m="1" x="318"/>
        <item x="144"/>
        <item x="172"/>
        <item x="195"/>
        <item x="236"/>
        <item x="24"/>
        <item x="23"/>
        <item x="105"/>
        <item m="1" x="339"/>
        <item x="64"/>
        <item x="198"/>
        <item x="303"/>
        <item x="243"/>
        <item x="288"/>
        <item x="248"/>
        <item x="187"/>
        <item x="193"/>
        <item x="50"/>
        <item x="159"/>
        <item x="160"/>
        <item x="298"/>
        <item x="203"/>
        <item x="94"/>
        <item x="137"/>
        <item x="284"/>
        <item x="59"/>
        <item x="60"/>
        <item m="1" x="319"/>
        <item x="212"/>
        <item x="134"/>
        <item x="28"/>
        <item m="1" x="334"/>
        <item m="1" x="338"/>
        <item x="251"/>
        <item x="245"/>
        <item x="244"/>
        <item x="196"/>
        <item x="265"/>
        <item x="305"/>
        <item x="295"/>
        <item x="58"/>
        <item x="86"/>
        <item x="85"/>
        <item x="150"/>
        <item x="259"/>
        <item x="99"/>
        <item x="176"/>
        <item x="100"/>
        <item x="114"/>
        <item x="7"/>
        <item x="131"/>
        <item x="214"/>
        <item x="183"/>
        <item x="126"/>
        <item x="246"/>
        <item x="184"/>
        <item x="77"/>
        <item x="79"/>
        <item m="1" x="326"/>
        <item x="241"/>
        <item x="122"/>
        <item x="93"/>
        <item m="1" x="328"/>
        <item m="1" x="340"/>
        <item m="1" x="321"/>
        <item m="1" x="309"/>
        <item m="1" x="333"/>
        <item m="1" x="307"/>
        <item m="1" x="330"/>
        <item m="1" x="315"/>
        <item m="1" x="308"/>
        <item m="1" x="314"/>
        <item x="98"/>
        <item x="128"/>
        <item x="306"/>
        <item x="120"/>
        <item x="25"/>
        <item x="5"/>
        <item x="276"/>
        <item x="53"/>
        <item x="36"/>
        <item x="40"/>
        <item x="181"/>
        <item x="49"/>
        <item x="95"/>
        <item x="96"/>
        <item x="138"/>
        <item x="57"/>
        <item x="129"/>
        <item x="130"/>
        <item x="197"/>
        <item x="84"/>
        <item x="145"/>
        <item x="257"/>
        <item x="71"/>
        <item x="89"/>
        <item x="43"/>
        <item x="103"/>
        <item x="102"/>
        <item x="281"/>
        <item x="210"/>
        <item x="227"/>
        <item x="218"/>
        <item x="219"/>
        <item x="92"/>
        <item x="217"/>
        <item x="226"/>
        <item x="216"/>
        <item x="83"/>
        <item x="213"/>
        <item x="91"/>
        <item x="185"/>
        <item x="255"/>
        <item x="186"/>
        <item x="268"/>
        <item x="267"/>
        <item x="293"/>
        <item x="189"/>
        <item x="250"/>
        <item x="62"/>
        <item x="287"/>
        <item x="292"/>
        <item x="161"/>
        <item x="152"/>
        <item x="235"/>
        <item x="230"/>
        <item x="231"/>
        <item x="232"/>
        <item x="46"/>
        <item x="201"/>
        <item x="202"/>
        <item x="45"/>
        <item x="188"/>
        <item x="240"/>
        <item x="63"/>
        <item x="66"/>
        <item x="211"/>
        <item x="192"/>
        <item x="153"/>
        <item x="285"/>
        <item x="282"/>
        <item x="283"/>
        <item x="234"/>
        <item x="48"/>
        <item x="199"/>
        <item x="200"/>
        <item x="47"/>
        <item x="151"/>
        <item x="238"/>
        <item x="178"/>
        <item m="1" x="335"/>
        <item x="55"/>
        <item x="38"/>
        <item m="1" x="317"/>
        <item x="8"/>
        <item x="10"/>
        <item x="9"/>
        <item x="15"/>
        <item x="14"/>
        <item x="171"/>
        <item x="170"/>
        <item x="143"/>
        <item x="142"/>
        <item x="289"/>
        <item x="61"/>
        <item x="88"/>
        <item x="157"/>
        <item x="4"/>
        <item x="2"/>
        <item x="1"/>
        <item x="0"/>
        <item x="270"/>
        <item x="299"/>
        <item x="174"/>
        <item x="175"/>
        <item x="173"/>
        <item x="242"/>
        <item x="51"/>
        <item x="13"/>
        <item x="302"/>
        <item x="56"/>
        <item x="280"/>
        <item x="16"/>
        <item x="162"/>
        <item x="154"/>
        <item x="177"/>
        <item x="87"/>
        <item x="229"/>
        <item x="224"/>
        <item x="228"/>
        <item x="221"/>
        <item x="222"/>
        <item x="21"/>
        <item x="22"/>
        <item x="19"/>
        <item x="20"/>
        <item x="156"/>
        <item x="207"/>
        <item x="107"/>
        <item x="106"/>
        <item x="101"/>
        <item x="113"/>
        <item x="112"/>
        <item x="132"/>
        <item x="252"/>
        <item m="1" x="323"/>
        <item x="135"/>
        <item x="136"/>
        <item x="269"/>
        <item m="1" x="332"/>
        <item x="164"/>
        <item x="169"/>
        <item x="90"/>
        <item x="111"/>
        <item x="110"/>
        <item m="1" x="327"/>
        <item m="1" x="325"/>
        <item m="1" x="322"/>
        <item x="239"/>
        <item x="123"/>
        <item x="249"/>
        <item m="1" x="324"/>
        <item x="297"/>
        <item m="1" x="312"/>
        <item m="1" x="311"/>
        <item x="194"/>
        <item x="206"/>
        <item m="1" x="329"/>
        <item x="3"/>
        <item x="124"/>
        <item x="125"/>
        <item x="215"/>
        <item x="127"/>
        <item x="121"/>
        <item m="1" x="337"/>
        <item m="1" x="341"/>
        <item x="191"/>
        <item x="115"/>
        <item x="118"/>
        <item x="263"/>
        <item x="264"/>
        <item x="141"/>
        <item x="272"/>
        <item x="133"/>
        <item x="179"/>
        <item x="266"/>
        <item x="18"/>
        <item x="65"/>
        <item x="67"/>
        <item x="69"/>
        <item x="72"/>
        <item x="73"/>
        <item x="74"/>
        <item x="81"/>
        <item x="82"/>
        <item x="140"/>
        <item x="180"/>
        <item x="205"/>
        <item x="208"/>
        <item x="209"/>
        <item x="220"/>
        <item x="223"/>
        <item x="225"/>
        <item x="237"/>
        <item x="247"/>
        <item x="256"/>
        <item x="258"/>
        <item x="260"/>
        <item x="261"/>
        <item x="262"/>
        <item x="271"/>
        <item x="273"/>
        <item x="274"/>
        <item x="275"/>
        <item x="277"/>
        <item x="278"/>
        <item x="279"/>
        <item x="286"/>
        <item x="291"/>
        <item x="70"/>
        <item x="296"/>
        <item m="1" x="320"/>
        <item m="1" x="331"/>
        <item m="1" x="310"/>
        <item x="6"/>
        <item x="155"/>
        <item x="163"/>
        <item x="104"/>
        <item x="11"/>
        <item x="12"/>
        <item x="27"/>
        <item x="29"/>
        <item x="30"/>
        <item x="31"/>
        <item x="32"/>
        <item x="33"/>
        <item x="34"/>
        <item x="35"/>
        <item x="37"/>
        <item x="39"/>
        <item x="41"/>
        <item x="42"/>
        <item x="44"/>
        <item x="52"/>
        <item x="68"/>
        <item x="75"/>
        <item x="76"/>
        <item x="78"/>
        <item x="80"/>
        <item x="97"/>
        <item x="139"/>
        <item x="158"/>
        <item x="165"/>
        <item x="190"/>
        <item x="204"/>
        <item x="233"/>
        <item x="253"/>
        <item x="254"/>
        <item x="294"/>
        <item x="304"/>
      </items>
    </pivotField>
    <pivotField compact="0" outline="0" showAll="0" defaultSubtotal="0"/>
    <pivotField compact="0" outline="0" showAll="0" defaultSubtotal="0"/>
    <pivotField axis="axisRow" compact="0" outline="0" multipleItemSelectionAllowed="1" showAll="0" defaultSubtotal="0">
      <items count="86">
        <item x="0"/>
        <item x="43"/>
        <item x="71"/>
        <item x="72"/>
        <item x="49"/>
        <item x="3"/>
        <item x="82"/>
        <item x="12"/>
        <item x="30"/>
        <item x="31"/>
        <item x="9"/>
        <item x="18"/>
        <item x="13"/>
        <item x="11"/>
        <item x="78"/>
        <item m="1" x="84"/>
        <item x="1"/>
        <item x="7"/>
        <item x="45"/>
        <item x="22"/>
        <item x="8"/>
        <item x="21"/>
        <item x="41"/>
        <item x="69"/>
        <item x="20"/>
        <item x="14"/>
        <item x="81"/>
        <item x="2"/>
        <item m="1" x="85"/>
        <item x="4"/>
        <item x="5"/>
        <item x="6"/>
        <item x="10"/>
        <item x="15"/>
        <item x="16"/>
        <item x="17"/>
        <item x="19"/>
        <item x="23"/>
        <item x="24"/>
        <item x="25"/>
        <item x="26"/>
        <item x="27"/>
        <item m="1" x="83"/>
        <item x="32"/>
        <item x="33"/>
        <item x="34"/>
        <item x="35"/>
        <item x="36"/>
        <item x="37"/>
        <item x="38"/>
        <item x="39"/>
        <item x="40"/>
        <item x="44"/>
        <item x="47"/>
        <item x="48"/>
        <item x="50"/>
        <item x="51"/>
        <item x="52"/>
        <item x="53"/>
        <item x="54"/>
        <item x="55"/>
        <item x="56"/>
        <item x="57"/>
        <item x="58"/>
        <item x="59"/>
        <item x="60"/>
        <item x="61"/>
        <item x="63"/>
        <item x="64"/>
        <item x="65"/>
        <item x="66"/>
        <item x="67"/>
        <item x="68"/>
        <item x="73"/>
        <item x="74"/>
        <item x="75"/>
        <item x="76"/>
        <item x="77"/>
        <item x="79"/>
        <item x="80"/>
        <item x="28"/>
        <item x="29"/>
        <item x="42"/>
        <item x="46"/>
        <item x="62"/>
        <item x="70"/>
      </items>
    </pivotField>
    <pivotField compact="0" outline="0" subtotalTop="0" showAll="0" defaultSubtotal="0"/>
    <pivotField axis="axisRow" compact="0" outline="0" showAll="0" defaultSubtotal="0">
      <items count="10">
        <item x="8"/>
        <item x="9"/>
        <item x="4"/>
        <item x="3"/>
        <item x="2"/>
        <item x="1"/>
        <item x="6"/>
        <item x="7"/>
        <item x="5"/>
        <item x="0"/>
      </items>
    </pivotField>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4" outline="0" subtotalTop="0" showAll="0" defaultSubtotal="0"/>
    <pivotField compact="0" outline="0" showAll="0" defaultSubtotal="0"/>
    <pivotField axis="axisRow" compact="0" outline="0" subtotalTop="0" showAll="0" sortType="descending" defaultSubtotal="0">
      <items count="4">
        <item h="1" x="2"/>
        <item h="1" x="3"/>
        <item h="1" x="1"/>
        <item x="0"/>
      </items>
    </pivotField>
    <pivotField compact="0" outline="0" subtotalTop="0" showAll="0" defaultSubtotal="0"/>
  </pivotFields>
  <rowFields count="5">
    <field x="21"/>
    <field x="3"/>
    <field x="8"/>
    <field x="6"/>
    <field x="2"/>
  </rowFields>
  <rowItems count="64">
    <i>
      <x v="3"/>
      <x/>
      <x v="4"/>
      <x/>
      <x v="1"/>
    </i>
    <i r="1">
      <x v="3"/>
      <x v="9"/>
      <x/>
      <x v="25"/>
    </i>
    <i r="1">
      <x v="5"/>
      <x v="9"/>
      <x/>
      <x v="25"/>
    </i>
    <i r="1">
      <x v="9"/>
      <x v="5"/>
      <x/>
      <x v="38"/>
    </i>
    <i r="1">
      <x v="10"/>
      <x v="9"/>
      <x/>
      <x/>
    </i>
    <i r="1">
      <x v="11"/>
      <x v="9"/>
      <x/>
      <x/>
    </i>
    <i r="1">
      <x v="12"/>
      <x v="9"/>
      <x/>
      <x/>
    </i>
    <i r="1">
      <x v="16"/>
      <x v="4"/>
      <x/>
      <x v="1"/>
    </i>
    <i r="1">
      <x v="18"/>
      <x v="4"/>
      <x v="49"/>
      <x v="43"/>
    </i>
    <i r="1">
      <x v="24"/>
      <x v="9"/>
      <x v="63"/>
      <x v="28"/>
    </i>
    <i r="1">
      <x v="29"/>
      <x v="4"/>
      <x v="47"/>
      <x v="43"/>
    </i>
    <i r="1">
      <x v="56"/>
      <x v="7"/>
      <x/>
      <x v="1"/>
    </i>
    <i r="1">
      <x v="57"/>
      <x v="7"/>
      <x/>
      <x v="1"/>
    </i>
    <i r="1">
      <x v="76"/>
      <x v="7"/>
      <x/>
      <x v="1"/>
    </i>
    <i r="1">
      <x v="79"/>
      <x v="5"/>
      <x/>
      <x v="38"/>
    </i>
    <i r="1">
      <x v="95"/>
      <x v="4"/>
      <x v="82"/>
      <x v="44"/>
    </i>
    <i r="1">
      <x v="107"/>
      <x v="4"/>
      <x/>
      <x v="41"/>
    </i>
    <i r="1">
      <x v="110"/>
      <x v="4"/>
      <x/>
      <x v="44"/>
    </i>
    <i r="1">
      <x v="111"/>
      <x v="4"/>
      <x/>
      <x v="44"/>
    </i>
    <i r="1">
      <x v="114"/>
      <x v="9"/>
      <x v="54"/>
      <x v="25"/>
    </i>
    <i r="1">
      <x v="117"/>
      <x v="4"/>
      <x/>
      <x v="41"/>
    </i>
    <i r="1">
      <x v="119"/>
      <x v="4"/>
      <x v="46"/>
      <x v="43"/>
    </i>
    <i r="1">
      <x v="120"/>
      <x v="4"/>
      <x v="46"/>
      <x v="43"/>
    </i>
    <i r="1">
      <x v="130"/>
      <x v="4"/>
      <x v="37"/>
      <x v="41"/>
    </i>
    <i r="1">
      <x v="136"/>
      <x v="5"/>
      <x/>
      <x v="49"/>
    </i>
    <i r="1">
      <x v="137"/>
      <x v="5"/>
      <x/>
      <x v="49"/>
    </i>
    <i r="1">
      <x v="151"/>
      <x v="4"/>
      <x/>
      <x v="9"/>
    </i>
    <i r="1">
      <x v="152"/>
      <x v="4"/>
      <x/>
      <x v="9"/>
    </i>
    <i r="1">
      <x v="163"/>
      <x v="5"/>
      <x/>
      <x v="51"/>
    </i>
    <i r="1">
      <x v="166"/>
      <x v="4"/>
      <x/>
      <x v="9"/>
    </i>
    <i r="1">
      <x v="167"/>
      <x v="4"/>
      <x/>
      <x v="9"/>
    </i>
    <i r="1">
      <x v="169"/>
      <x v="9"/>
      <x/>
      <x v="25"/>
    </i>
    <i r="1">
      <x v="170"/>
      <x v="7"/>
      <x/>
      <x v="20"/>
    </i>
    <i r="1">
      <x v="181"/>
      <x v="9"/>
      <x v="62"/>
      <x v="28"/>
    </i>
    <i r="1">
      <x v="188"/>
      <x v="9"/>
      <x/>
      <x v="25"/>
    </i>
    <i r="1">
      <x v="189"/>
      <x v="9"/>
      <x v="16"/>
      <x v="22"/>
    </i>
    <i r="1">
      <x v="190"/>
      <x v="9"/>
      <x/>
      <x v="31"/>
    </i>
    <i r="1">
      <x v="191"/>
      <x v="9"/>
      <x/>
      <x v="31"/>
    </i>
    <i r="1">
      <x v="192"/>
      <x v="9"/>
      <x/>
      <x v="31"/>
    </i>
    <i r="1">
      <x v="195"/>
      <x v="9"/>
      <x v="65"/>
      <x v="28"/>
    </i>
    <i r="1">
      <x v="196"/>
      <x v="9"/>
      <x v="65"/>
      <x v="28"/>
    </i>
    <i r="1">
      <x v="220"/>
      <x v="4"/>
      <x v="48"/>
      <x v="43"/>
    </i>
    <i r="1">
      <x v="221"/>
      <x v="4"/>
      <x v="48"/>
      <x v="43"/>
    </i>
    <i r="1">
      <x v="223"/>
      <x v="4"/>
      <x v="51"/>
      <x v="43"/>
    </i>
    <i r="1">
      <x v="228"/>
      <x v="4"/>
      <x/>
      <x v="45"/>
    </i>
    <i r="1">
      <x v="235"/>
      <x v="4"/>
      <x v="50"/>
      <x v="43"/>
    </i>
    <i r="1">
      <x v="241"/>
      <x v="4"/>
      <x/>
      <x v="1"/>
    </i>
    <i r="1">
      <x v="250"/>
      <x v="9"/>
      <x/>
      <x v="31"/>
    </i>
    <i r="1">
      <x v="251"/>
      <x v="4"/>
      <x/>
      <x v="1"/>
    </i>
    <i r="1">
      <x v="252"/>
      <x v="4"/>
      <x/>
      <x v="1"/>
    </i>
    <i r="1">
      <x v="254"/>
      <x v="4"/>
      <x/>
      <x v="1"/>
    </i>
    <i r="1">
      <x v="263"/>
      <x v="4"/>
      <x/>
      <x v="17"/>
    </i>
    <i r="1">
      <x v="265"/>
      <x v="4"/>
      <x/>
      <x v="44"/>
    </i>
    <i r="1">
      <x v="267"/>
      <x v="5"/>
      <x/>
      <x v="49"/>
    </i>
    <i r="1">
      <x v="274"/>
      <x v="5"/>
      <x/>
      <x v="38"/>
    </i>
    <i r="1">
      <x v="278"/>
      <x v="4"/>
      <x/>
      <x v="62"/>
    </i>
    <i r="1">
      <x v="302"/>
      <x v="5"/>
      <x v="3"/>
      <x v="55"/>
    </i>
    <i r="1">
      <x v="309"/>
      <x v="4"/>
      <x v="47"/>
      <x v="43"/>
    </i>
    <i r="1">
      <x v="325"/>
      <x v="9"/>
      <x/>
      <x v="37"/>
    </i>
    <i r="1">
      <x v="327"/>
      <x v="5"/>
      <x/>
      <x v="38"/>
    </i>
    <i r="1">
      <x v="328"/>
      <x v="5"/>
      <x/>
      <x v="38"/>
    </i>
    <i r="1">
      <x v="329"/>
      <x v="5"/>
      <x/>
      <x v="38"/>
    </i>
    <i r="1">
      <x v="330"/>
      <x v="5"/>
      <x/>
      <x v="38"/>
    </i>
    <i t="grand">
      <x/>
    </i>
  </rowItems>
  <colItems count="1">
    <i/>
  </colItems>
  <dataFields count="1">
    <dataField name="Count of field names in Trng deck"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CB6716-8D6F-4170-A8E5-E432DC757AA8}" name="PivotTable5" cacheId="5679"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A6:AF196" firstHeaderRow="2" firstDataRow="2" firstDataCol="5"/>
  <pivotFields count="23">
    <pivotField compact="0" outline="0" subtotalTop="0" showAll="0" defaultSubtotal="0"/>
    <pivotField compact="0" outline="0" subtotalTop="0" showAll="0" defaultSubtotal="0"/>
    <pivotField axis="axisRow" compact="0" outline="0" showAll="0" defaultSubtotal="0">
      <items count="63">
        <item x="26"/>
        <item x="21"/>
        <item m="1" x="62"/>
        <item x="40"/>
        <item x="39"/>
        <item x="56"/>
        <item x="7"/>
        <item x="37"/>
        <item x="38"/>
        <item x="32"/>
        <item x="47"/>
        <item x="14"/>
        <item x="10"/>
        <item x="33"/>
        <item x="45"/>
        <item x="15"/>
        <item x="41"/>
        <item x="25"/>
        <item x="6"/>
        <item x="43"/>
        <item x="42"/>
        <item x="12"/>
        <item x="1"/>
        <item x="46"/>
        <item x="11"/>
        <item x="18"/>
        <item x="35"/>
        <item x="2"/>
        <item x="28"/>
        <item x="36"/>
        <item x="4"/>
        <item x="0"/>
        <item x="49"/>
        <item x="34"/>
        <item x="8"/>
        <item x="3"/>
        <item x="27"/>
        <item x="9"/>
        <item x="16"/>
        <item x="29"/>
        <item x="31"/>
        <item x="17"/>
        <item x="19"/>
        <item x="20"/>
        <item x="22"/>
        <item x="23"/>
        <item x="24"/>
        <item x="44"/>
        <item x="48"/>
        <item x="50"/>
        <item x="51"/>
        <item x="52"/>
        <item x="53"/>
        <item x="54"/>
        <item x="55"/>
        <item x="57"/>
        <item x="58"/>
        <item x="59"/>
        <item x="60"/>
        <item x="61"/>
        <item x="5"/>
        <item x="13"/>
        <item x="30"/>
      </items>
    </pivotField>
    <pivotField axis="axisRow" dataField="1" compact="0" outline="0" showAll="0" defaultSubtotal="0">
      <items count="342">
        <item x="117"/>
        <item x="300"/>
        <item x="146"/>
        <item x="147"/>
        <item x="148"/>
        <item x="149"/>
        <item x="301"/>
        <item m="1" x="336"/>
        <item x="54"/>
        <item x="116"/>
        <item x="167"/>
        <item x="166"/>
        <item x="168"/>
        <item x="26"/>
        <item x="290"/>
        <item x="182"/>
        <item x="119"/>
        <item x="108"/>
        <item x="109"/>
        <item x="17"/>
        <item m="1" x="316"/>
        <item m="1" x="313"/>
        <item m="1" x="318"/>
        <item x="144"/>
        <item x="172"/>
        <item x="195"/>
        <item x="236"/>
        <item x="24"/>
        <item x="23"/>
        <item x="105"/>
        <item m="1" x="339"/>
        <item x="64"/>
        <item x="198"/>
        <item x="303"/>
        <item x="243"/>
        <item x="288"/>
        <item x="248"/>
        <item x="187"/>
        <item x="193"/>
        <item x="50"/>
        <item x="159"/>
        <item x="160"/>
        <item x="298"/>
        <item x="203"/>
        <item x="94"/>
        <item x="137"/>
        <item x="284"/>
        <item x="59"/>
        <item x="60"/>
        <item m="1" x="319"/>
        <item x="212"/>
        <item x="134"/>
        <item x="28"/>
        <item m="1" x="334"/>
        <item m="1" x="338"/>
        <item x="251"/>
        <item x="245"/>
        <item x="244"/>
        <item x="196"/>
        <item x="265"/>
        <item x="305"/>
        <item x="295"/>
        <item x="58"/>
        <item x="86"/>
        <item x="85"/>
        <item x="150"/>
        <item x="259"/>
        <item x="99"/>
        <item x="176"/>
        <item x="100"/>
        <item x="114"/>
        <item x="7"/>
        <item x="131"/>
        <item x="214"/>
        <item x="183"/>
        <item x="126"/>
        <item x="246"/>
        <item x="184"/>
        <item x="77"/>
        <item x="79"/>
        <item m="1" x="326"/>
        <item x="241"/>
        <item x="122"/>
        <item x="93"/>
        <item m="1" x="328"/>
        <item m="1" x="340"/>
        <item m="1" x="321"/>
        <item m="1" x="309"/>
        <item m="1" x="333"/>
        <item m="1" x="307"/>
        <item m="1" x="330"/>
        <item m="1" x="315"/>
        <item m="1" x="308"/>
        <item m="1" x="314"/>
        <item x="98"/>
        <item x="128"/>
        <item x="306"/>
        <item x="120"/>
        <item x="25"/>
        <item x="5"/>
        <item x="276"/>
        <item x="53"/>
        <item x="36"/>
        <item x="40"/>
        <item x="181"/>
        <item x="49"/>
        <item x="95"/>
        <item x="96"/>
        <item x="138"/>
        <item x="57"/>
        <item x="129"/>
        <item x="130"/>
        <item x="197"/>
        <item x="84"/>
        <item x="145"/>
        <item x="257"/>
        <item x="71"/>
        <item x="89"/>
        <item x="43"/>
        <item x="103"/>
        <item x="102"/>
        <item x="281"/>
        <item x="210"/>
        <item x="227"/>
        <item x="218"/>
        <item x="219"/>
        <item x="92"/>
        <item x="217"/>
        <item x="226"/>
        <item x="216"/>
        <item x="83"/>
        <item x="213"/>
        <item x="91"/>
        <item x="185"/>
        <item x="255"/>
        <item x="186"/>
        <item x="268"/>
        <item x="267"/>
        <item x="293"/>
        <item x="189"/>
        <item x="250"/>
        <item x="62"/>
        <item x="287"/>
        <item x="292"/>
        <item x="161"/>
        <item x="152"/>
        <item x="235"/>
        <item x="230"/>
        <item x="231"/>
        <item x="232"/>
        <item x="46"/>
        <item x="201"/>
        <item x="202"/>
        <item x="45"/>
        <item x="188"/>
        <item x="240"/>
        <item x="63"/>
        <item x="66"/>
        <item x="211"/>
        <item x="192"/>
        <item x="153"/>
        <item x="285"/>
        <item x="282"/>
        <item x="283"/>
        <item x="234"/>
        <item x="48"/>
        <item x="199"/>
        <item x="200"/>
        <item x="47"/>
        <item x="151"/>
        <item x="238"/>
        <item x="178"/>
        <item m="1" x="335"/>
        <item x="55"/>
        <item x="38"/>
        <item m="1" x="317"/>
        <item x="8"/>
        <item x="10"/>
        <item x="9"/>
        <item x="15"/>
        <item x="14"/>
        <item x="171"/>
        <item x="170"/>
        <item x="143"/>
        <item x="142"/>
        <item x="289"/>
        <item x="61"/>
        <item x="88"/>
        <item x="157"/>
        <item x="4"/>
        <item x="2"/>
        <item x="1"/>
        <item x="0"/>
        <item x="270"/>
        <item x="299"/>
        <item x="174"/>
        <item x="175"/>
        <item x="173"/>
        <item x="242"/>
        <item x="51"/>
        <item x="13"/>
        <item x="302"/>
        <item x="56"/>
        <item x="280"/>
        <item x="16"/>
        <item x="162"/>
        <item x="154"/>
        <item x="177"/>
        <item x="87"/>
        <item x="229"/>
        <item x="224"/>
        <item x="228"/>
        <item x="221"/>
        <item x="222"/>
        <item x="21"/>
        <item x="22"/>
        <item x="19"/>
        <item x="20"/>
        <item x="156"/>
        <item x="207"/>
        <item x="107"/>
        <item x="106"/>
        <item x="101"/>
        <item x="113"/>
        <item x="112"/>
        <item x="132"/>
        <item x="252"/>
        <item m="1" x="323"/>
        <item x="135"/>
        <item x="136"/>
        <item x="269"/>
        <item m="1" x="332"/>
        <item x="164"/>
        <item x="169"/>
        <item x="90"/>
        <item x="111"/>
        <item x="110"/>
        <item m="1" x="327"/>
        <item m="1" x="325"/>
        <item m="1" x="322"/>
        <item x="239"/>
        <item x="123"/>
        <item x="249"/>
        <item m="1" x="324"/>
        <item x="297"/>
        <item m="1" x="312"/>
        <item m="1" x="311"/>
        <item x="194"/>
        <item x="206"/>
        <item m="1" x="329"/>
        <item x="3"/>
        <item x="124"/>
        <item x="125"/>
        <item x="215"/>
        <item x="127"/>
        <item x="121"/>
        <item m="1" x="337"/>
        <item m="1" x="341"/>
        <item x="191"/>
        <item x="115"/>
        <item x="118"/>
        <item x="263"/>
        <item x="264"/>
        <item x="141"/>
        <item x="272"/>
        <item x="133"/>
        <item x="179"/>
        <item x="266"/>
        <item x="18"/>
        <item x="65"/>
        <item x="67"/>
        <item x="69"/>
        <item x="72"/>
        <item x="73"/>
        <item x="74"/>
        <item x="81"/>
        <item x="82"/>
        <item x="140"/>
        <item x="180"/>
        <item x="205"/>
        <item x="208"/>
        <item x="209"/>
        <item x="220"/>
        <item x="223"/>
        <item x="225"/>
        <item x="237"/>
        <item x="247"/>
        <item x="256"/>
        <item x="258"/>
        <item x="260"/>
        <item x="261"/>
        <item x="262"/>
        <item x="271"/>
        <item x="273"/>
        <item x="274"/>
        <item x="275"/>
        <item x="277"/>
        <item x="278"/>
        <item x="279"/>
        <item x="286"/>
        <item x="291"/>
        <item x="70"/>
        <item x="296"/>
        <item m="1" x="320"/>
        <item m="1" x="331"/>
        <item m="1" x="310"/>
        <item x="6"/>
        <item x="155"/>
        <item x="163"/>
        <item x="104"/>
        <item x="11"/>
        <item x="12"/>
        <item x="27"/>
        <item x="29"/>
        <item x="30"/>
        <item x="31"/>
        <item x="32"/>
        <item x="33"/>
        <item x="34"/>
        <item x="35"/>
        <item x="37"/>
        <item x="39"/>
        <item x="41"/>
        <item x="42"/>
        <item x="44"/>
        <item x="52"/>
        <item x="68"/>
        <item x="75"/>
        <item x="76"/>
        <item x="78"/>
        <item x="80"/>
        <item x="97"/>
        <item x="139"/>
        <item x="158"/>
        <item x="165"/>
        <item x="190"/>
        <item x="204"/>
        <item x="233"/>
        <item x="253"/>
        <item x="254"/>
        <item x="294"/>
        <item x="304"/>
      </items>
    </pivotField>
    <pivotField compact="0" outline="0" showAll="0" defaultSubtotal="0"/>
    <pivotField compact="0" outline="0" showAll="0" defaultSubtotal="0"/>
    <pivotField axis="axisRow" compact="0" outline="0" multipleItemSelectionAllowed="1" showAll="0" defaultSubtotal="0">
      <items count="86">
        <item x="0"/>
        <item x="43"/>
        <item x="71"/>
        <item x="72"/>
        <item x="49"/>
        <item x="3"/>
        <item x="82"/>
        <item x="12"/>
        <item x="30"/>
        <item x="31"/>
        <item x="9"/>
        <item x="18"/>
        <item x="13"/>
        <item x="11"/>
        <item x="78"/>
        <item m="1" x="84"/>
        <item x="1"/>
        <item x="7"/>
        <item x="45"/>
        <item x="22"/>
        <item x="8"/>
        <item x="21"/>
        <item x="41"/>
        <item x="69"/>
        <item x="20"/>
        <item x="14"/>
        <item x="81"/>
        <item x="2"/>
        <item m="1" x="85"/>
        <item x="4"/>
        <item x="5"/>
        <item x="6"/>
        <item x="10"/>
        <item x="15"/>
        <item x="16"/>
        <item x="17"/>
        <item x="19"/>
        <item x="23"/>
        <item x="24"/>
        <item x="25"/>
        <item x="26"/>
        <item x="27"/>
        <item m="1" x="83"/>
        <item x="32"/>
        <item x="33"/>
        <item x="34"/>
        <item x="35"/>
        <item x="36"/>
        <item x="37"/>
        <item x="38"/>
        <item x="39"/>
        <item x="40"/>
        <item x="44"/>
        <item x="47"/>
        <item x="48"/>
        <item x="50"/>
        <item x="51"/>
        <item x="52"/>
        <item x="53"/>
        <item x="54"/>
        <item x="55"/>
        <item x="56"/>
        <item x="57"/>
        <item x="58"/>
        <item x="59"/>
        <item x="60"/>
        <item x="61"/>
        <item x="63"/>
        <item x="64"/>
        <item x="65"/>
        <item x="66"/>
        <item x="67"/>
        <item x="68"/>
        <item x="73"/>
        <item x="74"/>
        <item x="75"/>
        <item x="76"/>
        <item x="77"/>
        <item x="79"/>
        <item x="80"/>
        <item x="28"/>
        <item x="29"/>
        <item x="42"/>
        <item x="46"/>
        <item x="62"/>
        <item x="70"/>
      </items>
    </pivotField>
    <pivotField compact="0" outline="0" subtotalTop="0" showAll="0" defaultSubtotal="0"/>
    <pivotField axis="axisRow" compact="0" outline="0" showAll="0" defaultSubtotal="0">
      <items count="10">
        <item x="8"/>
        <item x="9"/>
        <item x="4"/>
        <item x="3"/>
        <item x="2"/>
        <item x="1"/>
        <item x="6"/>
        <item x="7"/>
        <item x="5"/>
        <item x="0"/>
      </items>
    </pivotField>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4" outline="0" subtotalTop="0" showAll="0" defaultSubtotal="0"/>
    <pivotField compact="0" outline="0" showAll="0" defaultSubtotal="0"/>
    <pivotField axis="axisRow" compact="0" outline="0" subtotalTop="0" showAll="0" sortType="descending" defaultSubtotal="0">
      <items count="4">
        <item h="1" x="2"/>
        <item h="1" x="3"/>
        <item x="1"/>
        <item h="1" x="0"/>
      </items>
    </pivotField>
    <pivotField compact="0" outline="0" subtotalTop="0" showAll="0" defaultSubtotal="0"/>
  </pivotFields>
  <rowFields count="5">
    <field x="21"/>
    <field x="3"/>
    <field x="8"/>
    <field x="6"/>
    <field x="2"/>
  </rowFields>
  <rowItems count="189">
    <i>
      <x v="2"/>
      <x v="2"/>
      <x v="9"/>
      <x v="4"/>
      <x v="25"/>
    </i>
    <i r="1">
      <x v="4"/>
      <x v="9"/>
      <x v="4"/>
      <x v="25"/>
    </i>
    <i r="1">
      <x v="13"/>
      <x v="9"/>
      <x v="17"/>
      <x v="60"/>
    </i>
    <i r="1">
      <x v="14"/>
      <x v="5"/>
      <x v="3"/>
      <x v="54"/>
    </i>
    <i r="1">
      <x v="15"/>
      <x v="9"/>
      <x v="20"/>
      <x v="62"/>
    </i>
    <i r="1">
      <x v="23"/>
      <x v="9"/>
      <x v="53"/>
      <x v="25"/>
    </i>
    <i r="1">
      <x v="25"/>
      <x v="9"/>
      <x v="20"/>
      <x v="40"/>
    </i>
    <i r="1">
      <x v="26"/>
      <x v="6"/>
      <x v="20"/>
      <x v="16"/>
    </i>
    <i r="1">
      <x v="31"/>
      <x v="4"/>
      <x v="16"/>
      <x v="22"/>
    </i>
    <i r="1">
      <x v="32"/>
      <x v="4"/>
      <x v="17"/>
      <x v="9"/>
    </i>
    <i r="1">
      <x v="34"/>
      <x v="7"/>
      <x v="77"/>
      <x v="20"/>
    </i>
    <i r="1">
      <x v="35"/>
      <x v="5"/>
      <x v="20"/>
      <x v="53"/>
    </i>
    <i r="1">
      <x v="36"/>
      <x v="7"/>
      <x v="20"/>
      <x v="19"/>
    </i>
    <i r="1">
      <x v="37"/>
      <x v="9"/>
      <x v="20"/>
      <x v="62"/>
    </i>
    <i r="1">
      <x v="38"/>
      <x v="9"/>
      <x v="20"/>
      <x v="40"/>
    </i>
    <i r="1">
      <x v="40"/>
      <x v="9"/>
      <x v="20"/>
      <x v="25"/>
    </i>
    <i r="1">
      <x v="41"/>
      <x v="9"/>
      <x v="4"/>
      <x v="25"/>
    </i>
    <i r="1">
      <x v="42"/>
      <x v="9"/>
      <x v="80"/>
      <x v="57"/>
    </i>
    <i r="1">
      <x v="43"/>
      <x v="4"/>
      <x v="69"/>
      <x v="9"/>
    </i>
    <i r="1">
      <x v="45"/>
      <x v="5"/>
      <x v="1"/>
      <x v="46"/>
    </i>
    <i r="1">
      <x v="46"/>
      <x v="5"/>
      <x v="3"/>
      <x v="52"/>
    </i>
    <i r="1">
      <x v="47"/>
      <x v="4"/>
      <x v="16"/>
      <x v="22"/>
    </i>
    <i r="1">
      <x v="48"/>
      <x v="4"/>
      <x v="16"/>
      <x v="22"/>
    </i>
    <i r="1">
      <x v="50"/>
      <x v="8"/>
      <x v="72"/>
      <x v="29"/>
    </i>
    <i r="1">
      <x v="51"/>
      <x v="4"/>
      <x v="80"/>
      <x v="45"/>
    </i>
    <i r="1">
      <x v="55"/>
      <x v="7"/>
      <x v="20"/>
      <x v="19"/>
    </i>
    <i r="1">
      <x v="58"/>
      <x v="4"/>
      <x v="67"/>
      <x v="9"/>
    </i>
    <i r="1">
      <x v="59"/>
      <x v="5"/>
      <x v="79"/>
      <x v="32"/>
    </i>
    <i r="1">
      <x v="61"/>
      <x v="5"/>
      <x v="20"/>
      <x v="5"/>
    </i>
    <i r="1">
      <x v="62"/>
      <x v="4"/>
      <x v="16"/>
      <x v="22"/>
    </i>
    <i r="1">
      <x v="63"/>
      <x v="4"/>
      <x v="20"/>
      <x v="41"/>
    </i>
    <i r="1">
      <x v="65"/>
      <x v="9"/>
      <x v="55"/>
      <x v="25"/>
    </i>
    <i r="1">
      <x v="66"/>
      <x v="1"/>
      <x v="20"/>
      <x v="23"/>
    </i>
    <i r="1">
      <x v="68"/>
      <x v="9"/>
      <x v="20"/>
      <x v="39"/>
    </i>
    <i r="1">
      <x v="70"/>
      <x v="4"/>
      <x v="22"/>
      <x v="1"/>
    </i>
    <i r="1">
      <x v="72"/>
      <x v="4"/>
      <x v="1"/>
      <x v="44"/>
    </i>
    <i r="1">
      <x v="73"/>
      <x v="6"/>
      <x v="20"/>
      <x v="7"/>
    </i>
    <i r="1">
      <x v="74"/>
      <x v="9"/>
      <x v="20"/>
      <x v="62"/>
    </i>
    <i r="1">
      <x v="75"/>
      <x v="4"/>
      <x v="20"/>
      <x v="1"/>
    </i>
    <i r="1">
      <x v="77"/>
      <x v="9"/>
      <x v="84"/>
      <x v="62"/>
    </i>
    <i r="1">
      <x v="78"/>
      <x v="5"/>
      <x v="20"/>
      <x v="38"/>
    </i>
    <i r="1">
      <x v="81"/>
      <x v="7"/>
      <x v="75"/>
      <x v="20"/>
    </i>
    <i r="1">
      <x v="82"/>
      <x v="4"/>
      <x v="20"/>
      <x v="1"/>
    </i>
    <i r="1">
      <x v="83"/>
      <x v="4"/>
      <x v="20"/>
      <x v="41"/>
    </i>
    <i r="1">
      <x v="94"/>
      <x v="4"/>
      <x v="9"/>
      <x v="41"/>
    </i>
    <i r="1">
      <x v="97"/>
      <x v="4"/>
      <x v="20"/>
      <x v="1"/>
    </i>
    <i r="1">
      <x v="99"/>
      <x v="9"/>
      <x v="16"/>
      <x v="22"/>
    </i>
    <i r="1">
      <x v="100"/>
      <x v="5"/>
      <x v="3"/>
      <x v="50"/>
    </i>
    <i r="1">
      <x v="104"/>
      <x v="9"/>
      <x v="20"/>
      <x v="62"/>
    </i>
    <i r="1">
      <x v="108"/>
      <x v="5"/>
      <x v="18"/>
      <x v="46"/>
    </i>
    <i r="1">
      <x v="109"/>
      <x v="4"/>
      <x v="16"/>
      <x v="22"/>
    </i>
    <i r="1">
      <x v="112"/>
      <x v="4"/>
      <x v="68"/>
      <x v="9"/>
    </i>
    <i r="1">
      <x v="115"/>
      <x/>
      <x v="78"/>
      <x v="14"/>
    </i>
    <i r="1">
      <x v="116"/>
      <x v="5"/>
      <x v="20"/>
      <x v="15"/>
    </i>
    <i r="1">
      <x v="121"/>
      <x v="5"/>
      <x v="14"/>
      <x v="51"/>
    </i>
    <i r="1">
      <x v="122"/>
      <x v="8"/>
      <x v="20"/>
      <x v="25"/>
    </i>
    <i r="1">
      <x v="124"/>
      <x v="6"/>
      <x v="20"/>
      <x v="7"/>
    </i>
    <i r="1">
      <x v="125"/>
      <x v="6"/>
      <x/>
      <x v="7"/>
    </i>
    <i r="1">
      <x v="126"/>
      <x v="4"/>
      <x v="20"/>
      <x v="41"/>
    </i>
    <i r="1">
      <x v="127"/>
      <x v="6"/>
      <x/>
      <x v="7"/>
    </i>
    <i r="1">
      <x v="129"/>
      <x v="6"/>
      <x v="20"/>
      <x v="7"/>
    </i>
    <i r="1">
      <x v="131"/>
      <x v="8"/>
      <x v="17"/>
      <x v="29"/>
    </i>
    <i r="1">
      <x v="132"/>
      <x v="4"/>
      <x v="20"/>
      <x v="41"/>
    </i>
    <i r="1">
      <x v="133"/>
      <x v="9"/>
      <x v="20"/>
      <x v="62"/>
    </i>
    <i r="1">
      <x v="134"/>
      <x v="7"/>
      <x v="20"/>
      <x v="47"/>
    </i>
    <i r="1">
      <x v="135"/>
      <x v="9"/>
      <x v="84"/>
      <x v="62"/>
    </i>
    <i r="1">
      <x v="138"/>
      <x v="5"/>
      <x v="20"/>
      <x v="54"/>
    </i>
    <i r="1">
      <x v="139"/>
      <x v="9"/>
      <x v="20"/>
      <x v="62"/>
    </i>
    <i r="1">
      <x v="140"/>
      <x v="7"/>
      <x v="20"/>
      <x v="19"/>
    </i>
    <i r="1">
      <x v="141"/>
      <x v="4"/>
      <x v="16"/>
      <x v="22"/>
    </i>
    <i r="1">
      <x v="142"/>
      <x v="5"/>
      <x v="20"/>
      <x v="53"/>
    </i>
    <i r="1">
      <x v="143"/>
      <x v="5"/>
      <x v="20"/>
      <x v="54"/>
    </i>
    <i r="1">
      <x v="144"/>
      <x v="9"/>
      <x v="59"/>
      <x v="25"/>
    </i>
    <i r="1">
      <x v="145"/>
      <x v="9"/>
      <x v="56"/>
      <x v="25"/>
    </i>
    <i r="1">
      <x v="146"/>
      <x v="6"/>
      <x v="20"/>
      <x v="16"/>
    </i>
    <i r="1">
      <x v="147"/>
      <x v="6"/>
      <x v="20"/>
      <x v="4"/>
    </i>
    <i r="1">
      <x v="148"/>
      <x v="6"/>
      <x v="20"/>
      <x v="4"/>
    </i>
    <i r="1">
      <x v="149"/>
      <x v="6"/>
      <x v="20"/>
      <x v="4"/>
    </i>
    <i r="1">
      <x v="154"/>
      <x v="9"/>
      <x v="20"/>
      <x v="62"/>
    </i>
    <i r="1">
      <x v="155"/>
      <x v="7"/>
      <x v="74"/>
      <x v="20"/>
    </i>
    <i r="1">
      <x v="156"/>
      <x v="4"/>
      <x v="16"/>
      <x v="22"/>
    </i>
    <i r="1">
      <x v="157"/>
      <x v="4"/>
      <x v="16"/>
      <x v="22"/>
    </i>
    <i r="1">
      <x v="158"/>
      <x v="8"/>
      <x v="17"/>
      <x v="29"/>
    </i>
    <i r="1">
      <x v="159"/>
      <x v="9"/>
      <x v="20"/>
      <x v="40"/>
    </i>
    <i r="1">
      <x v="160"/>
      <x v="9"/>
      <x v="57"/>
      <x v="25"/>
    </i>
    <i r="1">
      <x v="161"/>
      <x v="5"/>
      <x v="20"/>
      <x v="52"/>
    </i>
    <i r="1">
      <x v="162"/>
      <x v="5"/>
      <x v="14"/>
      <x v="51"/>
    </i>
    <i r="1">
      <x v="164"/>
      <x v="6"/>
      <x v="20"/>
      <x v="16"/>
    </i>
    <i r="1">
      <x v="171"/>
      <x v="9"/>
      <x v="20"/>
      <x v="39"/>
    </i>
    <i r="1">
      <x v="173"/>
      <x v="4"/>
      <x v="24"/>
      <x v="24"/>
    </i>
    <i r="1">
      <x v="179"/>
      <x v="9"/>
      <x v="20"/>
      <x v="27"/>
    </i>
    <i r="1">
      <x v="182"/>
      <x v="9"/>
      <x v="62"/>
      <x v="28"/>
    </i>
    <i r="1">
      <x v="183"/>
      <x v="9"/>
      <x v="83"/>
      <x v="25"/>
    </i>
    <i r="1">
      <x v="184"/>
      <x v="9"/>
      <x v="20"/>
      <x v="25"/>
    </i>
    <i r="1">
      <x v="185"/>
      <x v="5"/>
      <x v="20"/>
      <x v="53"/>
    </i>
    <i r="1">
      <x v="186"/>
      <x v="4"/>
      <x v="16"/>
      <x v="22"/>
    </i>
    <i r="1">
      <x v="187"/>
      <x v="4"/>
      <x v="20"/>
      <x v="41"/>
    </i>
    <i r="1">
      <x v="193"/>
      <x v="5"/>
      <x v="3"/>
      <x v="50"/>
    </i>
    <i r="1">
      <x v="194"/>
      <x v="9"/>
      <x v="20"/>
      <x v="57"/>
    </i>
    <i r="1">
      <x v="197"/>
      <x v="9"/>
      <x v="64"/>
      <x v="28"/>
    </i>
    <i r="1">
      <x v="198"/>
      <x v="7"/>
      <x v="76"/>
      <x v="20"/>
    </i>
    <i r="1">
      <x v="199"/>
      <x v="9"/>
      <x v="17"/>
      <x v="34"/>
    </i>
    <i r="1">
      <x v="200"/>
      <x v="5"/>
      <x v="20"/>
      <x v="27"/>
    </i>
    <i r="1">
      <x v="202"/>
      <x v="4"/>
      <x v="21"/>
      <x v="21"/>
    </i>
    <i r="1">
      <x v="203"/>
      <x v="5"/>
      <x v="1"/>
      <x v="50"/>
    </i>
    <i r="1">
      <x v="204"/>
      <x v="9"/>
      <x v="32"/>
      <x v="27"/>
    </i>
    <i r="1">
      <x v="205"/>
      <x v="9"/>
      <x v="17"/>
      <x v="25"/>
    </i>
    <i r="1">
      <x v="206"/>
      <x v="9"/>
      <x v="58"/>
      <x v="25"/>
    </i>
    <i r="1">
      <x v="207"/>
      <x v="9"/>
      <x v="66"/>
      <x v="39"/>
    </i>
    <i r="1">
      <x v="208"/>
      <x v="9"/>
      <x v="40"/>
      <x v="25"/>
    </i>
    <i r="1">
      <x v="210"/>
      <x v="6"/>
      <x v="85"/>
      <x v="7"/>
    </i>
    <i r="1">
      <x v="212"/>
      <x v="6"/>
      <x v="20"/>
      <x v="7"/>
    </i>
    <i r="1">
      <x v="213"/>
      <x v="6"/>
      <x/>
      <x v="7"/>
    </i>
    <i r="1">
      <x v="214"/>
      <x v="9"/>
      <x v="20"/>
      <x v="35"/>
    </i>
    <i r="1">
      <x v="215"/>
      <x v="9"/>
      <x v="12"/>
      <x v="35"/>
    </i>
    <i r="1">
      <x v="218"/>
      <x v="9"/>
      <x v="4"/>
      <x v="25"/>
    </i>
    <i r="1">
      <x v="219"/>
      <x v="3"/>
      <x v="71"/>
      <x v="33"/>
    </i>
    <i r="1">
      <x v="226"/>
      <x v="7"/>
      <x v="20"/>
      <x v="19"/>
    </i>
    <i r="1">
      <x v="229"/>
      <x v="4"/>
      <x v="52"/>
      <x v="45"/>
    </i>
    <i r="1">
      <x v="230"/>
      <x v="5"/>
      <x v="20"/>
      <x v="49"/>
    </i>
    <i r="1">
      <x v="232"/>
      <x v="9"/>
      <x v="20"/>
      <x v="25"/>
    </i>
    <i r="1">
      <x v="240"/>
      <x v="7"/>
      <x v="73"/>
      <x v="20"/>
    </i>
    <i r="1">
      <x v="242"/>
      <x v="7"/>
      <x v="14"/>
      <x v="19"/>
    </i>
    <i r="1">
      <x v="244"/>
      <x v="5"/>
      <x v="1"/>
      <x v="56"/>
    </i>
    <i r="1">
      <x v="247"/>
      <x v="9"/>
      <x v="20"/>
      <x v="40"/>
    </i>
    <i r="1">
      <x v="253"/>
      <x v="6"/>
      <x v="23"/>
      <x v="7"/>
    </i>
    <i r="1">
      <x v="255"/>
      <x v="4"/>
      <x v="20"/>
      <x v="1"/>
    </i>
    <i r="1">
      <x v="258"/>
      <x v="9"/>
      <x v="20"/>
      <x v="40"/>
    </i>
    <i r="1">
      <x v="259"/>
      <x v="4"/>
      <x v="20"/>
      <x v="1"/>
    </i>
    <i r="1">
      <x v="260"/>
      <x v="4"/>
      <x v="20"/>
      <x v="1"/>
    </i>
    <i r="1">
      <x v="261"/>
      <x v="5"/>
      <x v="20"/>
      <x v="48"/>
    </i>
    <i r="1">
      <x v="262"/>
      <x v="5"/>
      <x v="20"/>
      <x v="48"/>
    </i>
    <i r="1">
      <x v="264"/>
      <x v="5"/>
      <x v="3"/>
      <x v="50"/>
    </i>
    <i r="1">
      <x v="266"/>
      <x v="9"/>
      <x v="20"/>
      <x v="62"/>
    </i>
    <i r="1">
      <x v="269"/>
      <x v="4"/>
      <x v="16"/>
      <x v="22"/>
    </i>
    <i r="1">
      <x v="270"/>
      <x v="4"/>
      <x v="16"/>
      <x v="22"/>
    </i>
    <i r="1">
      <x v="271"/>
      <x v="4"/>
      <x v="20"/>
      <x v="61"/>
    </i>
    <i r="1">
      <x v="272"/>
      <x v="5"/>
      <x v="20"/>
      <x v="38"/>
    </i>
    <i r="1">
      <x v="273"/>
      <x v="5"/>
      <x v="20"/>
      <x v="38"/>
    </i>
    <i r="1">
      <x v="275"/>
      <x v="5"/>
      <x v="20"/>
      <x v="38"/>
    </i>
    <i r="1">
      <x v="276"/>
      <x v="5"/>
      <x v="20"/>
      <x v="61"/>
    </i>
    <i r="1">
      <x v="277"/>
      <x v="4"/>
      <x v="20"/>
      <x v="61"/>
    </i>
    <i r="1">
      <x v="279"/>
      <x v="4"/>
      <x v="20"/>
      <x v="61"/>
    </i>
    <i r="1">
      <x v="280"/>
      <x v="3"/>
      <x v="20"/>
      <x v="61"/>
    </i>
    <i r="1">
      <x v="281"/>
      <x v="2"/>
      <x v="20"/>
      <x v="26"/>
    </i>
    <i r="1">
      <x v="282"/>
      <x v="6"/>
      <x v="20"/>
      <x v="7"/>
    </i>
    <i r="1">
      <x v="283"/>
      <x v="6"/>
      <x v="20"/>
      <x v="7"/>
    </i>
    <i r="1">
      <x v="284"/>
      <x v="6"/>
      <x v="20"/>
      <x v="7"/>
    </i>
    <i r="1">
      <x v="285"/>
      <x v="6"/>
      <x v="20"/>
      <x v="16"/>
    </i>
    <i r="1">
      <x v="286"/>
      <x v="7"/>
      <x v="20"/>
      <x v="19"/>
    </i>
    <i r="1">
      <x v="287"/>
      <x v="7"/>
      <x v="20"/>
      <x v="47"/>
    </i>
    <i r="1">
      <x v="288"/>
      <x/>
      <x v="20"/>
      <x v="14"/>
    </i>
    <i r="1">
      <x v="289"/>
      <x v="2"/>
      <x v="20"/>
      <x v="61"/>
    </i>
    <i r="1">
      <x v="290"/>
      <x v="4"/>
      <x v="16"/>
      <x v="10"/>
    </i>
    <i r="1">
      <x v="291"/>
      <x v="4"/>
      <x v="20"/>
      <x v="10"/>
    </i>
    <i r="1">
      <x v="292"/>
      <x v="5"/>
      <x v="20"/>
      <x v="50"/>
    </i>
    <i r="1">
      <x v="293"/>
      <x v="5"/>
      <x v="20"/>
      <x v="50"/>
    </i>
    <i r="1">
      <x v="294"/>
      <x v="5"/>
      <x v="3"/>
      <x v="50"/>
    </i>
    <i r="1">
      <x v="295"/>
      <x v="5"/>
      <x v="20"/>
      <x v="50"/>
    </i>
    <i r="1">
      <x v="296"/>
      <x v="5"/>
      <x v="20"/>
      <x v="50"/>
    </i>
    <i r="1">
      <x v="297"/>
      <x v="5"/>
      <x v="3"/>
      <x v="50"/>
    </i>
    <i r="1">
      <x v="298"/>
      <x v="5"/>
      <x v="20"/>
      <x v="50"/>
    </i>
    <i r="1">
      <x v="299"/>
      <x v="5"/>
      <x v="20"/>
      <x v="52"/>
    </i>
    <i r="1">
      <x v="300"/>
      <x v="5"/>
      <x v="20"/>
      <x v="54"/>
    </i>
    <i r="1">
      <x v="301"/>
      <x v="4"/>
      <x v="19"/>
      <x v="11"/>
    </i>
    <i r="1">
      <x v="306"/>
      <x v="9"/>
      <x v="27"/>
      <x v="27"/>
    </i>
    <i r="1">
      <x v="310"/>
      <x v="9"/>
      <x v="17"/>
      <x v="27"/>
    </i>
    <i r="1">
      <x v="311"/>
      <x v="9"/>
      <x v="17"/>
      <x v="27"/>
    </i>
    <i r="1">
      <x v="312"/>
      <x v="9"/>
      <x v="17"/>
      <x v="60"/>
    </i>
    <i r="1">
      <x v="313"/>
      <x v="9"/>
      <x v="17"/>
      <x v="60"/>
    </i>
    <i r="1">
      <x v="314"/>
      <x v="9"/>
      <x v="17"/>
      <x v="60"/>
    </i>
    <i r="1">
      <x v="315"/>
      <x v="9"/>
      <x v="17"/>
      <x v="60"/>
    </i>
    <i r="1">
      <x v="316"/>
      <x v="9"/>
      <x v="17"/>
      <x v="60"/>
    </i>
    <i r="1">
      <x v="317"/>
      <x v="9"/>
      <x v="17"/>
      <x v="60"/>
    </i>
    <i r="1">
      <x v="318"/>
      <x v="9"/>
      <x v="17"/>
      <x v="60"/>
    </i>
    <i r="1">
      <x v="319"/>
      <x v="9"/>
      <x v="17"/>
      <x v="60"/>
    </i>
    <i r="1">
      <x v="320"/>
      <x v="9"/>
      <x v="17"/>
      <x v="60"/>
    </i>
    <i r="1">
      <x v="321"/>
      <x v="9"/>
      <x v="17"/>
      <x v="60"/>
    </i>
    <i r="1">
      <x v="322"/>
      <x v="9"/>
      <x v="17"/>
      <x v="60"/>
    </i>
    <i r="1">
      <x v="331"/>
      <x v="4"/>
      <x v="8"/>
      <x v="41"/>
    </i>
    <i r="1">
      <x v="333"/>
      <x v="9"/>
      <x v="17"/>
      <x v="25"/>
    </i>
    <i r="1">
      <x v="335"/>
      <x v="9"/>
      <x v="17"/>
      <x v="62"/>
    </i>
    <i r="1">
      <x v="336"/>
      <x v="4"/>
      <x v="17"/>
      <x v="13"/>
    </i>
    <i r="1">
      <x v="337"/>
      <x v="6"/>
      <x v="3"/>
      <x v="3"/>
    </i>
    <i r="1">
      <x v="338"/>
      <x v="7"/>
      <x v="17"/>
      <x v="19"/>
    </i>
    <i r="1">
      <x v="339"/>
      <x v="7"/>
      <x v="17"/>
      <x v="19"/>
    </i>
    <i r="1">
      <x v="340"/>
      <x v="5"/>
      <x v="17"/>
      <x v="5"/>
    </i>
    <i r="1">
      <x v="341"/>
      <x v="9"/>
      <x v="17"/>
      <x v="59"/>
    </i>
    <i t="grand">
      <x/>
    </i>
  </rowItems>
  <colItems count="1">
    <i/>
  </colItems>
  <dataFields count="1">
    <dataField name="Count of field names in Trng deck"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7EF5B2-E560-4B74-9435-9830252164B9}" name="PivotTable1" cacheId="567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6:M53" firstHeaderRow="1" firstDataRow="2" firstDataCol="2"/>
  <pivotFields count="27">
    <pivotField compact="0" outline="0" subtotalTop="0" showAll="0" defaultSubtotal="0"/>
    <pivotField axis="axisRow" compact="0" outline="0" subtotalTop="0" showAll="0" defaultSubtotal="0">
      <items count="23">
        <item x="16"/>
        <item x="17"/>
        <item x="18"/>
        <item x="12"/>
        <item x="11"/>
        <item x="19"/>
        <item x="4"/>
        <item x="1"/>
        <item x="7"/>
        <item x="2"/>
        <item x="10"/>
        <item x="8"/>
        <item x="20"/>
        <item x="21"/>
        <item x="3"/>
        <item x="6"/>
        <item x="14"/>
        <item x="15"/>
        <item x="13"/>
        <item x="0"/>
        <item x="22"/>
        <item x="5"/>
        <item x="9"/>
      </items>
    </pivotField>
    <pivotField compact="0" outline="0" showAll="0" defaultSubtotal="0"/>
    <pivotField dataField="1" compact="0" outline="0" showAll="0" defaultSubtotal="0"/>
    <pivotField compact="0" outline="0" showAll="0" defaultSubtotal="0"/>
    <pivotField compact="0" outline="0" showAll="0" defaultSubtotal="0"/>
    <pivotField compact="0" outline="0" multipleItemSelectionAllowed="1" showAll="0" defaultSubtotal="0"/>
    <pivotField compact="0" outline="0" subtotalTop="0" showAll="0" defaultSubtotal="0"/>
    <pivotField axis="axisCol" compact="0" outline="0" showAll="0" defaultSubtotal="0">
      <items count="10">
        <item x="8"/>
        <item x="9"/>
        <item x="4"/>
        <item x="3"/>
        <item x="2"/>
        <item x="1"/>
        <item x="6"/>
        <item x="7"/>
        <item x="5"/>
        <item x="0"/>
      </items>
    </pivotField>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4" outline="0" subtotalTop="0" showAll="0" defaultSubtotal="0"/>
    <pivotField compact="0" outline="0" showAll="0" defaultSubtotal="0"/>
    <pivotField axis="axisRow" compact="0" outline="0" subtotalTop="0" showAll="0" sortType="descending">
      <items count="5">
        <item x="2"/>
        <item x="3"/>
        <item x="1"/>
        <item x="0"/>
        <item t="default"/>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21"/>
    <field x="1"/>
  </rowFields>
  <rowItems count="46">
    <i>
      <x/>
      <x v="6"/>
    </i>
    <i r="1">
      <x v="16"/>
    </i>
    <i r="1">
      <x v="19"/>
    </i>
    <i r="1">
      <x v="20"/>
    </i>
    <i t="default">
      <x/>
    </i>
    <i>
      <x v="1"/>
      <x v="6"/>
    </i>
    <i r="1">
      <x v="7"/>
    </i>
    <i r="1">
      <x v="8"/>
    </i>
    <i r="1">
      <x v="10"/>
    </i>
    <i r="1">
      <x v="19"/>
    </i>
    <i r="1">
      <x v="20"/>
    </i>
    <i r="1">
      <x v="21"/>
    </i>
    <i t="default">
      <x v="1"/>
    </i>
    <i>
      <x v="2"/>
      <x/>
    </i>
    <i r="1">
      <x v="1"/>
    </i>
    <i r="1">
      <x v="2"/>
    </i>
    <i r="1">
      <x v="3"/>
    </i>
    <i r="1">
      <x v="4"/>
    </i>
    <i r="1">
      <x v="5"/>
    </i>
    <i r="1">
      <x v="6"/>
    </i>
    <i r="1">
      <x v="7"/>
    </i>
    <i r="1">
      <x v="9"/>
    </i>
    <i r="1">
      <x v="10"/>
    </i>
    <i r="1">
      <x v="11"/>
    </i>
    <i r="1">
      <x v="12"/>
    </i>
    <i r="1">
      <x v="13"/>
    </i>
    <i r="1">
      <x v="14"/>
    </i>
    <i r="1">
      <x v="15"/>
    </i>
    <i r="1">
      <x v="16"/>
    </i>
    <i r="1">
      <x v="17"/>
    </i>
    <i r="1">
      <x v="18"/>
    </i>
    <i r="1">
      <x v="19"/>
    </i>
    <i r="1">
      <x v="20"/>
    </i>
    <i r="1">
      <x v="21"/>
    </i>
    <i t="default">
      <x v="2"/>
    </i>
    <i>
      <x v="3"/>
      <x v="6"/>
    </i>
    <i r="1">
      <x v="10"/>
    </i>
    <i r="1">
      <x v="12"/>
    </i>
    <i r="1">
      <x v="13"/>
    </i>
    <i r="1">
      <x v="14"/>
    </i>
    <i r="1">
      <x v="17"/>
    </i>
    <i r="1">
      <x v="19"/>
    </i>
    <i r="1">
      <x v="21"/>
    </i>
    <i r="1">
      <x v="22"/>
    </i>
    <i t="default">
      <x v="3"/>
    </i>
    <i t="grand">
      <x/>
    </i>
  </rowItems>
  <colFields count="1">
    <field x="8"/>
  </colFields>
  <colItems count="11">
    <i>
      <x/>
    </i>
    <i>
      <x v="1"/>
    </i>
    <i>
      <x v="2"/>
    </i>
    <i>
      <x v="3"/>
    </i>
    <i>
      <x v="4"/>
    </i>
    <i>
      <x v="5"/>
    </i>
    <i>
      <x v="6"/>
    </i>
    <i>
      <x v="7"/>
    </i>
    <i>
      <x v="8"/>
    </i>
    <i>
      <x v="9"/>
    </i>
    <i t="grand">
      <x/>
    </i>
  </colItems>
  <dataFields count="1">
    <dataField name="Count of field names in Trng deck" fld="3" subtotal="count" baseField="0" baseItem="0"/>
  </dataFields>
  <formats count="1">
    <format dxfId="18">
      <pivotArea dataOnly="0" outline="0" fieldPosition="0">
        <references count="1">
          <reference field="21" count="0" defaultSubtotal="1"/>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D75DE4-691D-4FFA-9CE9-D8FA446B0A27}" name="PivotTable3" cacheId="5679"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R6:W64" firstHeaderRow="2" firstDataRow="2" firstDataCol="5"/>
  <pivotFields count="23">
    <pivotField compact="0" outline="0" subtotalTop="0" showAll="0" defaultSubtotal="0"/>
    <pivotField compact="0" outline="0" subtotalTop="0" showAll="0" defaultSubtotal="0"/>
    <pivotField axis="axisRow" compact="0" outline="0" showAll="0" defaultSubtotal="0">
      <items count="63">
        <item x="26"/>
        <item x="21"/>
        <item m="1" x="62"/>
        <item x="40"/>
        <item x="39"/>
        <item x="56"/>
        <item x="7"/>
        <item x="37"/>
        <item x="38"/>
        <item x="32"/>
        <item x="47"/>
        <item x="14"/>
        <item x="10"/>
        <item x="33"/>
        <item x="45"/>
        <item x="15"/>
        <item x="41"/>
        <item x="25"/>
        <item x="6"/>
        <item x="43"/>
        <item x="42"/>
        <item x="12"/>
        <item x="1"/>
        <item x="46"/>
        <item x="11"/>
        <item x="18"/>
        <item x="35"/>
        <item x="2"/>
        <item x="28"/>
        <item x="36"/>
        <item x="4"/>
        <item x="0"/>
        <item x="49"/>
        <item x="34"/>
        <item x="8"/>
        <item x="3"/>
        <item x="27"/>
        <item x="9"/>
        <item x="16"/>
        <item x="29"/>
        <item x="31"/>
        <item x="17"/>
        <item x="19"/>
        <item x="20"/>
        <item x="22"/>
        <item x="23"/>
        <item x="24"/>
        <item x="44"/>
        <item x="48"/>
        <item x="50"/>
        <item x="51"/>
        <item x="52"/>
        <item x="53"/>
        <item x="54"/>
        <item x="55"/>
        <item x="57"/>
        <item x="58"/>
        <item x="59"/>
        <item x="60"/>
        <item x="61"/>
        <item x="5"/>
        <item x="13"/>
        <item x="30"/>
      </items>
    </pivotField>
    <pivotField axis="axisRow" dataField="1" compact="0" outline="0" showAll="0" defaultSubtotal="0">
      <items count="342">
        <item x="117"/>
        <item x="300"/>
        <item x="146"/>
        <item x="147"/>
        <item x="148"/>
        <item x="149"/>
        <item x="301"/>
        <item m="1" x="336"/>
        <item x="54"/>
        <item x="116"/>
        <item x="167"/>
        <item x="166"/>
        <item x="168"/>
        <item x="26"/>
        <item x="290"/>
        <item x="182"/>
        <item x="119"/>
        <item x="108"/>
        <item x="109"/>
        <item x="17"/>
        <item m="1" x="316"/>
        <item m="1" x="313"/>
        <item m="1" x="318"/>
        <item x="144"/>
        <item x="172"/>
        <item x="195"/>
        <item x="236"/>
        <item x="24"/>
        <item x="23"/>
        <item x="105"/>
        <item m="1" x="339"/>
        <item x="64"/>
        <item x="198"/>
        <item x="303"/>
        <item x="243"/>
        <item x="288"/>
        <item x="248"/>
        <item x="187"/>
        <item x="193"/>
        <item x="50"/>
        <item x="159"/>
        <item x="160"/>
        <item x="298"/>
        <item x="203"/>
        <item x="94"/>
        <item x="137"/>
        <item x="284"/>
        <item x="59"/>
        <item x="60"/>
        <item m="1" x="319"/>
        <item x="212"/>
        <item x="134"/>
        <item x="28"/>
        <item m="1" x="334"/>
        <item m="1" x="338"/>
        <item x="251"/>
        <item x="245"/>
        <item x="244"/>
        <item x="196"/>
        <item x="265"/>
        <item x="305"/>
        <item x="295"/>
        <item x="58"/>
        <item x="86"/>
        <item x="85"/>
        <item x="150"/>
        <item x="259"/>
        <item x="99"/>
        <item x="176"/>
        <item x="100"/>
        <item x="114"/>
        <item x="7"/>
        <item x="131"/>
        <item x="214"/>
        <item x="183"/>
        <item x="126"/>
        <item x="246"/>
        <item x="184"/>
        <item x="77"/>
        <item x="79"/>
        <item m="1" x="326"/>
        <item x="241"/>
        <item x="122"/>
        <item x="93"/>
        <item m="1" x="328"/>
        <item m="1" x="340"/>
        <item m="1" x="321"/>
        <item m="1" x="309"/>
        <item m="1" x="333"/>
        <item m="1" x="307"/>
        <item m="1" x="330"/>
        <item m="1" x="315"/>
        <item m="1" x="308"/>
        <item m="1" x="314"/>
        <item x="98"/>
        <item x="128"/>
        <item x="306"/>
        <item x="120"/>
        <item x="25"/>
        <item x="5"/>
        <item x="276"/>
        <item x="53"/>
        <item x="36"/>
        <item x="40"/>
        <item x="181"/>
        <item x="49"/>
        <item x="95"/>
        <item x="96"/>
        <item x="138"/>
        <item x="57"/>
        <item x="129"/>
        <item x="130"/>
        <item x="197"/>
        <item x="84"/>
        <item x="145"/>
        <item x="257"/>
        <item x="71"/>
        <item x="89"/>
        <item x="43"/>
        <item x="103"/>
        <item x="102"/>
        <item x="281"/>
        <item x="210"/>
        <item x="227"/>
        <item x="218"/>
        <item x="219"/>
        <item x="92"/>
        <item x="217"/>
        <item x="226"/>
        <item x="216"/>
        <item x="83"/>
        <item x="213"/>
        <item x="91"/>
        <item x="185"/>
        <item x="255"/>
        <item x="186"/>
        <item x="268"/>
        <item x="267"/>
        <item x="293"/>
        <item x="189"/>
        <item x="250"/>
        <item x="62"/>
        <item x="287"/>
        <item x="292"/>
        <item x="161"/>
        <item x="152"/>
        <item x="235"/>
        <item x="230"/>
        <item x="231"/>
        <item x="232"/>
        <item x="46"/>
        <item x="201"/>
        <item x="202"/>
        <item x="45"/>
        <item x="188"/>
        <item x="240"/>
        <item x="63"/>
        <item x="66"/>
        <item x="211"/>
        <item x="192"/>
        <item x="153"/>
        <item x="285"/>
        <item x="282"/>
        <item x="283"/>
        <item x="234"/>
        <item x="48"/>
        <item x="199"/>
        <item x="200"/>
        <item x="47"/>
        <item x="151"/>
        <item x="238"/>
        <item x="178"/>
        <item m="1" x="335"/>
        <item x="55"/>
        <item x="38"/>
        <item m="1" x="317"/>
        <item x="8"/>
        <item x="10"/>
        <item x="9"/>
        <item x="15"/>
        <item x="14"/>
        <item x="171"/>
        <item x="170"/>
        <item x="143"/>
        <item x="142"/>
        <item x="289"/>
        <item x="61"/>
        <item x="88"/>
        <item x="157"/>
        <item x="4"/>
        <item x="2"/>
        <item x="1"/>
        <item x="0"/>
        <item x="270"/>
        <item x="299"/>
        <item x="174"/>
        <item x="175"/>
        <item x="173"/>
        <item x="242"/>
        <item x="51"/>
        <item x="13"/>
        <item x="302"/>
        <item x="56"/>
        <item x="280"/>
        <item x="16"/>
        <item x="162"/>
        <item x="154"/>
        <item x="177"/>
        <item x="87"/>
        <item x="229"/>
        <item x="224"/>
        <item x="228"/>
        <item x="221"/>
        <item x="222"/>
        <item x="21"/>
        <item x="22"/>
        <item x="19"/>
        <item x="20"/>
        <item x="156"/>
        <item x="207"/>
        <item x="107"/>
        <item x="106"/>
        <item x="101"/>
        <item x="113"/>
        <item x="112"/>
        <item x="132"/>
        <item x="252"/>
        <item m="1" x="323"/>
        <item x="135"/>
        <item x="136"/>
        <item x="269"/>
        <item m="1" x="332"/>
        <item x="164"/>
        <item x="169"/>
        <item x="90"/>
        <item x="111"/>
        <item x="110"/>
        <item m="1" x="327"/>
        <item m="1" x="325"/>
        <item m="1" x="322"/>
        <item x="239"/>
        <item x="123"/>
        <item x="249"/>
        <item m="1" x="324"/>
        <item x="297"/>
        <item m="1" x="312"/>
        <item m="1" x="311"/>
        <item x="194"/>
        <item x="206"/>
        <item m="1" x="329"/>
        <item x="3"/>
        <item x="124"/>
        <item x="125"/>
        <item x="215"/>
        <item x="127"/>
        <item x="121"/>
        <item m="1" x="337"/>
        <item m="1" x="341"/>
        <item x="191"/>
        <item x="115"/>
        <item x="118"/>
        <item x="263"/>
        <item x="264"/>
        <item x="141"/>
        <item x="272"/>
        <item x="133"/>
        <item x="179"/>
        <item x="266"/>
        <item x="18"/>
        <item x="65"/>
        <item x="67"/>
        <item x="69"/>
        <item x="72"/>
        <item x="73"/>
        <item x="74"/>
        <item x="81"/>
        <item x="82"/>
        <item x="140"/>
        <item x="180"/>
        <item x="205"/>
        <item x="208"/>
        <item x="209"/>
        <item x="220"/>
        <item x="223"/>
        <item x="225"/>
        <item x="237"/>
        <item x="247"/>
        <item x="256"/>
        <item x="258"/>
        <item x="260"/>
        <item x="261"/>
        <item x="262"/>
        <item x="271"/>
        <item x="273"/>
        <item x="274"/>
        <item x="275"/>
        <item x="277"/>
        <item x="278"/>
        <item x="279"/>
        <item x="286"/>
        <item x="291"/>
        <item x="70"/>
        <item x="296"/>
        <item m="1" x="320"/>
        <item m="1" x="331"/>
        <item m="1" x="310"/>
        <item x="6"/>
        <item x="155"/>
        <item x="163"/>
        <item x="104"/>
        <item x="11"/>
        <item x="12"/>
        <item x="27"/>
        <item x="29"/>
        <item x="30"/>
        <item x="31"/>
        <item x="32"/>
        <item x="33"/>
        <item x="34"/>
        <item x="35"/>
        <item x="37"/>
        <item x="39"/>
        <item x="41"/>
        <item x="42"/>
        <item x="44"/>
        <item x="52"/>
        <item x="68"/>
        <item x="75"/>
        <item x="76"/>
        <item x="78"/>
        <item x="80"/>
        <item x="97"/>
        <item x="139"/>
        <item x="158"/>
        <item x="165"/>
        <item x="190"/>
        <item x="204"/>
        <item x="233"/>
        <item x="253"/>
        <item x="254"/>
        <item x="294"/>
        <item x="304"/>
      </items>
    </pivotField>
    <pivotField compact="0" outline="0" showAll="0" defaultSubtotal="0"/>
    <pivotField compact="0" outline="0" showAll="0" defaultSubtotal="0"/>
    <pivotField axis="axisRow" compact="0" outline="0" multipleItemSelectionAllowed="1" showAll="0" defaultSubtotal="0">
      <items count="86">
        <item x="0"/>
        <item x="43"/>
        <item x="71"/>
        <item x="72"/>
        <item x="49"/>
        <item x="3"/>
        <item x="82"/>
        <item x="12"/>
        <item x="30"/>
        <item x="31"/>
        <item x="9"/>
        <item x="18"/>
        <item x="13"/>
        <item x="11"/>
        <item x="78"/>
        <item m="1" x="84"/>
        <item x="1"/>
        <item x="7"/>
        <item x="45"/>
        <item x="22"/>
        <item x="8"/>
        <item x="21"/>
        <item x="41"/>
        <item x="69"/>
        <item x="20"/>
        <item x="14"/>
        <item x="81"/>
        <item x="2"/>
        <item m="1" x="85"/>
        <item x="4"/>
        <item x="5"/>
        <item x="6"/>
        <item x="10"/>
        <item x="15"/>
        <item x="16"/>
        <item x="17"/>
        <item x="19"/>
        <item x="23"/>
        <item x="24"/>
        <item x="25"/>
        <item x="26"/>
        <item x="27"/>
        <item m="1" x="83"/>
        <item x="32"/>
        <item x="33"/>
        <item x="34"/>
        <item x="35"/>
        <item x="36"/>
        <item x="37"/>
        <item x="38"/>
        <item x="39"/>
        <item x="40"/>
        <item x="44"/>
        <item x="47"/>
        <item x="48"/>
        <item x="50"/>
        <item x="51"/>
        <item x="52"/>
        <item x="53"/>
        <item x="54"/>
        <item x="55"/>
        <item x="56"/>
        <item x="57"/>
        <item x="58"/>
        <item x="59"/>
        <item x="60"/>
        <item x="61"/>
        <item x="63"/>
        <item x="64"/>
        <item x="65"/>
        <item x="66"/>
        <item x="67"/>
        <item x="68"/>
        <item x="73"/>
        <item x="74"/>
        <item x="75"/>
        <item x="76"/>
        <item x="77"/>
        <item x="79"/>
        <item x="80"/>
        <item x="28"/>
        <item x="29"/>
        <item x="42"/>
        <item x="46"/>
        <item x="62"/>
        <item x="70"/>
      </items>
    </pivotField>
    <pivotField compact="0" outline="0" subtotalTop="0" showAll="0" defaultSubtotal="0"/>
    <pivotField axis="axisRow" compact="0" outline="0" showAll="0" defaultSubtotal="0">
      <items count="10">
        <item x="8"/>
        <item x="9"/>
        <item x="4"/>
        <item x="3"/>
        <item x="2"/>
        <item x="1"/>
        <item x="6"/>
        <item x="7"/>
        <item x="5"/>
        <item x="0"/>
      </items>
    </pivotField>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4" outline="0" subtotalTop="0" showAll="0" defaultSubtotal="0"/>
    <pivotField compact="0" outline="0" showAll="0" defaultSubtotal="0"/>
    <pivotField axis="axisRow" compact="0" outline="0" subtotalTop="0" showAll="0" sortType="descending" defaultSubtotal="0">
      <items count="4">
        <item x="2"/>
        <item x="3"/>
        <item h="1" x="1"/>
        <item h="1" x="0"/>
      </items>
    </pivotField>
    <pivotField compact="0" outline="0" subtotalTop="0" showAll="0" defaultSubtotal="0"/>
  </pivotFields>
  <rowFields count="5">
    <field x="21"/>
    <field x="3"/>
    <field x="8"/>
    <field x="6"/>
    <field x="2"/>
  </rowFields>
  <rowItems count="57">
    <i>
      <x/>
      <x v="1"/>
      <x v="9"/>
      <x v="26"/>
      <x v="57"/>
    </i>
    <i r="1">
      <x v="6"/>
      <x v="9"/>
      <x v="26"/>
      <x v="57"/>
    </i>
    <i r="1">
      <x v="17"/>
      <x v="4"/>
      <x v="49"/>
      <x v="43"/>
    </i>
    <i r="1">
      <x v="27"/>
      <x v="9"/>
      <x v="20"/>
      <x v="35"/>
    </i>
    <i r="1">
      <x v="60"/>
      <x v="9"/>
      <x v="26"/>
      <x v="59"/>
    </i>
    <i r="1">
      <x v="71"/>
      <x v="9"/>
      <x v="5"/>
      <x v="27"/>
    </i>
    <i r="1">
      <x v="96"/>
      <x v="9"/>
      <x v="26"/>
      <x v="59"/>
    </i>
    <i r="1">
      <x v="98"/>
      <x v="9"/>
      <x v="25"/>
      <x v="30"/>
    </i>
    <i r="1">
      <x v="123"/>
      <x v="6"/>
      <x v="2"/>
      <x v="8"/>
    </i>
    <i r="1">
      <x v="128"/>
      <x v="6"/>
      <x v="2"/>
      <x v="8"/>
    </i>
    <i r="1">
      <x v="176"/>
      <x v="9"/>
      <x v="29"/>
      <x v="27"/>
    </i>
    <i r="1">
      <x v="177"/>
      <x v="9"/>
      <x v="31"/>
      <x v="27"/>
    </i>
    <i r="1">
      <x v="178"/>
      <x v="9"/>
      <x v="30"/>
      <x v="27"/>
    </i>
    <i r="1">
      <x v="201"/>
      <x v="9"/>
      <x v="26"/>
      <x v="57"/>
    </i>
    <i r="1">
      <x v="209"/>
      <x v="6"/>
      <x v="2"/>
      <x v="8"/>
    </i>
    <i r="1">
      <x v="211"/>
      <x v="6"/>
      <x v="2"/>
      <x v="8"/>
    </i>
    <i r="1">
      <x v="224"/>
      <x v="4"/>
      <x v="51"/>
      <x v="43"/>
    </i>
    <i r="1">
      <x v="236"/>
      <x v="4"/>
      <x v="50"/>
      <x v="43"/>
    </i>
    <i r="1">
      <x v="323"/>
      <x v="9"/>
      <x v="17"/>
      <x v="60"/>
    </i>
    <i>
      <x v="1"/>
      <x v="8"/>
      <x v="9"/>
      <x v="36"/>
      <x v="34"/>
    </i>
    <i r="1">
      <x v="19"/>
      <x v="9"/>
      <x v="20"/>
      <x v="27"/>
    </i>
    <i r="1">
      <x v="28"/>
      <x v="9"/>
      <x v="7"/>
      <x v="35"/>
    </i>
    <i r="1">
      <x v="33"/>
      <x v="9"/>
      <x v="6"/>
      <x v="58"/>
    </i>
    <i r="1">
      <x v="39"/>
      <x v="9"/>
      <x v="11"/>
      <x v="6"/>
    </i>
    <i r="1">
      <x v="44"/>
      <x v="4"/>
      <x v="80"/>
      <x v="41"/>
    </i>
    <i r="1">
      <x v="52"/>
      <x v="9"/>
      <x v="33"/>
      <x v="60"/>
    </i>
    <i r="1">
      <x v="64"/>
      <x v="4"/>
      <x v="39"/>
      <x v="41"/>
    </i>
    <i r="1">
      <x v="67"/>
      <x v="4"/>
      <x v="43"/>
      <x v="42"/>
    </i>
    <i r="1">
      <x v="69"/>
      <x v="4"/>
      <x v="44"/>
      <x v="42"/>
    </i>
    <i r="1">
      <x v="101"/>
      <x v="9"/>
      <x v="20"/>
      <x v="12"/>
    </i>
    <i r="1">
      <x v="102"/>
      <x v="9"/>
      <x v="20"/>
      <x v="60"/>
    </i>
    <i r="1">
      <x v="103"/>
      <x v="9"/>
      <x v="20"/>
      <x v="60"/>
    </i>
    <i r="1">
      <x v="105"/>
      <x v="9"/>
      <x v="20"/>
      <x v="6"/>
    </i>
    <i r="1">
      <x v="106"/>
      <x v="4"/>
      <x v="81"/>
      <x v="41"/>
    </i>
    <i r="1">
      <x v="113"/>
      <x v="4"/>
      <x v="38"/>
      <x v="41"/>
    </i>
    <i r="1">
      <x v="118"/>
      <x v="9"/>
      <x v="35"/>
      <x v="18"/>
    </i>
    <i r="1">
      <x v="150"/>
      <x v="9"/>
      <x v="20"/>
      <x v="6"/>
    </i>
    <i r="1">
      <x v="153"/>
      <x v="9"/>
      <x v="20"/>
      <x v="6"/>
    </i>
    <i r="1">
      <x v="165"/>
      <x v="9"/>
      <x v="20"/>
      <x v="6"/>
    </i>
    <i r="1">
      <x v="168"/>
      <x v="9"/>
      <x v="20"/>
      <x v="6"/>
    </i>
    <i r="1">
      <x v="174"/>
      <x v="9"/>
      <x v="34"/>
      <x v="60"/>
    </i>
    <i r="1">
      <x v="180"/>
      <x v="9"/>
      <x v="10"/>
      <x v="27"/>
    </i>
    <i r="1">
      <x v="216"/>
      <x v="9"/>
      <x v="13"/>
      <x v="35"/>
    </i>
    <i r="1">
      <x v="217"/>
      <x v="9"/>
      <x v="7"/>
      <x v="35"/>
    </i>
    <i r="1">
      <x v="222"/>
      <x v="4"/>
      <x v="45"/>
      <x v="42"/>
    </i>
    <i r="1">
      <x v="225"/>
      <x v="4"/>
      <x v="20"/>
      <x v="44"/>
    </i>
    <i r="1">
      <x v="233"/>
      <x v="9"/>
      <x v="61"/>
      <x v="36"/>
    </i>
    <i r="1">
      <x v="234"/>
      <x v="4"/>
      <x v="41"/>
      <x v="41"/>
    </i>
    <i r="1">
      <x v="248"/>
      <x v="4"/>
      <x v="70"/>
      <x v="13"/>
    </i>
    <i r="1">
      <x v="268"/>
      <x v="9"/>
      <x v="20"/>
      <x v="27"/>
    </i>
    <i r="1">
      <x v="307"/>
      <x v="9"/>
      <x v="4"/>
      <x v="25"/>
    </i>
    <i r="1">
      <x v="308"/>
      <x v="9"/>
      <x v="60"/>
      <x v="25"/>
    </i>
    <i r="1">
      <x v="324"/>
      <x v="9"/>
      <x v="11"/>
      <x v="18"/>
    </i>
    <i r="1">
      <x v="326"/>
      <x v="4"/>
      <x v="17"/>
      <x v="27"/>
    </i>
    <i r="1">
      <x v="332"/>
      <x v="4"/>
      <x v="17"/>
      <x v="27"/>
    </i>
    <i r="1">
      <x v="334"/>
      <x v="9"/>
      <x v="17"/>
      <x v="43"/>
    </i>
    <i t="grand">
      <x/>
    </i>
  </rowItems>
  <colItems count="1">
    <i/>
  </colItems>
  <dataFields count="1">
    <dataField name="Count of field names in Trng deck"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3" Type="http://schemas.openxmlformats.org/officeDocument/2006/relationships/hyperlink" Target="javascript:void(0);" TargetMode="External"/><Relationship Id="rId18" Type="http://schemas.openxmlformats.org/officeDocument/2006/relationships/hyperlink" Target="javascript:void(0);" TargetMode="External"/><Relationship Id="rId26" Type="http://schemas.openxmlformats.org/officeDocument/2006/relationships/hyperlink" Target="javascript:void(0);" TargetMode="External"/><Relationship Id="rId39" Type="http://schemas.openxmlformats.org/officeDocument/2006/relationships/hyperlink" Target="javascript:void(0);" TargetMode="External"/><Relationship Id="rId21" Type="http://schemas.openxmlformats.org/officeDocument/2006/relationships/hyperlink" Target="javascript:void(0);" TargetMode="External"/><Relationship Id="rId34" Type="http://schemas.openxmlformats.org/officeDocument/2006/relationships/hyperlink" Target="javascript:void(0);" TargetMode="External"/><Relationship Id="rId42" Type="http://schemas.openxmlformats.org/officeDocument/2006/relationships/hyperlink" Target="javascript:void(0);" TargetMode="External"/><Relationship Id="rId7" Type="http://schemas.openxmlformats.org/officeDocument/2006/relationships/hyperlink" Target="javascript:void(0);" TargetMode="External"/><Relationship Id="rId2" Type="http://schemas.openxmlformats.org/officeDocument/2006/relationships/hyperlink" Target="javascript:void(0);" TargetMode="External"/><Relationship Id="rId16" Type="http://schemas.openxmlformats.org/officeDocument/2006/relationships/hyperlink" Target="javascript:void(0);" TargetMode="External"/><Relationship Id="rId20" Type="http://schemas.openxmlformats.org/officeDocument/2006/relationships/hyperlink" Target="javascript:void(0);" TargetMode="External"/><Relationship Id="rId29" Type="http://schemas.openxmlformats.org/officeDocument/2006/relationships/hyperlink" Target="javascript:void(0);" TargetMode="External"/><Relationship Id="rId41"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11" Type="http://schemas.openxmlformats.org/officeDocument/2006/relationships/hyperlink" Target="javascript:void(0);" TargetMode="External"/><Relationship Id="rId24" Type="http://schemas.openxmlformats.org/officeDocument/2006/relationships/hyperlink" Target="javascript:void(0);" TargetMode="External"/><Relationship Id="rId32" Type="http://schemas.openxmlformats.org/officeDocument/2006/relationships/hyperlink" Target="javascript:void(0);" TargetMode="External"/><Relationship Id="rId37" Type="http://schemas.openxmlformats.org/officeDocument/2006/relationships/hyperlink" Target="javascript:void(0);" TargetMode="External"/><Relationship Id="rId40" Type="http://schemas.openxmlformats.org/officeDocument/2006/relationships/hyperlink" Target="javascript:void(0);" TargetMode="External"/><Relationship Id="rId5" Type="http://schemas.openxmlformats.org/officeDocument/2006/relationships/hyperlink" Target="javascript:void(0);" TargetMode="External"/><Relationship Id="rId15" Type="http://schemas.openxmlformats.org/officeDocument/2006/relationships/hyperlink" Target="javascript:void(0);" TargetMode="External"/><Relationship Id="rId23" Type="http://schemas.openxmlformats.org/officeDocument/2006/relationships/hyperlink" Target="javascript:void(0);" TargetMode="External"/><Relationship Id="rId28" Type="http://schemas.openxmlformats.org/officeDocument/2006/relationships/hyperlink" Target="javascript:void(0);" TargetMode="External"/><Relationship Id="rId36" Type="http://schemas.openxmlformats.org/officeDocument/2006/relationships/hyperlink" Target="javascript:void(0);" TargetMode="External"/><Relationship Id="rId10" Type="http://schemas.openxmlformats.org/officeDocument/2006/relationships/hyperlink" Target="javascript:void(0);" TargetMode="External"/><Relationship Id="rId19" Type="http://schemas.openxmlformats.org/officeDocument/2006/relationships/hyperlink" Target="javascript:void(0);" TargetMode="External"/><Relationship Id="rId31" Type="http://schemas.openxmlformats.org/officeDocument/2006/relationships/hyperlink" Target="javascript:void(0);" TargetMode="External"/><Relationship Id="rId4" Type="http://schemas.openxmlformats.org/officeDocument/2006/relationships/hyperlink" Target="javascript:void(0);" TargetMode="External"/><Relationship Id="rId9" Type="http://schemas.openxmlformats.org/officeDocument/2006/relationships/hyperlink" Target="javascript:void(0);" TargetMode="External"/><Relationship Id="rId14" Type="http://schemas.openxmlformats.org/officeDocument/2006/relationships/hyperlink" Target="javascript:void(0);" TargetMode="External"/><Relationship Id="rId22" Type="http://schemas.openxmlformats.org/officeDocument/2006/relationships/hyperlink" Target="javascript:void(0);" TargetMode="External"/><Relationship Id="rId27" Type="http://schemas.openxmlformats.org/officeDocument/2006/relationships/hyperlink" Target="javascript:void(0);" TargetMode="External"/><Relationship Id="rId30" Type="http://schemas.openxmlformats.org/officeDocument/2006/relationships/hyperlink" Target="javascript:void(0);" TargetMode="External"/><Relationship Id="rId35" Type="http://schemas.openxmlformats.org/officeDocument/2006/relationships/hyperlink" Target="javascript:void(0);" TargetMode="External"/><Relationship Id="rId8" Type="http://schemas.openxmlformats.org/officeDocument/2006/relationships/hyperlink" Target="javascript:void(0);" TargetMode="External"/><Relationship Id="rId3" Type="http://schemas.openxmlformats.org/officeDocument/2006/relationships/hyperlink" Target="javascript:void(0);" TargetMode="External"/><Relationship Id="rId12" Type="http://schemas.openxmlformats.org/officeDocument/2006/relationships/hyperlink" Target="javascript:void(0);" TargetMode="External"/><Relationship Id="rId17" Type="http://schemas.openxmlformats.org/officeDocument/2006/relationships/hyperlink" Target="javascript:void(0);" TargetMode="External"/><Relationship Id="rId25" Type="http://schemas.openxmlformats.org/officeDocument/2006/relationships/hyperlink" Target="javascript:void(0);" TargetMode="External"/><Relationship Id="rId33" Type="http://schemas.openxmlformats.org/officeDocument/2006/relationships/hyperlink" Target="javascript:void(0);" TargetMode="External"/><Relationship Id="rId38" Type="http://schemas.openxmlformats.org/officeDocument/2006/relationships/hyperlink" Target="javascript:void(0);"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8" Type="http://schemas.openxmlformats.org/officeDocument/2006/relationships/hyperlink" Target="../../../../../:x:/s/KellanovaPOC/EQMkLoArYyZClrTsRliBa7sBMZR-JUYxm060JexDQCxtyw?e=Xtg4nU" TargetMode="External"/><Relationship Id="rId13" Type="http://schemas.openxmlformats.org/officeDocument/2006/relationships/hyperlink" Target="../../../../../:p:/s/KellanovaPOC/Eeava2hFKR9IqQjtF1KFtVgBksQS41v0Xy6Hd0GYgZInvw?e=qU26uD" TargetMode="External"/><Relationship Id="rId18" Type="http://schemas.openxmlformats.org/officeDocument/2006/relationships/hyperlink" Target="../../../../../:p:/s/KellanovaPOC/ET_Y4fFtaOxEv-rqn8Czhr4BMKWmZVTT7yOqPulrwBlvUw?e=4hrQ0P" TargetMode="External"/><Relationship Id="rId26" Type="http://schemas.openxmlformats.org/officeDocument/2006/relationships/hyperlink" Target="../../../../../:x:/s/KellanovaPOC/EW5vz-Az0RVPqLrrFMUekB8BJyhvdMSyxSE5Bejr4axotQ?e=hm8X5J" TargetMode="External"/><Relationship Id="rId3" Type="http://schemas.openxmlformats.org/officeDocument/2006/relationships/hyperlink" Target="../../../../../:b:/s/KellanovaPOC/EYz9VSgzGwBOqt-aozCESc4BUWkeq9CupaSPdicZ1RVHLw?e=ZxcbUQ" TargetMode="External"/><Relationship Id="rId21" Type="http://schemas.openxmlformats.org/officeDocument/2006/relationships/hyperlink" Target="../../../../../:p:/s/KellanovaPOC/ESiNglx3w59Et8tYeuF5lvEBDbCGBCLYi0cb4oJCtmC41w?e=UtoIn8" TargetMode="External"/><Relationship Id="rId7" Type="http://schemas.openxmlformats.org/officeDocument/2006/relationships/hyperlink" Target="../../../../../:b:/s/KellanovaPOC/Ebq18PuizP5AvpKQVuLtGKkBSRnZdmNJNDyqcSmy_6vuJQ?e=VO2Tlv" TargetMode="External"/><Relationship Id="rId12" Type="http://schemas.openxmlformats.org/officeDocument/2006/relationships/hyperlink" Target="../../../../../:b:/s/KellanovaPOC/ETZy2bSJUMlNr_4UjTycDj4BtVjRMr-bRa044NwE6-LLrg?e=xGeW3h" TargetMode="External"/><Relationship Id="rId17" Type="http://schemas.openxmlformats.org/officeDocument/2006/relationships/hyperlink" Target="../../../../../:x:/s/KellanovaPOC/EZHsm2_Aq_dNg1d0c1ZdJU8BKfDE-RN8lPpvrNAjjbYeJw?e=hKeKx1" TargetMode="External"/><Relationship Id="rId25" Type="http://schemas.openxmlformats.org/officeDocument/2006/relationships/hyperlink" Target="../../../../../:f:/s/KellanovaPOC/ErHJntwb9J9Dl9dL1yCo0vkBfQGUamGVgA2BrG-rlLhktQ?e=W8RePS" TargetMode="External"/><Relationship Id="rId2" Type="http://schemas.openxmlformats.org/officeDocument/2006/relationships/hyperlink" Target="../../../../../:x:/s/KellanovaPOC/EYSFbvdsfjtKtxKDbiu8a-YBiBtbH21BoRSyeHZPcXpR0w?e=2JSEWA" TargetMode="External"/><Relationship Id="rId16" Type="http://schemas.openxmlformats.org/officeDocument/2006/relationships/hyperlink" Target="../../../../../:p:/s/KellanovaPOC/EYVHKfwsjLRGnu9B8BIqEKgBcYN_F96UFeOGEozw4Qjq6g?e=r8a9cX" TargetMode="External"/><Relationship Id="rId20" Type="http://schemas.openxmlformats.org/officeDocument/2006/relationships/hyperlink" Target="../../../../../:p:/s/KellanovaPOC/EdMdCqpu0Y9NsKwQiOgCOpcB2hJykBNGrhZuwfoUByg6Cg?e=fuTjmB" TargetMode="External"/><Relationship Id="rId1" Type="http://schemas.openxmlformats.org/officeDocument/2006/relationships/hyperlink" Target="../../../../../../../:x:/r/sites/KellanovaONLYProjectNIFTY/Shared%20Documents/2%20-%20Design/Integrations/Material_Master.xlsx?d=w2fed508a84b74c92abe818f6f5ec0e36&amp;csf=1&amp;web=1&amp;e=FeznOH" TargetMode="External"/><Relationship Id="rId6" Type="http://schemas.openxmlformats.org/officeDocument/2006/relationships/hyperlink" Target="../../../../../:w:/s/KellanovaPOC/Ee9JL6iGNBlDosGuh1tvCGsBiIoZzpp1tOC4c6eYhyeaOw?e=qYIANW" TargetMode="External"/><Relationship Id="rId11" Type="http://schemas.openxmlformats.org/officeDocument/2006/relationships/hyperlink" Target="../../../../../:b:/s/KellanovaPOC/ESU_GwqgXlpFgjEfRgl-2AwBAmel7E_d1F8PcxKt_Nskug?e=1SZh1a" TargetMode="External"/><Relationship Id="rId24" Type="http://schemas.openxmlformats.org/officeDocument/2006/relationships/hyperlink" Target="../../../../../:f:/s/KellanovaPOC/EqZMMo6VGWVOhSuHpX_Rp-cBcOUst6-ZmV67nANlvnlGmA?e=wFbo3U" TargetMode="External"/><Relationship Id="rId5" Type="http://schemas.openxmlformats.org/officeDocument/2006/relationships/hyperlink" Target="../../../../../:w:/s/KellanovaPOC/ERkMVncnqRZMgkRKW56_IrEB6uh17uQS8uMs8aqoP3KcZA?e=kCJWXG" TargetMode="External"/><Relationship Id="rId15" Type="http://schemas.openxmlformats.org/officeDocument/2006/relationships/hyperlink" Target="../../../../../:p:/s/KellanovaPOC/ESFqvPrnNJ9CrOsL9kas1fwBUK_-Ime5btu109ictFa_dQ?e=7SmvYU" TargetMode="External"/><Relationship Id="rId23" Type="http://schemas.openxmlformats.org/officeDocument/2006/relationships/hyperlink" Target="../../../../../:b:/s/KellanovaPOC/EfDBJz03UkxMhnipWGMPFMYBDe7biGBTIBPLXPwgaUrcNg?e=nf4Oi0" TargetMode="External"/><Relationship Id="rId28" Type="http://schemas.openxmlformats.org/officeDocument/2006/relationships/hyperlink" Target="../../../../../../../:x:/r/sites/KellanovaONLYProjectNIFTY/Shared%20Documents/2%20-%20Design/Integrations/NIF_Example.xlsx?d=wbe63df083259490daed5b44545a13ebf&amp;csf=1&amp;web=1&amp;e=8sCKDp" TargetMode="External"/><Relationship Id="rId10" Type="http://schemas.openxmlformats.org/officeDocument/2006/relationships/hyperlink" Target="../../../../../:p:/s/KellanovaPOC/EVqJ0FcTgPZHiCc1YYAGeQcBOcE31Jo8GjTD4e1pDDcPFQ?e=JkqzBw" TargetMode="External"/><Relationship Id="rId19" Type="http://schemas.openxmlformats.org/officeDocument/2006/relationships/hyperlink" Target="../../../../../:w:/s/KellanovaPOC/Efs25tddciBGnhNQm7ds1NYBUOxg0NYX6FgG_4LTLnGFmQ?e=hnkXAl" TargetMode="External"/><Relationship Id="rId4" Type="http://schemas.openxmlformats.org/officeDocument/2006/relationships/hyperlink" Target="../../../../../:p:/s/KellanovaPOC/EfkUdKdx9BNCg0HB6ggvvSABCv2wpV7AhZvLYqTBEBKfPw?e=pg4gfI" TargetMode="External"/><Relationship Id="rId9" Type="http://schemas.openxmlformats.org/officeDocument/2006/relationships/hyperlink" Target="../../../../../:p:/s/KellanovaPOC/ERKlswYmJBdDjR_NjhWaLrUB07C9LWoV2-oVien5C8p-Eg?e=1VfZDK" TargetMode="External"/><Relationship Id="rId14" Type="http://schemas.openxmlformats.org/officeDocument/2006/relationships/hyperlink" Target="../../../../../:x:/s/KellanovaPOC/ERq7D1nhUbROtuEv3I-7bqwBecTIJ0gBqHWl1e6--mkjCQ?e=QRRzXF" TargetMode="External"/><Relationship Id="rId22" Type="http://schemas.openxmlformats.org/officeDocument/2006/relationships/hyperlink" Target="../../../../../:w:/s/KellanovaPOC/ESy0Ch2kHQNJiShQdfEsA1QBgfhFwuZf6TGG7M4vQRcaCg?e=UGoGf9" TargetMode="External"/><Relationship Id="rId27" Type="http://schemas.openxmlformats.org/officeDocument/2006/relationships/hyperlink" Target="../../../../../:x:/s/KellanovaPOC/Eb9VuxIRKTdGsomj6rahEagBUvX1pxfrrfX2pl6Fj3mkGw?e=LRLfSB"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8"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13" Type="http://schemas.openxmlformats.org/officeDocument/2006/relationships/hyperlink" Target="../../../../../../WinshuttleNIFKNVHistoricalRepository/Shared%20Documents/NIF%20KNV%20Historical%20Repository/SALTY%20PRICE%20AUDIT/2410012414-NIF%20Normal%20Straight%20Case%20Repack%20RCP%20-%20US%20-%20PWR_2024-338%20-%20SALTY%20SNK%20-%20Lindauer,%20Christina%20-%20CHEEZ-IT%2030CT%20VALENTINE'S-Price%20Audit.pdf?web=1" TargetMode="External"/><Relationship Id="rId18" Type="http://schemas.openxmlformats.org/officeDocument/2006/relationships/hyperlink" Target="https://kelloggcompany-my.sharepoint.com/personal/brandel_kremer_kellogg_com/Documents/Microsoft%20Teams%20Chat%20Files/Data%20Ops%20NIF%20Create%20a%20CASE%20Training%20Deck%20-%2011.24%201.pdf?web=1" TargetMode="External"/><Relationship Id="rId3"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7"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12" Type="http://schemas.openxmlformats.org/officeDocument/2006/relationships/hyperlink" Target="https://kelloggcompany-my.sharepoint.com/personal/brandel_kremer_kellogg_com/Documents/Microsoft%20Teams%20Chat%20Files/Data%20Ops%20NIF%20Create%20a%20CASE%20Training%20Deck%20-%2011.24%201.pdf?web=1" TargetMode="External"/><Relationship Id="rId17" Type="http://schemas.openxmlformats.org/officeDocument/2006/relationships/hyperlink" Target="../../../../../../WinshuttleNIFKNVHistoricalRepository/Shared%20Documents/NIF%20KNV%20Historical%20Repository/SALTY%20PRICE%20AUDIT/2410012414-NIF%20Normal%20Straight%20Case%20Repack%20RCP%20-%20US%20-%20PWR_2024-338%20-%20SALTY%20SNK%20-%20Lindauer,%20Christina%20-%20CHEEZ-IT%2030CT%20VALENTINE'S-Price%20Audit.pdf?web=1" TargetMode="External"/><Relationship Id="rId2"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16"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1"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6"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11" Type="http://schemas.openxmlformats.org/officeDocument/2006/relationships/hyperlink" Target="../../../../../../WinshuttleNIFKNVHistoricalRepository/Shared%20Documents/NIF%20KNV%20Historical%20Repository/SALTY%20PRICE%20AUDIT/2410012414-NIF%20Normal%20Straight%20Case%20Repack%20RCP%20-%20US%20-%20PWR_2024-338%20-%20SALTY%20SNK%20-%20Lindauer,%20Christina%20-%20CHEEZ-IT%2030CT%20VALENTINE'S-Price%20Audit.pdf?web=1" TargetMode="External"/><Relationship Id="rId5"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15" Type="http://schemas.openxmlformats.org/officeDocument/2006/relationships/hyperlink" Target="../../../../../../WinshuttleNIFKNVHistoricalRepository/Shared%20Documents/NIF%20KNV%20Historical%20Repository/SALTY%20PRICE%20AUDIT/2410012414-NIF%20Normal%20Straight%20Case%20Repack%20RCP%20-%20US%20-%20PWR_2024-338%20-%20SALTY%20SNK%20-%20Lindauer,%20Christina%20-%20CHEEZ-IT%2030CT%20VALENTINE'S-Price%20Audit.pdf?web=1" TargetMode="External"/><Relationship Id="rId10" Type="http://schemas.openxmlformats.org/officeDocument/2006/relationships/hyperlink" Target="../../../../../../WinshuttleNIFKNVHistoricalRepository/Shared%20Documents/NIF%20KNV%20Historical%20Repository/SALTY%20PRICE%20AUDIT/2410012414-NIF%20Normal%20Straight%20Case%20Repack%20RCP%20-%20US%20-%20PWR_2024-338%20-%20SALTY%20SNK%20-%20Lindauer,%20Christina%20-%20CHEEZ-IT%2030CT%20VALENTINE'S-Price%20Audit.pdf?web=1" TargetMode="External"/><Relationship Id="rId4" Type="http://schemas.openxmlformats.org/officeDocument/2006/relationships/hyperlink" Target="../../../../../../WinshuttleNIFKNVHistoricalRepository/Shared%20Documents/NIF%20KNV%20Historical%20Repository/SALTY/2410012414-NIF%20Normal%20Straight%20Case%20Repack%20RCP%20-%20US%20-%20PWR_2024-338%20-%20SALTY%20SNK%20-%20Lindauer,%20Christina%20-%20CHEEZ-IT%2030CT%20VALENTINE'S.pdf?web=1" TargetMode="External"/><Relationship Id="rId9" Type="http://schemas.openxmlformats.org/officeDocument/2006/relationships/hyperlink" Target="../../../../../../WinshuttleNIFKNVHistoricalRepository/Shared%20Documents/NIF%20KNV%20Historical%20Repository/SALTY%20PRICE%20AUDIT/2410012414-NIF%20Normal%20Straight%20Case%20Repack%20RCP%20-%20US%20-%20PWR_2024-338%20-%20SALTY%20SNK%20-%20Lindauer,%20Christina%20-%20CHEEZ-IT%2030CT%20VALENTINE'S-Price%20Audit.pdf?web=1" TargetMode="External"/><Relationship Id="rId14" Type="http://schemas.openxmlformats.org/officeDocument/2006/relationships/hyperlink" Target="../../../../../../WinshuttleNIFKNVHistoricalRepository/Shared%20Documents/NIF%20KNV%20Historical%20Repository/SALTY%20PRICE%20AUDIT/2410012414-NIF%20Normal%20Straight%20Case%20Repack%20RCP%20-%20US%20-%20PWR_2024-338%20-%20SALTY%20SNK%20-%20Lindauer,%20Christina%20-%20CHEEZ-IT%2030CT%20VALENTINE'S-Price%20Audit.pdf?web=1"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67F3A-5332-4A7E-8D9C-94399AFBAB7C}">
  <dimension ref="A1:J131"/>
  <sheetViews>
    <sheetView workbookViewId="0">
      <pane xSplit="4" ySplit="3" topLeftCell="E4" activePane="bottomRight" state="frozen"/>
      <selection pane="bottomRight" activeCell="F8" sqref="F8"/>
      <selection pane="bottomLeft" activeCell="A4" sqref="A4"/>
      <selection pane="topRight" activeCell="E1" sqref="E1"/>
    </sheetView>
  </sheetViews>
  <sheetFormatPr defaultRowHeight="14.45"/>
  <cols>
    <col min="1" max="1" width="14.28515625" customWidth="1"/>
    <col min="2" max="2" width="38.28515625" customWidth="1"/>
    <col min="3" max="3" width="12.28515625" bestFit="1" customWidth="1"/>
    <col min="4" max="4" width="15.7109375" bestFit="1" customWidth="1"/>
    <col min="5" max="5" width="3" customWidth="1"/>
    <col min="6" max="6" width="45" bestFit="1" customWidth="1"/>
    <col min="7" max="7" width="18.5703125" bestFit="1" customWidth="1"/>
    <col min="8" max="8" width="44.7109375" bestFit="1" customWidth="1"/>
    <col min="9" max="9" width="30" bestFit="1" customWidth="1"/>
    <col min="10" max="10" width="30.5703125" customWidth="1"/>
    <col min="11" max="11" width="11.28515625" bestFit="1" customWidth="1"/>
  </cols>
  <sheetData>
    <row r="1" spans="1:10">
      <c r="A1" s="2" t="s">
        <v>0</v>
      </c>
      <c r="B1" s="3" t="s">
        <v>1</v>
      </c>
      <c r="C1" s="2"/>
      <c r="D1" s="2"/>
      <c r="E1" s="2"/>
    </row>
    <row r="2" spans="1:10">
      <c r="A2" s="2"/>
      <c r="B2" s="2"/>
      <c r="C2" s="2"/>
      <c r="D2" s="2"/>
      <c r="E2" s="2"/>
    </row>
    <row r="3" spans="1:10">
      <c r="A3" s="5" t="s">
        <v>2</v>
      </c>
      <c r="B3" s="4" t="s">
        <v>3</v>
      </c>
      <c r="C3" s="4" t="s">
        <v>4</v>
      </c>
      <c r="D3" s="4" t="s">
        <v>5</v>
      </c>
      <c r="E3" s="4"/>
      <c r="F3" s="6" t="s">
        <v>6</v>
      </c>
      <c r="G3" s="4"/>
    </row>
    <row r="4" spans="1:10">
      <c r="B4" s="2"/>
      <c r="C4" s="2"/>
      <c r="D4" s="2"/>
      <c r="F4" s="3" t="s">
        <v>7</v>
      </c>
      <c r="G4" s="3" t="s">
        <v>8</v>
      </c>
      <c r="H4" s="3" t="s">
        <v>8</v>
      </c>
      <c r="I4" s="3" t="s">
        <v>9</v>
      </c>
    </row>
    <row r="5" spans="1:10">
      <c r="A5" s="2" t="s">
        <v>10</v>
      </c>
      <c r="F5" s="1" t="s">
        <v>11</v>
      </c>
      <c r="G5" s="8" t="s">
        <v>12</v>
      </c>
      <c r="H5" s="8" t="s">
        <v>13</v>
      </c>
      <c r="I5" s="8" t="s">
        <v>14</v>
      </c>
      <c r="J5" s="1" t="s">
        <v>15</v>
      </c>
    </row>
    <row r="6" spans="1:10">
      <c r="B6" t="s">
        <v>16</v>
      </c>
      <c r="C6" t="s">
        <v>17</v>
      </c>
      <c r="D6" t="s">
        <v>18</v>
      </c>
      <c r="F6" t="s">
        <v>19</v>
      </c>
      <c r="G6" t="s">
        <v>20</v>
      </c>
      <c r="H6" t="s">
        <v>21</v>
      </c>
      <c r="I6" t="s">
        <v>22</v>
      </c>
      <c r="J6" t="s">
        <v>23</v>
      </c>
    </row>
    <row r="7" spans="1:10">
      <c r="B7" t="s">
        <v>12</v>
      </c>
      <c r="C7" t="s">
        <v>17</v>
      </c>
      <c r="F7" t="s">
        <v>24</v>
      </c>
      <c r="G7" t="s">
        <v>20</v>
      </c>
      <c r="H7" t="s">
        <v>21</v>
      </c>
      <c r="I7" t="s">
        <v>25</v>
      </c>
      <c r="J7" t="s">
        <v>26</v>
      </c>
    </row>
    <row r="8" spans="1:10">
      <c r="B8" t="s">
        <v>11</v>
      </c>
      <c r="C8" t="s">
        <v>17</v>
      </c>
      <c r="F8" t="s">
        <v>27</v>
      </c>
      <c r="G8" t="s">
        <v>20</v>
      </c>
      <c r="H8" t="s">
        <v>21</v>
      </c>
      <c r="I8" t="s">
        <v>28</v>
      </c>
      <c r="J8" t="s">
        <v>29</v>
      </c>
    </row>
    <row r="9" spans="1:10">
      <c r="B9" t="s">
        <v>13</v>
      </c>
      <c r="C9" t="s">
        <v>17</v>
      </c>
      <c r="G9" t="s">
        <v>20</v>
      </c>
      <c r="H9" t="s">
        <v>30</v>
      </c>
      <c r="I9" t="s">
        <v>31</v>
      </c>
      <c r="J9" t="s">
        <v>32</v>
      </c>
    </row>
    <row r="10" spans="1:10">
      <c r="B10" t="s">
        <v>14</v>
      </c>
      <c r="C10" t="s">
        <v>17</v>
      </c>
      <c r="G10" t="s">
        <v>20</v>
      </c>
      <c r="H10" t="s">
        <v>30</v>
      </c>
      <c r="I10" t="s">
        <v>33</v>
      </c>
    </row>
    <row r="11" spans="1:10">
      <c r="B11" t="s">
        <v>34</v>
      </c>
      <c r="C11" t="s">
        <v>17</v>
      </c>
      <c r="D11" t="s">
        <v>35</v>
      </c>
      <c r="G11" t="s">
        <v>20</v>
      </c>
      <c r="H11" t="s">
        <v>36</v>
      </c>
      <c r="I11" t="s">
        <v>37</v>
      </c>
    </row>
    <row r="12" spans="1:10">
      <c r="B12" t="s">
        <v>38</v>
      </c>
      <c r="C12" t="s">
        <v>17</v>
      </c>
      <c r="D12" t="s">
        <v>35</v>
      </c>
      <c r="G12" t="s">
        <v>20</v>
      </c>
      <c r="H12" t="s">
        <v>36</v>
      </c>
      <c r="I12" t="s">
        <v>39</v>
      </c>
    </row>
    <row r="13" spans="1:10">
      <c r="B13" t="s">
        <v>40</v>
      </c>
      <c r="C13" t="s">
        <v>41</v>
      </c>
      <c r="G13" t="s">
        <v>20</v>
      </c>
      <c r="H13" t="s">
        <v>42</v>
      </c>
      <c r="I13" t="s">
        <v>43</v>
      </c>
    </row>
    <row r="14" spans="1:10">
      <c r="B14" t="s">
        <v>15</v>
      </c>
      <c r="C14" t="s">
        <v>17</v>
      </c>
      <c r="G14" t="s">
        <v>20</v>
      </c>
      <c r="H14" t="s">
        <v>42</v>
      </c>
      <c r="I14" t="s">
        <v>44</v>
      </c>
    </row>
    <row r="15" spans="1:10">
      <c r="B15" t="s">
        <v>45</v>
      </c>
      <c r="C15" t="s">
        <v>46</v>
      </c>
      <c r="G15" t="s">
        <v>20</v>
      </c>
      <c r="H15" t="s">
        <v>47</v>
      </c>
      <c r="I15" t="s">
        <v>48</v>
      </c>
    </row>
    <row r="16" spans="1:10" ht="57.6">
      <c r="B16" t="s">
        <v>49</v>
      </c>
      <c r="C16" s="7" t="s">
        <v>41</v>
      </c>
      <c r="D16" s="11" t="s">
        <v>50</v>
      </c>
      <c r="G16" t="s">
        <v>20</v>
      </c>
      <c r="H16" t="s">
        <v>47</v>
      </c>
      <c r="I16" t="s">
        <v>51</v>
      </c>
    </row>
    <row r="17" spans="2:9">
      <c r="B17" t="s">
        <v>52</v>
      </c>
      <c r="C17" t="s">
        <v>46</v>
      </c>
      <c r="G17" t="s">
        <v>20</v>
      </c>
      <c r="H17" t="s">
        <v>53</v>
      </c>
      <c r="I17" t="s">
        <v>48</v>
      </c>
    </row>
    <row r="18" spans="2:9">
      <c r="B18" t="s">
        <v>54</v>
      </c>
      <c r="C18" t="s">
        <v>46</v>
      </c>
      <c r="G18" t="s">
        <v>20</v>
      </c>
      <c r="H18" t="s">
        <v>53</v>
      </c>
      <c r="I18" t="s">
        <v>51</v>
      </c>
    </row>
    <row r="19" spans="2:9">
      <c r="G19" t="s">
        <v>20</v>
      </c>
      <c r="H19" t="s">
        <v>55</v>
      </c>
      <c r="I19" t="s">
        <v>56</v>
      </c>
    </row>
    <row r="20" spans="2:9">
      <c r="G20" t="s">
        <v>20</v>
      </c>
      <c r="H20" t="s">
        <v>57</v>
      </c>
      <c r="I20" t="s">
        <v>58</v>
      </c>
    </row>
    <row r="21" spans="2:9">
      <c r="G21" t="s">
        <v>20</v>
      </c>
      <c r="H21" t="s">
        <v>59</v>
      </c>
      <c r="I21" t="s">
        <v>60</v>
      </c>
    </row>
    <row r="22" spans="2:9">
      <c r="G22" t="s">
        <v>20</v>
      </c>
      <c r="H22" t="s">
        <v>59</v>
      </c>
      <c r="I22" t="s">
        <v>61</v>
      </c>
    </row>
    <row r="23" spans="2:9">
      <c r="G23" t="s">
        <v>20</v>
      </c>
      <c r="H23" t="s">
        <v>62</v>
      </c>
      <c r="I23" t="s">
        <v>63</v>
      </c>
    </row>
    <row r="24" spans="2:9">
      <c r="G24" t="s">
        <v>20</v>
      </c>
      <c r="H24" t="s">
        <v>62</v>
      </c>
      <c r="I24" t="s">
        <v>64</v>
      </c>
    </row>
    <row r="25" spans="2:9">
      <c r="G25" t="s">
        <v>20</v>
      </c>
      <c r="H25" t="s">
        <v>65</v>
      </c>
      <c r="I25" t="s">
        <v>66</v>
      </c>
    </row>
    <row r="26" spans="2:9">
      <c r="G26" t="s">
        <v>20</v>
      </c>
      <c r="H26" t="s">
        <v>67</v>
      </c>
      <c r="I26" t="s">
        <v>68</v>
      </c>
    </row>
    <row r="27" spans="2:9">
      <c r="G27" t="s">
        <v>20</v>
      </c>
      <c r="H27" t="s">
        <v>67</v>
      </c>
      <c r="I27" t="s">
        <v>69</v>
      </c>
    </row>
    <row r="28" spans="2:9">
      <c r="G28" t="s">
        <v>70</v>
      </c>
      <c r="H28" t="s">
        <v>71</v>
      </c>
      <c r="I28" t="s">
        <v>72</v>
      </c>
    </row>
    <row r="29" spans="2:9">
      <c r="G29" t="s">
        <v>70</v>
      </c>
      <c r="H29" t="s">
        <v>73</v>
      </c>
      <c r="I29" t="s">
        <v>74</v>
      </c>
    </row>
    <row r="30" spans="2:9">
      <c r="G30" t="s">
        <v>70</v>
      </c>
      <c r="H30" t="s">
        <v>75</v>
      </c>
      <c r="I30" t="s">
        <v>76</v>
      </c>
    </row>
    <row r="31" spans="2:9">
      <c r="G31" t="s">
        <v>70</v>
      </c>
      <c r="H31" t="s">
        <v>77</v>
      </c>
      <c r="I31" t="s">
        <v>78</v>
      </c>
    </row>
    <row r="32" spans="2:9">
      <c r="G32" t="s">
        <v>20</v>
      </c>
      <c r="H32" t="s">
        <v>79</v>
      </c>
      <c r="I32" t="s">
        <v>80</v>
      </c>
    </row>
    <row r="33" spans="1:9">
      <c r="G33" t="s">
        <v>20</v>
      </c>
      <c r="H33" t="s">
        <v>81</v>
      </c>
      <c r="I33" t="s">
        <v>82</v>
      </c>
    </row>
    <row r="34" spans="1:9">
      <c r="G34" t="s">
        <v>20</v>
      </c>
      <c r="H34" t="s">
        <v>83</v>
      </c>
      <c r="I34" t="s">
        <v>84</v>
      </c>
    </row>
    <row r="35" spans="1:9">
      <c r="G35" t="s">
        <v>20</v>
      </c>
      <c r="H35" t="s">
        <v>83</v>
      </c>
      <c r="I35" t="s">
        <v>85</v>
      </c>
    </row>
    <row r="36" spans="1:9">
      <c r="G36" t="s">
        <v>20</v>
      </c>
      <c r="H36" t="s">
        <v>86</v>
      </c>
      <c r="I36" t="s">
        <v>87</v>
      </c>
    </row>
    <row r="37" spans="1:9">
      <c r="G37" t="s">
        <v>20</v>
      </c>
      <c r="H37" t="s">
        <v>86</v>
      </c>
      <c r="I37" t="s">
        <v>88</v>
      </c>
    </row>
    <row r="38" spans="1:9">
      <c r="G38" t="s">
        <v>89</v>
      </c>
      <c r="H38" t="s">
        <v>90</v>
      </c>
      <c r="I38" t="s">
        <v>91</v>
      </c>
    </row>
    <row r="39" spans="1:9">
      <c r="G39" t="s">
        <v>89</v>
      </c>
      <c r="H39" t="s">
        <v>92</v>
      </c>
      <c r="I39" t="s">
        <v>93</v>
      </c>
    </row>
    <row r="44" spans="1:9">
      <c r="A44" s="2" t="s">
        <v>94</v>
      </c>
    </row>
    <row r="45" spans="1:9">
      <c r="B45" t="s">
        <v>95</v>
      </c>
      <c r="C45" t="s">
        <v>17</v>
      </c>
      <c r="F45" s="1" t="s">
        <v>95</v>
      </c>
      <c r="G45" s="1" t="s">
        <v>96</v>
      </c>
      <c r="H45" s="1" t="s">
        <v>97</v>
      </c>
      <c r="I45" s="1" t="s">
        <v>98</v>
      </c>
    </row>
    <row r="46" spans="1:9">
      <c r="B46" t="s">
        <v>96</v>
      </c>
      <c r="C46" t="s">
        <v>17</v>
      </c>
      <c r="F46" t="s">
        <v>99</v>
      </c>
      <c r="G46" t="s">
        <v>100</v>
      </c>
      <c r="H46" t="s">
        <v>101</v>
      </c>
      <c r="I46" t="s">
        <v>100</v>
      </c>
    </row>
    <row r="47" spans="1:9">
      <c r="B47" t="s">
        <v>102</v>
      </c>
      <c r="C47" t="s">
        <v>103</v>
      </c>
      <c r="F47" t="s">
        <v>104</v>
      </c>
      <c r="G47" t="s">
        <v>105</v>
      </c>
      <c r="H47" t="s">
        <v>106</v>
      </c>
      <c r="I47" t="s">
        <v>105</v>
      </c>
    </row>
    <row r="48" spans="1:9">
      <c r="B48" t="s">
        <v>97</v>
      </c>
      <c r="C48" t="s">
        <v>17</v>
      </c>
    </row>
    <row r="49" spans="1:8">
      <c r="B49" t="s">
        <v>98</v>
      </c>
      <c r="C49" t="s">
        <v>17</v>
      </c>
    </row>
    <row r="50" spans="1:8">
      <c r="B50" t="s">
        <v>107</v>
      </c>
      <c r="C50" t="s">
        <v>103</v>
      </c>
    </row>
    <row r="53" spans="1:8">
      <c r="A53" s="2" t="s">
        <v>108</v>
      </c>
    </row>
    <row r="54" spans="1:8">
      <c r="B54" t="s">
        <v>109</v>
      </c>
      <c r="C54" t="s">
        <v>17</v>
      </c>
      <c r="D54" t="s">
        <v>110</v>
      </c>
    </row>
    <row r="56" spans="1:8">
      <c r="A56" s="2" t="s">
        <v>111</v>
      </c>
      <c r="F56" s="1" t="s">
        <v>112</v>
      </c>
      <c r="G56" s="1"/>
      <c r="H56" s="1"/>
    </row>
    <row r="57" spans="1:8">
      <c r="B57" t="s">
        <v>113</v>
      </c>
      <c r="C57" t="s">
        <v>17</v>
      </c>
      <c r="D57" t="s">
        <v>35</v>
      </c>
      <c r="F57" s="10" t="s">
        <v>114</v>
      </c>
    </row>
    <row r="58" spans="1:8">
      <c r="B58" t="s">
        <v>115</v>
      </c>
      <c r="C58" t="s">
        <v>17</v>
      </c>
      <c r="D58" t="s">
        <v>35</v>
      </c>
      <c r="F58" s="10" t="s">
        <v>116</v>
      </c>
    </row>
    <row r="59" spans="1:8">
      <c r="B59" t="s">
        <v>112</v>
      </c>
      <c r="C59" t="s">
        <v>17</v>
      </c>
      <c r="F59" s="10" t="s">
        <v>117</v>
      </c>
    </row>
    <row r="60" spans="1:8">
      <c r="B60" t="s">
        <v>118</v>
      </c>
      <c r="C60" t="s">
        <v>17</v>
      </c>
      <c r="D60" t="s">
        <v>35</v>
      </c>
      <c r="F60" s="10" t="s">
        <v>119</v>
      </c>
    </row>
    <row r="61" spans="1:8">
      <c r="B61" t="s">
        <v>120</v>
      </c>
      <c r="C61" t="s">
        <v>17</v>
      </c>
      <c r="D61" t="s">
        <v>35</v>
      </c>
      <c r="F61" s="10" t="s">
        <v>121</v>
      </c>
    </row>
    <row r="62" spans="1:8">
      <c r="B62" t="s">
        <v>122</v>
      </c>
      <c r="C62" t="s">
        <v>17</v>
      </c>
      <c r="D62" t="s">
        <v>35</v>
      </c>
    </row>
    <row r="63" spans="1:8">
      <c r="B63" t="s">
        <v>123</v>
      </c>
      <c r="C63" t="s">
        <v>17</v>
      </c>
      <c r="D63" t="s">
        <v>35</v>
      </c>
    </row>
    <row r="64" spans="1:8">
      <c r="B64" t="s">
        <v>124</v>
      </c>
      <c r="C64" t="s">
        <v>17</v>
      </c>
      <c r="D64" t="s">
        <v>35</v>
      </c>
    </row>
    <row r="65" spans="1:7">
      <c r="B65" t="s">
        <v>125</v>
      </c>
      <c r="C65" t="s">
        <v>17</v>
      </c>
      <c r="D65" t="s">
        <v>35</v>
      </c>
    </row>
    <row r="66" spans="1:7">
      <c r="B66" t="s">
        <v>123</v>
      </c>
      <c r="C66" t="s">
        <v>17</v>
      </c>
      <c r="D66" t="s">
        <v>35</v>
      </c>
    </row>
    <row r="67" spans="1:7">
      <c r="B67" t="s">
        <v>126</v>
      </c>
      <c r="C67" t="s">
        <v>127</v>
      </c>
    </row>
    <row r="68" spans="1:7">
      <c r="B68" t="s">
        <v>128</v>
      </c>
      <c r="C68" t="s">
        <v>17</v>
      </c>
      <c r="D68" t="s">
        <v>35</v>
      </c>
    </row>
    <row r="69" spans="1:7">
      <c r="B69" t="s">
        <v>129</v>
      </c>
      <c r="C69" t="s">
        <v>127</v>
      </c>
    </row>
    <row r="70" spans="1:7">
      <c r="B70" t="s">
        <v>130</v>
      </c>
      <c r="C70" t="s">
        <v>17</v>
      </c>
      <c r="D70" t="s">
        <v>35</v>
      </c>
    </row>
    <row r="71" spans="1:7">
      <c r="B71" t="s">
        <v>131</v>
      </c>
      <c r="C71" t="s">
        <v>127</v>
      </c>
    </row>
    <row r="72" spans="1:7">
      <c r="B72" t="s">
        <v>132</v>
      </c>
      <c r="C72" t="s">
        <v>17</v>
      </c>
      <c r="D72" t="s">
        <v>35</v>
      </c>
    </row>
    <row r="76" spans="1:7">
      <c r="A76" s="2" t="s">
        <v>133</v>
      </c>
      <c r="F76" s="1" t="s">
        <v>112</v>
      </c>
      <c r="G76" s="1"/>
    </row>
    <row r="77" spans="1:7">
      <c r="B77" t="s">
        <v>113</v>
      </c>
      <c r="C77" t="s">
        <v>17</v>
      </c>
      <c r="D77" t="s">
        <v>35</v>
      </c>
      <c r="F77" s="10" t="s">
        <v>114</v>
      </c>
      <c r="G77" s="1"/>
    </row>
    <row r="78" spans="1:7">
      <c r="B78" t="s">
        <v>115</v>
      </c>
      <c r="C78" t="s">
        <v>17</v>
      </c>
      <c r="D78" t="s">
        <v>35</v>
      </c>
      <c r="F78" s="10" t="s">
        <v>116</v>
      </c>
      <c r="G78" s="1"/>
    </row>
    <row r="79" spans="1:7">
      <c r="B79" t="s">
        <v>112</v>
      </c>
      <c r="C79" t="s">
        <v>17</v>
      </c>
      <c r="F79" s="10" t="s">
        <v>117</v>
      </c>
      <c r="G79" s="1"/>
    </row>
    <row r="80" spans="1:7">
      <c r="B80" t="s">
        <v>118</v>
      </c>
      <c r="C80" t="s">
        <v>17</v>
      </c>
      <c r="D80" t="s">
        <v>35</v>
      </c>
      <c r="F80" s="10" t="s">
        <v>119</v>
      </c>
      <c r="G80" s="1"/>
    </row>
    <row r="81" spans="1:7">
      <c r="B81" t="s">
        <v>123</v>
      </c>
      <c r="C81" t="s">
        <v>17</v>
      </c>
      <c r="D81" t="s">
        <v>35</v>
      </c>
      <c r="F81" s="10" t="s">
        <v>121</v>
      </c>
      <c r="G81" s="1"/>
    </row>
    <row r="82" spans="1:7">
      <c r="B82" t="s">
        <v>124</v>
      </c>
      <c r="C82" t="s">
        <v>17</v>
      </c>
      <c r="D82" t="s">
        <v>35</v>
      </c>
      <c r="G82" s="1"/>
    </row>
    <row r="83" spans="1:7">
      <c r="B83" t="s">
        <v>125</v>
      </c>
      <c r="C83" t="s">
        <v>17</v>
      </c>
      <c r="D83" t="s">
        <v>35</v>
      </c>
      <c r="G83" s="1"/>
    </row>
    <row r="84" spans="1:7">
      <c r="B84" t="s">
        <v>132</v>
      </c>
      <c r="C84" t="s">
        <v>17</v>
      </c>
      <c r="D84" t="s">
        <v>35</v>
      </c>
    </row>
    <row r="87" spans="1:7">
      <c r="A87" s="2" t="s">
        <v>134</v>
      </c>
      <c r="F87" s="1"/>
      <c r="G87" s="1"/>
    </row>
    <row r="88" spans="1:7">
      <c r="B88" t="s">
        <v>123</v>
      </c>
      <c r="C88" t="s">
        <v>41</v>
      </c>
    </row>
    <row r="89" spans="1:7">
      <c r="B89" t="s">
        <v>124</v>
      </c>
      <c r="C89" t="s">
        <v>17</v>
      </c>
      <c r="D89" t="s">
        <v>35</v>
      </c>
    </row>
    <row r="90" spans="1:7">
      <c r="B90" t="s">
        <v>125</v>
      </c>
      <c r="C90" t="s">
        <v>17</v>
      </c>
      <c r="D90" t="s">
        <v>35</v>
      </c>
    </row>
    <row r="91" spans="1:7">
      <c r="B91" t="s">
        <v>123</v>
      </c>
      <c r="C91" t="s">
        <v>17</v>
      </c>
      <c r="D91" t="s">
        <v>35</v>
      </c>
    </row>
    <row r="92" spans="1:7">
      <c r="B92" t="s">
        <v>126</v>
      </c>
      <c r="C92" t="s">
        <v>127</v>
      </c>
    </row>
    <row r="93" spans="1:7">
      <c r="B93" t="s">
        <v>128</v>
      </c>
      <c r="C93" t="s">
        <v>17</v>
      </c>
      <c r="D93" t="s">
        <v>35</v>
      </c>
    </row>
    <row r="94" spans="1:7">
      <c r="B94" t="s">
        <v>129</v>
      </c>
      <c r="C94" t="s">
        <v>127</v>
      </c>
    </row>
    <row r="95" spans="1:7">
      <c r="B95" t="s">
        <v>130</v>
      </c>
      <c r="C95" t="s">
        <v>17</v>
      </c>
      <c r="D95" t="s">
        <v>35</v>
      </c>
    </row>
    <row r="96" spans="1:7">
      <c r="B96" t="s">
        <v>131</v>
      </c>
      <c r="C96" t="s">
        <v>127</v>
      </c>
    </row>
    <row r="97" spans="1:7">
      <c r="B97" t="s">
        <v>132</v>
      </c>
      <c r="C97" t="s">
        <v>17</v>
      </c>
      <c r="D97" t="s">
        <v>35</v>
      </c>
    </row>
    <row r="101" spans="1:7">
      <c r="A101" s="2" t="s">
        <v>135</v>
      </c>
      <c r="F101" s="1" t="s">
        <v>136</v>
      </c>
      <c r="G101" s="1" t="s">
        <v>137</v>
      </c>
    </row>
    <row r="102" spans="1:7">
      <c r="B102" t="s">
        <v>136</v>
      </c>
      <c r="C102" t="s">
        <v>17</v>
      </c>
      <c r="F102" t="s">
        <v>138</v>
      </c>
      <c r="G102" t="s">
        <v>139</v>
      </c>
    </row>
    <row r="103" spans="1:7">
      <c r="B103" t="s">
        <v>137</v>
      </c>
      <c r="C103" t="s">
        <v>17</v>
      </c>
      <c r="D103" t="s">
        <v>35</v>
      </c>
      <c r="F103" t="s">
        <v>140</v>
      </c>
      <c r="G103" t="s">
        <v>141</v>
      </c>
    </row>
    <row r="104" spans="1:7">
      <c r="F104" t="s">
        <v>142</v>
      </c>
      <c r="G104" t="s">
        <v>99</v>
      </c>
    </row>
    <row r="105" spans="1:7">
      <c r="F105" t="s">
        <v>143</v>
      </c>
      <c r="G105" t="s">
        <v>144</v>
      </c>
    </row>
    <row r="111" spans="1:7">
      <c r="A111" s="2" t="s">
        <v>145</v>
      </c>
      <c r="F111" s="1" t="s">
        <v>146</v>
      </c>
      <c r="G111" s="1"/>
    </row>
    <row r="112" spans="1:7">
      <c r="B112" t="s">
        <v>147</v>
      </c>
      <c r="C112" t="s">
        <v>127</v>
      </c>
      <c r="F112" t="s">
        <v>139</v>
      </c>
    </row>
    <row r="113" spans="1:7">
      <c r="B113" t="s">
        <v>148</v>
      </c>
      <c r="C113" t="s">
        <v>127</v>
      </c>
      <c r="F113" t="s">
        <v>141</v>
      </c>
    </row>
    <row r="114" spans="1:7">
      <c r="B114" t="s">
        <v>149</v>
      </c>
      <c r="C114" t="s">
        <v>127</v>
      </c>
      <c r="F114" t="s">
        <v>99</v>
      </c>
    </row>
    <row r="115" spans="1:7">
      <c r="B115" t="s">
        <v>150</v>
      </c>
      <c r="C115" t="s">
        <v>127</v>
      </c>
      <c r="F115" t="s">
        <v>144</v>
      </c>
    </row>
    <row r="116" spans="1:7">
      <c r="B116" t="s">
        <v>151</v>
      </c>
      <c r="C116" t="s">
        <v>127</v>
      </c>
    </row>
    <row r="117" spans="1:7">
      <c r="B117" t="s">
        <v>146</v>
      </c>
      <c r="C117" t="s">
        <v>17</v>
      </c>
    </row>
    <row r="119" spans="1:7">
      <c r="A119" s="2" t="s">
        <v>152</v>
      </c>
      <c r="B119" s="3" t="s">
        <v>153</v>
      </c>
      <c r="C119" s="3"/>
      <c r="D119" s="3"/>
    </row>
    <row r="120" spans="1:7">
      <c r="B120" t="s">
        <v>154</v>
      </c>
      <c r="C120" t="s">
        <v>41</v>
      </c>
    </row>
    <row r="121" spans="1:7">
      <c r="B121" t="s">
        <v>155</v>
      </c>
      <c r="C121" t="s">
        <v>41</v>
      </c>
    </row>
    <row r="122" spans="1:7">
      <c r="B122" t="s">
        <v>156</v>
      </c>
      <c r="C122" t="s">
        <v>41</v>
      </c>
    </row>
    <row r="123" spans="1:7">
      <c r="B123" t="s">
        <v>157</v>
      </c>
      <c r="C123" t="s">
        <v>41</v>
      </c>
    </row>
    <row r="125" spans="1:7">
      <c r="A125" s="2" t="s">
        <v>158</v>
      </c>
    </row>
    <row r="126" spans="1:7">
      <c r="B126" t="s">
        <v>159</v>
      </c>
      <c r="C126" t="s">
        <v>127</v>
      </c>
    </row>
    <row r="128" spans="1:7">
      <c r="A128" s="2" t="s">
        <v>160</v>
      </c>
      <c r="F128" s="1" t="s">
        <v>161</v>
      </c>
      <c r="G128" s="1"/>
    </row>
    <row r="129" spans="2:6">
      <c r="B129" t="s">
        <v>161</v>
      </c>
      <c r="C129" t="s">
        <v>17</v>
      </c>
      <c r="F129" s="7" t="s">
        <v>162</v>
      </c>
    </row>
    <row r="130" spans="2:6">
      <c r="B130" t="s">
        <v>163</v>
      </c>
      <c r="C130" t="s">
        <v>127</v>
      </c>
      <c r="F130" s="7" t="s">
        <v>164</v>
      </c>
    </row>
    <row r="131" spans="2:6">
      <c r="F131" s="7" t="s">
        <v>165</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CC317-0C6F-45F6-A039-10947180B1D2}">
  <sheetPr>
    <tabColor rgb="FFFFFF00"/>
  </sheetPr>
  <dimension ref="A1:AA315"/>
  <sheetViews>
    <sheetView zoomScale="90" zoomScaleNormal="90" workbookViewId="0">
      <pane xSplit="4" ySplit="3" topLeftCell="E4" activePane="bottomRight" state="frozen"/>
      <selection pane="bottomRight" activeCell="G9" sqref="G9"/>
      <selection pane="bottomLeft" activeCell="A4" sqref="A4"/>
      <selection pane="topRight" activeCell="D1" sqref="D1"/>
    </sheetView>
  </sheetViews>
  <sheetFormatPr defaultColWidth="8.85546875" defaultRowHeight="14.45" outlineLevelCol="1"/>
  <cols>
    <col min="1" max="1" width="15" style="45" customWidth="1"/>
    <col min="2" max="2" width="28.42578125" style="45" customWidth="1" outlineLevel="1"/>
    <col min="3" max="3" width="32.5703125" style="45" customWidth="1" outlineLevel="1"/>
    <col min="4" max="4" width="28" style="69" customWidth="1"/>
    <col min="5" max="5" width="7.28515625" style="45" customWidth="1" outlineLevel="1"/>
    <col min="6" max="6" width="15.140625" style="46" customWidth="1" outlineLevel="1"/>
    <col min="7" max="7" width="23.28515625" style="47" customWidth="1"/>
    <col min="8" max="8" width="11.7109375" style="47" customWidth="1"/>
    <col min="9" max="9" width="15.140625" style="45" customWidth="1" outlineLevel="1"/>
    <col min="10" max="10" width="14.7109375" style="45" customWidth="1" outlineLevel="1"/>
    <col min="11" max="11" width="13.5703125" style="45" customWidth="1" outlineLevel="1"/>
    <col min="12" max="12" width="40.85546875" style="47" customWidth="1"/>
    <col min="13" max="14" width="37.7109375" style="47" customWidth="1" outlineLevel="1"/>
    <col min="15" max="15" width="14.85546875" style="45" customWidth="1" outlineLevel="1"/>
    <col min="16" max="16" width="9.85546875" style="45" customWidth="1"/>
    <col min="17" max="19" width="8.85546875" style="45" customWidth="1" outlineLevel="1"/>
    <col min="20" max="20" width="12.140625" style="45" bestFit="1" customWidth="1" outlineLevel="1"/>
    <col min="21" max="21" width="12.5703125" style="53" customWidth="1" outlineLevel="1"/>
    <col min="22" max="22" width="11.5703125" style="53" customWidth="1"/>
    <col min="23" max="23" width="8.85546875" style="53" customWidth="1" outlineLevel="1"/>
    <col min="24" max="24" width="9.28515625" style="53" bestFit="1" customWidth="1"/>
    <col min="25" max="25" width="9.85546875" style="45" bestFit="1" customWidth="1"/>
    <col min="26" max="27" width="9.85546875" style="45" customWidth="1"/>
    <col min="28" max="16384" width="8.85546875" style="45"/>
  </cols>
  <sheetData>
    <row r="1" spans="1:27">
      <c r="A1" s="48" t="s">
        <v>166</v>
      </c>
      <c r="B1" s="48"/>
      <c r="C1" s="48"/>
      <c r="G1" s="47" t="s">
        <v>167</v>
      </c>
      <c r="K1" s="48" t="s">
        <v>168</v>
      </c>
      <c r="L1" s="76"/>
      <c r="P1" s="82"/>
      <c r="U1" s="49"/>
      <c r="V1" s="50" t="s">
        <v>169</v>
      </c>
      <c r="W1" s="51">
        <v>3</v>
      </c>
      <c r="X1" s="51">
        <v>2</v>
      </c>
      <c r="Y1" s="51">
        <v>1</v>
      </c>
      <c r="Z1" s="52">
        <v>0</v>
      </c>
      <c r="AA1" s="52"/>
    </row>
    <row r="2" spans="1:27" ht="29.45" thickBot="1">
      <c r="G2" s="47" t="s">
        <v>170</v>
      </c>
      <c r="K2" s="48" t="s">
        <v>171</v>
      </c>
      <c r="L2" s="76"/>
      <c r="P2" s="82"/>
      <c r="V2" s="54" t="s">
        <v>172</v>
      </c>
      <c r="W2" s="55">
        <v>1.5</v>
      </c>
      <c r="X2" s="55">
        <v>1</v>
      </c>
      <c r="Y2" s="55">
        <v>0.5</v>
      </c>
      <c r="Z2" s="56">
        <v>0</v>
      </c>
      <c r="AA2" s="56"/>
    </row>
    <row r="3" spans="1:27" s="61" customFormat="1" ht="86.45">
      <c r="A3" s="58" t="s">
        <v>173</v>
      </c>
      <c r="B3" s="58" t="s">
        <v>174</v>
      </c>
      <c r="C3" s="59" t="s">
        <v>175</v>
      </c>
      <c r="D3" s="58" t="s">
        <v>176</v>
      </c>
      <c r="E3" s="57" t="s">
        <v>177</v>
      </c>
      <c r="F3" s="58" t="s">
        <v>178</v>
      </c>
      <c r="G3" s="58" t="s">
        <v>179</v>
      </c>
      <c r="H3" s="58" t="s">
        <v>180</v>
      </c>
      <c r="I3" s="59" t="s">
        <v>181</v>
      </c>
      <c r="J3" s="60" t="s">
        <v>182</v>
      </c>
      <c r="K3" s="58" t="s">
        <v>183</v>
      </c>
      <c r="L3" s="58" t="s">
        <v>184</v>
      </c>
      <c r="M3" s="58" t="s">
        <v>185</v>
      </c>
      <c r="N3" s="60" t="s">
        <v>186</v>
      </c>
      <c r="O3" s="74" t="s">
        <v>187</v>
      </c>
      <c r="P3" s="58" t="s">
        <v>188</v>
      </c>
      <c r="Q3" s="58" t="s">
        <v>189</v>
      </c>
      <c r="R3" s="58" t="s">
        <v>190</v>
      </c>
      <c r="S3" s="58" t="s">
        <v>191</v>
      </c>
      <c r="T3" s="58" t="s">
        <v>192</v>
      </c>
      <c r="U3" s="62" t="s">
        <v>193</v>
      </c>
      <c r="V3" s="63" t="s">
        <v>194</v>
      </c>
      <c r="W3" s="64" t="s">
        <v>195</v>
      </c>
      <c r="X3" s="64" t="s">
        <v>196</v>
      </c>
      <c r="Y3" s="58" t="s">
        <v>197</v>
      </c>
      <c r="Z3" s="58" t="s">
        <v>198</v>
      </c>
      <c r="AA3" s="58" t="s">
        <v>199</v>
      </c>
    </row>
    <row r="4" spans="1:27">
      <c r="A4" s="53">
        <v>1001</v>
      </c>
      <c r="B4" s="71" t="s">
        <v>200</v>
      </c>
      <c r="C4" s="45" t="s">
        <v>201</v>
      </c>
      <c r="D4" s="69" t="s">
        <v>202</v>
      </c>
      <c r="E4" s="45">
        <v>0</v>
      </c>
      <c r="F4" s="46">
        <v>23</v>
      </c>
      <c r="G4" s="47" t="s">
        <v>203</v>
      </c>
      <c r="H4" s="47" t="s">
        <v>204</v>
      </c>
      <c r="I4" s="45" t="s">
        <v>205</v>
      </c>
      <c r="M4" s="47" t="s">
        <v>206</v>
      </c>
      <c r="O4" s="45" t="s">
        <v>207</v>
      </c>
      <c r="P4" s="45" t="s">
        <v>208</v>
      </c>
      <c r="Q4" s="75">
        <f>VLOOKUP(B4,LOV!$B:$C,2,FALSE)</f>
        <v>10</v>
      </c>
      <c r="R4" s="75" t="str">
        <f>VLOOKUP(B4,LOV!$B:$D,3,FALSE)</f>
        <v>AA</v>
      </c>
      <c r="S4" s="75" t="str">
        <f>VLOOKUP($X4,LOV!$F:$L,2,FALSE)</f>
        <v>WK2</v>
      </c>
      <c r="T4" s="88">
        <f>VLOOKUP($X4,LOV!$F:$L,7,FALSE)</f>
        <v>45922</v>
      </c>
      <c r="U4" s="53">
        <v>9</v>
      </c>
      <c r="V4" s="53">
        <v>0</v>
      </c>
      <c r="W4" s="65">
        <f t="shared" ref="W4:W67" si="0">IF(ISNUMBER(V4),HLOOKUP(V4,$V$1:$AA$2,2,FALSE)*E4,"")</f>
        <v>0</v>
      </c>
      <c r="X4" s="53" t="s">
        <v>209</v>
      </c>
      <c r="Y4" s="67">
        <v>45923</v>
      </c>
      <c r="Z4" s="67">
        <v>45925</v>
      </c>
      <c r="AA4" s="67">
        <v>45929</v>
      </c>
    </row>
    <row r="5" spans="1:27">
      <c r="A5" s="53">
        <v>1002</v>
      </c>
      <c r="B5" s="71" t="s">
        <v>200</v>
      </c>
      <c r="C5" s="45" t="s">
        <v>201</v>
      </c>
      <c r="D5" s="69" t="s">
        <v>210</v>
      </c>
      <c r="E5" s="45">
        <v>0</v>
      </c>
      <c r="F5" s="46">
        <v>23</v>
      </c>
      <c r="G5" s="47" t="s">
        <v>203</v>
      </c>
      <c r="H5" s="47" t="s">
        <v>204</v>
      </c>
      <c r="I5" s="45" t="s">
        <v>205</v>
      </c>
      <c r="M5" s="47" t="s">
        <v>211</v>
      </c>
      <c r="O5" s="45" t="s">
        <v>207</v>
      </c>
      <c r="P5" s="45" t="s">
        <v>208</v>
      </c>
      <c r="Q5" s="75">
        <f>VLOOKUP(B5,LOV!$B:$C,2,FALSE)</f>
        <v>10</v>
      </c>
      <c r="R5" s="75" t="str">
        <f>VLOOKUP(B5,LOV!$B:$D,3,FALSE)</f>
        <v>AA</v>
      </c>
      <c r="S5" s="75" t="str">
        <f>VLOOKUP($X5,LOV!$F:$L,2,FALSE)</f>
        <v>WK2</v>
      </c>
      <c r="T5" s="88">
        <f>VLOOKUP($X5,LOV!$F:$L,7,FALSE)</f>
        <v>45922</v>
      </c>
      <c r="U5" s="53">
        <v>9</v>
      </c>
      <c r="V5" s="53">
        <v>0</v>
      </c>
      <c r="W5" s="65">
        <f t="shared" si="0"/>
        <v>0</v>
      </c>
      <c r="X5" s="53" t="s">
        <v>209</v>
      </c>
      <c r="Y5" s="67">
        <v>45923</v>
      </c>
      <c r="Z5" s="67">
        <v>45925</v>
      </c>
      <c r="AA5" s="67">
        <v>45929</v>
      </c>
    </row>
    <row r="6" spans="1:27">
      <c r="A6" s="53">
        <v>1003</v>
      </c>
      <c r="B6" s="71" t="s">
        <v>200</v>
      </c>
      <c r="C6" s="45" t="s">
        <v>201</v>
      </c>
      <c r="D6" s="69" t="s">
        <v>212</v>
      </c>
      <c r="E6" s="45">
        <v>0</v>
      </c>
      <c r="F6" s="46">
        <v>23</v>
      </c>
      <c r="G6" s="47" t="s">
        <v>203</v>
      </c>
      <c r="H6" s="47" t="s">
        <v>204</v>
      </c>
      <c r="I6" s="45" t="s">
        <v>205</v>
      </c>
      <c r="M6" s="47" t="s">
        <v>213</v>
      </c>
      <c r="O6" s="45" t="s">
        <v>207</v>
      </c>
      <c r="P6" s="45" t="s">
        <v>208</v>
      </c>
      <c r="Q6" s="75">
        <f>VLOOKUP(B6,LOV!$B:$C,2,FALSE)</f>
        <v>10</v>
      </c>
      <c r="R6" s="75" t="str">
        <f>VLOOKUP(B6,LOV!$B:$D,3,FALSE)</f>
        <v>AA</v>
      </c>
      <c r="S6" s="75" t="str">
        <f>VLOOKUP($X6,LOV!$F:$L,2,FALSE)</f>
        <v>WK2</v>
      </c>
      <c r="T6" s="88">
        <f>VLOOKUP($X6,LOV!$F:$L,7,FALSE)</f>
        <v>45922</v>
      </c>
      <c r="U6" s="53">
        <v>9</v>
      </c>
      <c r="V6" s="53">
        <v>0</v>
      </c>
      <c r="W6" s="65">
        <f t="shared" si="0"/>
        <v>0</v>
      </c>
      <c r="X6" s="53" t="s">
        <v>209</v>
      </c>
      <c r="Y6" s="67">
        <v>45923</v>
      </c>
      <c r="Z6" s="67">
        <v>45925</v>
      </c>
      <c r="AA6" s="67">
        <v>45929</v>
      </c>
    </row>
    <row r="7" spans="1:27">
      <c r="A7" s="53">
        <v>1004</v>
      </c>
      <c r="B7" s="71" t="s">
        <v>200</v>
      </c>
      <c r="C7" s="45" t="s">
        <v>201</v>
      </c>
      <c r="D7" s="69" t="s">
        <v>214</v>
      </c>
      <c r="E7" s="45">
        <v>0</v>
      </c>
      <c r="F7" s="46">
        <v>23</v>
      </c>
      <c r="G7" s="47" t="s">
        <v>203</v>
      </c>
      <c r="H7" s="47" t="s">
        <v>204</v>
      </c>
      <c r="I7" s="45" t="s">
        <v>205</v>
      </c>
      <c r="M7" s="47" t="s">
        <v>215</v>
      </c>
      <c r="O7" s="45" t="s">
        <v>207</v>
      </c>
      <c r="P7" s="45" t="s">
        <v>208</v>
      </c>
      <c r="Q7" s="75">
        <f>VLOOKUP(B7,LOV!$B:$C,2,FALSE)</f>
        <v>10</v>
      </c>
      <c r="R7" s="75" t="str">
        <f>VLOOKUP(B7,LOV!$B:$D,3,FALSE)</f>
        <v>AA</v>
      </c>
      <c r="S7" s="75" t="str">
        <f>VLOOKUP($X7,LOV!$F:$L,2,FALSE)</f>
        <v>WK2</v>
      </c>
      <c r="T7" s="88">
        <f>VLOOKUP($X7,LOV!$F:$L,7,FALSE)</f>
        <v>45922</v>
      </c>
      <c r="U7" s="53">
        <v>9</v>
      </c>
      <c r="V7" s="53">
        <v>0</v>
      </c>
      <c r="W7" s="65">
        <f t="shared" si="0"/>
        <v>0</v>
      </c>
      <c r="X7" s="53" t="s">
        <v>209</v>
      </c>
      <c r="Y7" s="67">
        <v>45923</v>
      </c>
      <c r="Z7" s="67">
        <v>45925</v>
      </c>
      <c r="AA7" s="67">
        <v>45929</v>
      </c>
    </row>
    <row r="8" spans="1:27">
      <c r="A8" s="53">
        <v>1005</v>
      </c>
      <c r="B8" s="71" t="s">
        <v>200</v>
      </c>
      <c r="C8" s="45" t="s">
        <v>216</v>
      </c>
      <c r="D8" s="69" t="s">
        <v>205</v>
      </c>
      <c r="E8" s="45">
        <v>0</v>
      </c>
      <c r="F8" s="46">
        <v>23</v>
      </c>
      <c r="G8" s="47" t="s">
        <v>217</v>
      </c>
      <c r="H8" s="47" t="s">
        <v>204</v>
      </c>
      <c r="I8" s="45" t="s">
        <v>205</v>
      </c>
      <c r="M8" s="47" t="s">
        <v>206</v>
      </c>
      <c r="O8" s="45" t="s">
        <v>207</v>
      </c>
      <c r="P8" s="45" t="s">
        <v>208</v>
      </c>
      <c r="Q8" s="75">
        <f>VLOOKUP(B8,LOV!$B:$C,2,FALSE)</f>
        <v>10</v>
      </c>
      <c r="R8" s="75" t="str">
        <f>VLOOKUP(B8,LOV!$B:$D,3,FALSE)</f>
        <v>AA</v>
      </c>
      <c r="S8" s="75" t="str">
        <f>VLOOKUP($X8,LOV!$F:$L,2,FALSE)</f>
        <v>WK2</v>
      </c>
      <c r="T8" s="88">
        <f>VLOOKUP($X8,LOV!$F:$L,7,FALSE)</f>
        <v>45922</v>
      </c>
      <c r="U8" s="53">
        <v>9</v>
      </c>
      <c r="V8" s="53">
        <v>0</v>
      </c>
      <c r="W8" s="65">
        <f t="shared" si="0"/>
        <v>0</v>
      </c>
      <c r="X8" s="53" t="s">
        <v>209</v>
      </c>
      <c r="Y8" s="67">
        <v>45923</v>
      </c>
      <c r="Z8" s="67">
        <v>45925</v>
      </c>
      <c r="AA8" s="67">
        <v>45929</v>
      </c>
    </row>
    <row r="9" spans="1:27" ht="28.9">
      <c r="A9" s="53">
        <v>1006</v>
      </c>
      <c r="B9" s="71" t="s">
        <v>200</v>
      </c>
      <c r="C9" s="45" t="s">
        <v>216</v>
      </c>
      <c r="D9" s="69" t="s">
        <v>218</v>
      </c>
      <c r="E9" s="45">
        <v>1</v>
      </c>
      <c r="F9" s="46" t="s">
        <v>219</v>
      </c>
      <c r="G9" s="47" t="s">
        <v>220</v>
      </c>
      <c r="H9" s="47" t="s">
        <v>204</v>
      </c>
      <c r="I9" s="45" t="s">
        <v>205</v>
      </c>
      <c r="J9" s="45" t="s">
        <v>218</v>
      </c>
      <c r="M9" s="47" t="s">
        <v>221</v>
      </c>
      <c r="O9" s="45" t="s">
        <v>207</v>
      </c>
      <c r="P9" s="45" t="s">
        <v>208</v>
      </c>
      <c r="Q9" s="75">
        <f>VLOOKUP(B9,LOV!$B:$C,2,FALSE)</f>
        <v>10</v>
      </c>
      <c r="R9" s="75" t="str">
        <f>VLOOKUP(B9,LOV!$B:$D,3,FALSE)</f>
        <v>AA</v>
      </c>
      <c r="S9" s="75" t="str">
        <f>VLOOKUP($X9,LOV!$F:$L,2,FALSE)</f>
        <v>WK2</v>
      </c>
      <c r="T9" s="88">
        <f>VLOOKUP($X9,LOV!$F:$L,7,FALSE)</f>
        <v>45922</v>
      </c>
      <c r="U9" s="53">
        <v>4</v>
      </c>
      <c r="V9" s="53">
        <v>1</v>
      </c>
      <c r="W9" s="65">
        <f t="shared" si="0"/>
        <v>0.5</v>
      </c>
      <c r="X9" s="53" t="s">
        <v>222</v>
      </c>
      <c r="Y9" s="67">
        <v>45923</v>
      </c>
      <c r="Z9" s="67">
        <v>45925</v>
      </c>
      <c r="AA9" s="67">
        <v>45929</v>
      </c>
    </row>
    <row r="10" spans="1:27">
      <c r="A10" s="77">
        <v>1305</v>
      </c>
      <c r="B10" s="79" t="s">
        <v>200</v>
      </c>
      <c r="C10" s="79" t="s">
        <v>10</v>
      </c>
      <c r="D10" s="80" t="s">
        <v>16</v>
      </c>
      <c r="E10" s="45">
        <v>0</v>
      </c>
      <c r="F10" s="46">
        <v>0</v>
      </c>
      <c r="G10" s="47" t="s">
        <v>223</v>
      </c>
      <c r="H10" s="47" t="s">
        <v>204</v>
      </c>
      <c r="I10" s="45" t="s">
        <v>205</v>
      </c>
      <c r="L10" s="78" t="s">
        <v>224</v>
      </c>
      <c r="M10" s="47" t="s">
        <v>225</v>
      </c>
      <c r="O10" s="45" t="s">
        <v>207</v>
      </c>
      <c r="P10" s="45" t="s">
        <v>208</v>
      </c>
      <c r="Q10" s="75">
        <f>VLOOKUP(B10,LOV!$B:$C,2,FALSE)</f>
        <v>10</v>
      </c>
      <c r="R10" s="75" t="str">
        <f>VLOOKUP(B10,LOV!$B:$D,3,FALSE)</f>
        <v>AA</v>
      </c>
      <c r="S10" s="79" t="str">
        <f>VLOOKUP($X10,LOV!$F:$L,2,FALSE)</f>
        <v>WK2</v>
      </c>
      <c r="T10" s="95">
        <f>VLOOKUP($X10,LOV!$F:$L,7,FALSE)</f>
        <v>45922</v>
      </c>
      <c r="U10" s="77"/>
      <c r="V10" s="77">
        <v>1</v>
      </c>
      <c r="W10" s="65">
        <f t="shared" si="0"/>
        <v>0</v>
      </c>
      <c r="X10" s="77" t="s">
        <v>209</v>
      </c>
      <c r="Y10" s="67">
        <v>45924</v>
      </c>
      <c r="Z10" s="67">
        <v>45925</v>
      </c>
      <c r="AA10" s="67">
        <v>45929</v>
      </c>
    </row>
    <row r="11" spans="1:27">
      <c r="A11" s="53">
        <v>1007</v>
      </c>
      <c r="B11" s="71" t="s">
        <v>200</v>
      </c>
      <c r="C11" s="45" t="s">
        <v>10</v>
      </c>
      <c r="D11" s="69" t="s">
        <v>12</v>
      </c>
      <c r="E11" s="45">
        <v>1</v>
      </c>
      <c r="F11" s="46">
        <v>24</v>
      </c>
      <c r="G11" s="47" t="s">
        <v>226</v>
      </c>
      <c r="H11" s="47" t="s">
        <v>204</v>
      </c>
      <c r="I11" s="45" t="s">
        <v>205</v>
      </c>
      <c r="K11" s="45" t="s">
        <v>227</v>
      </c>
      <c r="M11" s="47" t="s">
        <v>228</v>
      </c>
      <c r="N11" s="47" t="s">
        <v>229</v>
      </c>
      <c r="O11" s="45" t="s">
        <v>207</v>
      </c>
      <c r="P11" s="67" t="s">
        <v>208</v>
      </c>
      <c r="Q11" s="75">
        <f>VLOOKUP(B11,LOV!$B:$C,2,FALSE)</f>
        <v>10</v>
      </c>
      <c r="R11" s="75" t="str">
        <f>VLOOKUP(B11,LOV!$B:$D,3,FALSE)</f>
        <v>AA</v>
      </c>
      <c r="S11" s="75" t="str">
        <f>VLOOKUP($X11,LOV!$F:$L,2,FALSE)</f>
        <v>WK1</v>
      </c>
      <c r="T11" s="88">
        <f>VLOOKUP($X11,LOV!$F:$L,7,FALSE)</f>
        <v>45916</v>
      </c>
      <c r="U11" s="53">
        <v>1</v>
      </c>
      <c r="V11" s="53">
        <v>3</v>
      </c>
      <c r="W11" s="65">
        <f t="shared" si="0"/>
        <v>1.5</v>
      </c>
      <c r="X11" s="66" t="s">
        <v>230</v>
      </c>
      <c r="Y11" s="67">
        <v>45918</v>
      </c>
      <c r="Z11" s="67">
        <v>45921</v>
      </c>
      <c r="AA11" s="67">
        <v>45922</v>
      </c>
    </row>
    <row r="12" spans="1:27" ht="28.9">
      <c r="A12" s="53">
        <v>1008</v>
      </c>
      <c r="B12" s="71" t="s">
        <v>200</v>
      </c>
      <c r="C12" s="45" t="s">
        <v>10</v>
      </c>
      <c r="D12" s="69" t="s">
        <v>11</v>
      </c>
      <c r="E12" s="45">
        <v>1</v>
      </c>
      <c r="F12" s="46">
        <v>24</v>
      </c>
      <c r="G12" s="47" t="s">
        <v>231</v>
      </c>
      <c r="H12" s="47" t="s">
        <v>204</v>
      </c>
      <c r="I12" s="45" t="s">
        <v>205</v>
      </c>
      <c r="K12" s="45" t="s">
        <v>232</v>
      </c>
      <c r="M12" s="47" t="s">
        <v>228</v>
      </c>
      <c r="O12" s="45" t="s">
        <v>207</v>
      </c>
      <c r="P12" s="67" t="s">
        <v>208</v>
      </c>
      <c r="Q12" s="75">
        <f>VLOOKUP(B12,LOV!$B:$C,2,FALSE)</f>
        <v>10</v>
      </c>
      <c r="R12" s="75" t="str">
        <f>VLOOKUP(B12,LOV!$B:$D,3,FALSE)</f>
        <v>AA</v>
      </c>
      <c r="S12" s="75" t="str">
        <f>VLOOKUP($X12,LOV!$F:$L,2,FALSE)</f>
        <v>WK1</v>
      </c>
      <c r="T12" s="88">
        <f>VLOOKUP($X12,LOV!$F:$L,7,FALSE)</f>
        <v>45916</v>
      </c>
      <c r="U12" s="53">
        <v>1</v>
      </c>
      <c r="V12" s="53">
        <v>3</v>
      </c>
      <c r="W12" s="65">
        <f t="shared" si="0"/>
        <v>1.5</v>
      </c>
      <c r="X12" s="66" t="s">
        <v>230</v>
      </c>
      <c r="Y12" s="67">
        <v>45918</v>
      </c>
      <c r="Z12" s="67">
        <v>45921</v>
      </c>
      <c r="AA12" s="67">
        <v>45922</v>
      </c>
    </row>
    <row r="13" spans="1:27" ht="43.15">
      <c r="A13" s="53">
        <v>1009</v>
      </c>
      <c r="B13" s="71" t="s">
        <v>200</v>
      </c>
      <c r="C13" s="45" t="s">
        <v>10</v>
      </c>
      <c r="D13" s="69" t="s">
        <v>13</v>
      </c>
      <c r="E13" s="45">
        <v>1</v>
      </c>
      <c r="F13" s="46">
        <v>24</v>
      </c>
      <c r="G13" s="47" t="s">
        <v>233</v>
      </c>
      <c r="H13" s="47" t="s">
        <v>204</v>
      </c>
      <c r="I13" s="45" t="s">
        <v>205</v>
      </c>
      <c r="K13" s="45" t="s">
        <v>234</v>
      </c>
      <c r="L13" s="47" t="s">
        <v>235</v>
      </c>
      <c r="M13" s="47" t="s">
        <v>228</v>
      </c>
      <c r="N13" s="47" t="s">
        <v>236</v>
      </c>
      <c r="O13" s="45" t="s">
        <v>207</v>
      </c>
      <c r="P13" s="67" t="s">
        <v>208</v>
      </c>
      <c r="Q13" s="75">
        <f>VLOOKUP(B13,LOV!$B:$C,2,FALSE)</f>
        <v>10</v>
      </c>
      <c r="R13" s="75" t="str">
        <f>VLOOKUP(B13,LOV!$B:$D,3,FALSE)</f>
        <v>AA</v>
      </c>
      <c r="S13" s="75" t="str">
        <f>VLOOKUP($X13,LOV!$F:$L,2,FALSE)</f>
        <v>WK1</v>
      </c>
      <c r="T13" s="88">
        <f>VLOOKUP($X13,LOV!$F:$L,7,FALSE)</f>
        <v>45916</v>
      </c>
      <c r="U13" s="53">
        <v>1</v>
      </c>
      <c r="V13" s="53">
        <v>3</v>
      </c>
      <c r="W13" s="65">
        <f t="shared" si="0"/>
        <v>1.5</v>
      </c>
      <c r="X13" s="66" t="s">
        <v>230</v>
      </c>
      <c r="Y13" s="67">
        <v>45924</v>
      </c>
      <c r="Z13" s="67">
        <v>45924</v>
      </c>
      <c r="AA13" s="67">
        <v>45929</v>
      </c>
    </row>
    <row r="14" spans="1:27" ht="58.9" customHeight="1">
      <c r="A14" s="53">
        <v>1010</v>
      </c>
      <c r="B14" s="71" t="s">
        <v>200</v>
      </c>
      <c r="C14" s="45" t="s">
        <v>10</v>
      </c>
      <c r="D14" s="69" t="s">
        <v>14</v>
      </c>
      <c r="E14" s="45">
        <v>1</v>
      </c>
      <c r="F14" s="46">
        <v>24</v>
      </c>
      <c r="G14" s="47" t="s">
        <v>237</v>
      </c>
      <c r="H14" s="47" t="s">
        <v>204</v>
      </c>
      <c r="I14" s="45" t="s">
        <v>205</v>
      </c>
      <c r="K14" s="45" t="s">
        <v>238</v>
      </c>
      <c r="L14" s="47" t="s">
        <v>239</v>
      </c>
      <c r="M14" s="47" t="s">
        <v>228</v>
      </c>
      <c r="N14" s="47" t="s">
        <v>240</v>
      </c>
      <c r="O14" s="45" t="s">
        <v>207</v>
      </c>
      <c r="P14" s="67" t="s">
        <v>208</v>
      </c>
      <c r="Q14" s="75">
        <f>VLOOKUP(B14,LOV!$B:$C,2,FALSE)</f>
        <v>10</v>
      </c>
      <c r="R14" s="75" t="str">
        <f>VLOOKUP(B14,LOV!$B:$D,3,FALSE)</f>
        <v>AA</v>
      </c>
      <c r="S14" s="75" t="str">
        <f>VLOOKUP($X14,LOV!$F:$L,2,FALSE)</f>
        <v>WK1</v>
      </c>
      <c r="T14" s="88">
        <f>VLOOKUP($X14,LOV!$F:$L,7,FALSE)</f>
        <v>45916</v>
      </c>
      <c r="U14" s="53">
        <v>1</v>
      </c>
      <c r="V14" s="53">
        <v>3</v>
      </c>
      <c r="W14" s="65">
        <f t="shared" si="0"/>
        <v>1.5</v>
      </c>
      <c r="X14" s="66" t="s">
        <v>230</v>
      </c>
      <c r="Y14" s="67">
        <v>45918</v>
      </c>
      <c r="Z14" s="67">
        <v>45921</v>
      </c>
      <c r="AA14" s="67">
        <v>45922</v>
      </c>
    </row>
    <row r="15" spans="1:27" ht="72">
      <c r="A15" s="53">
        <v>1011</v>
      </c>
      <c r="B15" s="71" t="s">
        <v>200</v>
      </c>
      <c r="C15" s="45" t="s">
        <v>10</v>
      </c>
      <c r="D15" s="69" t="s">
        <v>241</v>
      </c>
      <c r="E15" s="45">
        <v>1</v>
      </c>
      <c r="F15" s="46">
        <v>24</v>
      </c>
      <c r="G15" s="47" t="s">
        <v>242</v>
      </c>
      <c r="H15" s="47" t="s">
        <v>204</v>
      </c>
      <c r="I15" s="45" t="s">
        <v>205</v>
      </c>
      <c r="K15" s="45" t="s">
        <v>232</v>
      </c>
      <c r="M15" s="47" t="s">
        <v>243</v>
      </c>
      <c r="O15" s="96" t="s">
        <v>207</v>
      </c>
      <c r="P15" s="45" t="s">
        <v>208</v>
      </c>
      <c r="Q15" s="75">
        <f>VLOOKUP(B15,LOV!$B:$C,2,FALSE)</f>
        <v>10</v>
      </c>
      <c r="R15" s="75" t="str">
        <f>VLOOKUP(B15,LOV!$B:$D,3,FALSE)</f>
        <v>AA</v>
      </c>
      <c r="S15" s="75" t="str">
        <f>VLOOKUP($X15,LOV!$F:$L,2,FALSE)</f>
        <v>WK1</v>
      </c>
      <c r="T15" s="88">
        <f>VLOOKUP($X15,LOV!$F:$L,7,FALSE)</f>
        <v>45916</v>
      </c>
      <c r="U15" s="53">
        <v>1</v>
      </c>
      <c r="V15" s="53">
        <v>1</v>
      </c>
      <c r="W15" s="65">
        <f t="shared" si="0"/>
        <v>0.5</v>
      </c>
      <c r="X15" s="66" t="s">
        <v>230</v>
      </c>
      <c r="Y15" s="67">
        <v>45919</v>
      </c>
      <c r="Z15" s="67">
        <v>45923</v>
      </c>
      <c r="AA15" s="67">
        <v>45923</v>
      </c>
    </row>
    <row r="16" spans="1:27" ht="57.6">
      <c r="A16" s="53">
        <v>1012</v>
      </c>
      <c r="B16" s="71" t="s">
        <v>200</v>
      </c>
      <c r="C16" s="45" t="s">
        <v>10</v>
      </c>
      <c r="D16" s="69" t="s">
        <v>244</v>
      </c>
      <c r="E16" s="45">
        <v>1</v>
      </c>
      <c r="F16" s="46">
        <v>24</v>
      </c>
      <c r="G16" s="47" t="s">
        <v>242</v>
      </c>
      <c r="H16" s="47" t="s">
        <v>204</v>
      </c>
      <c r="I16" s="45" t="s">
        <v>205</v>
      </c>
      <c r="K16" s="45" t="s">
        <v>232</v>
      </c>
      <c r="M16" s="47" t="s">
        <v>245</v>
      </c>
      <c r="O16" s="96" t="s">
        <v>207</v>
      </c>
      <c r="P16" s="45" t="s">
        <v>208</v>
      </c>
      <c r="Q16" s="75">
        <f>VLOOKUP(B16,LOV!$B:$C,2,FALSE)</f>
        <v>10</v>
      </c>
      <c r="R16" s="75" t="str">
        <f>VLOOKUP(B16,LOV!$B:$D,3,FALSE)</f>
        <v>AA</v>
      </c>
      <c r="S16" s="75" t="str">
        <f>VLOOKUP($X16,LOV!$F:$L,2,FALSE)</f>
        <v>WK1</v>
      </c>
      <c r="T16" s="88">
        <f>VLOOKUP($X16,LOV!$F:$L,7,FALSE)</f>
        <v>45916</v>
      </c>
      <c r="U16" s="53">
        <v>1</v>
      </c>
      <c r="V16" s="53">
        <v>1</v>
      </c>
      <c r="W16" s="65">
        <f t="shared" si="0"/>
        <v>0.5</v>
      </c>
      <c r="X16" s="66" t="s">
        <v>230</v>
      </c>
      <c r="Y16" s="67">
        <v>45919</v>
      </c>
      <c r="Z16" s="67">
        <v>45923</v>
      </c>
      <c r="AA16" s="67">
        <v>45923</v>
      </c>
    </row>
    <row r="17" spans="1:27">
      <c r="A17" s="99">
        <v>1013</v>
      </c>
      <c r="B17" s="71" t="s">
        <v>200</v>
      </c>
      <c r="C17" s="45" t="s">
        <v>10</v>
      </c>
      <c r="D17" s="101" t="s">
        <v>40</v>
      </c>
      <c r="E17" s="45">
        <v>0</v>
      </c>
      <c r="F17" s="46" t="s">
        <v>246</v>
      </c>
      <c r="G17" s="47" t="s">
        <v>46</v>
      </c>
      <c r="H17" s="47" t="s">
        <v>247</v>
      </c>
      <c r="I17" s="45" t="s">
        <v>248</v>
      </c>
      <c r="L17" s="100" t="s">
        <v>249</v>
      </c>
      <c r="M17" s="100" t="s">
        <v>250</v>
      </c>
      <c r="N17" s="100" t="s">
        <v>251</v>
      </c>
      <c r="O17" s="45" t="s">
        <v>207</v>
      </c>
      <c r="P17" s="67" t="s">
        <v>208</v>
      </c>
      <c r="Q17" s="75">
        <f>VLOOKUP(B17,LOV!$B:$C,2,FALSE)</f>
        <v>10</v>
      </c>
      <c r="R17" s="75" t="str">
        <f>VLOOKUP(B17,LOV!$B:$D,3,FALSE)</f>
        <v>AA</v>
      </c>
      <c r="S17" s="75" t="str">
        <f>VLOOKUP($X17,LOV!$F:$L,2,FALSE)</f>
        <v>WK1</v>
      </c>
      <c r="T17" s="88">
        <f>VLOOKUP($X17,LOV!$F:$L,7,FALSE)</f>
        <v>45916</v>
      </c>
      <c r="U17" s="53">
        <v>1</v>
      </c>
      <c r="V17" s="53">
        <v>1</v>
      </c>
      <c r="W17" s="65">
        <f t="shared" si="0"/>
        <v>0</v>
      </c>
      <c r="X17" s="53" t="s">
        <v>252</v>
      </c>
      <c r="Y17" s="67">
        <v>45919</v>
      </c>
      <c r="Z17" s="95">
        <v>45919</v>
      </c>
      <c r="AA17" s="95">
        <v>45919</v>
      </c>
    </row>
    <row r="18" spans="1:27">
      <c r="A18" s="53">
        <v>1014</v>
      </c>
      <c r="B18" s="71" t="s">
        <v>200</v>
      </c>
      <c r="C18" s="45" t="s">
        <v>10</v>
      </c>
      <c r="D18" s="69" t="s">
        <v>15</v>
      </c>
      <c r="E18" s="45">
        <v>1</v>
      </c>
      <c r="F18" s="46">
        <v>24</v>
      </c>
      <c r="G18" s="47" t="s">
        <v>253</v>
      </c>
      <c r="H18" s="47" t="s">
        <v>204</v>
      </c>
      <c r="I18" s="45" t="s">
        <v>205</v>
      </c>
      <c r="K18" s="45" t="s">
        <v>254</v>
      </c>
      <c r="M18" s="47" t="s">
        <v>255</v>
      </c>
      <c r="O18" s="45" t="s">
        <v>207</v>
      </c>
      <c r="P18" s="67" t="s">
        <v>208</v>
      </c>
      <c r="Q18" s="75">
        <f>VLOOKUP(B18,LOV!$B:$C,2,FALSE)</f>
        <v>10</v>
      </c>
      <c r="R18" s="75" t="str">
        <f>VLOOKUP(B18,LOV!$B:$D,3,FALSE)</f>
        <v>AA</v>
      </c>
      <c r="S18" s="75" t="str">
        <f>VLOOKUP($X18,LOV!$F:$L,2,FALSE)</f>
        <v>WK1</v>
      </c>
      <c r="T18" s="88">
        <f>VLOOKUP($X18,LOV!$F:$L,7,FALSE)</f>
        <v>45916</v>
      </c>
      <c r="U18" s="53">
        <v>1</v>
      </c>
      <c r="V18" s="53">
        <v>2</v>
      </c>
      <c r="W18" s="65">
        <f t="shared" si="0"/>
        <v>1</v>
      </c>
      <c r="X18" s="66" t="s">
        <v>230</v>
      </c>
      <c r="Y18" s="67">
        <v>45919</v>
      </c>
      <c r="Z18" s="67">
        <v>45922</v>
      </c>
      <c r="AA18" s="67">
        <v>45922</v>
      </c>
    </row>
    <row r="19" spans="1:27" ht="43.9" customHeight="1">
      <c r="A19" s="53">
        <v>1015</v>
      </c>
      <c r="B19" s="71" t="s">
        <v>200</v>
      </c>
      <c r="C19" s="45" t="s">
        <v>10</v>
      </c>
      <c r="D19" s="69" t="s">
        <v>45</v>
      </c>
      <c r="E19" s="45">
        <v>1</v>
      </c>
      <c r="F19" s="46">
        <v>24</v>
      </c>
      <c r="G19" s="47" t="s">
        <v>46</v>
      </c>
      <c r="H19" s="47" t="s">
        <v>204</v>
      </c>
      <c r="I19" s="45" t="s">
        <v>205</v>
      </c>
      <c r="K19" s="45" t="s">
        <v>256</v>
      </c>
      <c r="M19" s="47" t="s">
        <v>257</v>
      </c>
      <c r="O19" s="45" t="s">
        <v>207</v>
      </c>
      <c r="P19" s="67" t="s">
        <v>208</v>
      </c>
      <c r="Q19" s="75">
        <f>VLOOKUP(B19,LOV!$B:$C,2,FALSE)</f>
        <v>10</v>
      </c>
      <c r="R19" s="75" t="str">
        <f>VLOOKUP(B19,LOV!$B:$D,3,FALSE)</f>
        <v>AA</v>
      </c>
      <c r="S19" s="75" t="str">
        <f>VLOOKUP($X19,LOV!$F:$L,2,FALSE)</f>
        <v>WK1</v>
      </c>
      <c r="T19" s="88">
        <f>VLOOKUP($X19,LOV!$F:$L,7,FALSE)</f>
        <v>45916</v>
      </c>
      <c r="U19" s="53">
        <v>1</v>
      </c>
      <c r="V19" s="53">
        <v>1</v>
      </c>
      <c r="W19" s="65">
        <f t="shared" si="0"/>
        <v>0.5</v>
      </c>
      <c r="X19" s="66" t="s">
        <v>230</v>
      </c>
      <c r="Y19" s="67">
        <v>45919</v>
      </c>
      <c r="Z19" s="67">
        <v>45922</v>
      </c>
      <c r="AA19" s="67">
        <v>45922</v>
      </c>
    </row>
    <row r="20" spans="1:27" ht="43.15">
      <c r="A20" s="53">
        <v>1016</v>
      </c>
      <c r="B20" s="71" t="s">
        <v>200</v>
      </c>
      <c r="C20" s="45" t="s">
        <v>10</v>
      </c>
      <c r="D20" s="69" t="s">
        <v>49</v>
      </c>
      <c r="E20" s="45">
        <v>1</v>
      </c>
      <c r="F20" s="46">
        <v>0</v>
      </c>
      <c r="G20" s="47" t="s">
        <v>258</v>
      </c>
      <c r="H20" s="47" t="s">
        <v>204</v>
      </c>
      <c r="I20" s="45" t="s">
        <v>205</v>
      </c>
      <c r="K20" s="45" t="s">
        <v>259</v>
      </c>
      <c r="L20" s="47" t="s">
        <v>260</v>
      </c>
      <c r="M20" s="47" t="s">
        <v>261</v>
      </c>
      <c r="O20" s="45" t="s">
        <v>207</v>
      </c>
      <c r="P20" s="67" t="s">
        <v>208</v>
      </c>
      <c r="Q20" s="75">
        <f>VLOOKUP(B20,LOV!$B:$C,2,FALSE)</f>
        <v>10</v>
      </c>
      <c r="R20" s="75" t="str">
        <f>VLOOKUP(B20,LOV!$B:$D,3,FALSE)</f>
        <v>AA</v>
      </c>
      <c r="S20" s="75" t="str">
        <f>VLOOKUP($X20,LOV!$F:$L,2,FALSE)</f>
        <v>WK1</v>
      </c>
      <c r="T20" s="88">
        <f>VLOOKUP($X20,LOV!$F:$L,7,FALSE)</f>
        <v>45916</v>
      </c>
      <c r="U20" s="53">
        <v>1</v>
      </c>
      <c r="V20" s="53">
        <v>1</v>
      </c>
      <c r="W20" s="65">
        <f t="shared" si="0"/>
        <v>0.5</v>
      </c>
      <c r="X20" s="66" t="s">
        <v>230</v>
      </c>
      <c r="Y20" s="67">
        <v>45919</v>
      </c>
      <c r="Z20" s="67">
        <v>45922</v>
      </c>
      <c r="AA20" s="67">
        <v>45922</v>
      </c>
    </row>
    <row r="21" spans="1:27" ht="29.45" customHeight="1">
      <c r="A21" s="53">
        <v>1017</v>
      </c>
      <c r="B21" s="71" t="s">
        <v>200</v>
      </c>
      <c r="C21" s="45" t="s">
        <v>10</v>
      </c>
      <c r="D21" s="69" t="s">
        <v>52</v>
      </c>
      <c r="E21" s="45">
        <v>1</v>
      </c>
      <c r="F21" s="46" t="s">
        <v>262</v>
      </c>
      <c r="G21" s="47" t="s">
        <v>46</v>
      </c>
      <c r="H21" s="47" t="s">
        <v>204</v>
      </c>
      <c r="I21" s="45" t="s">
        <v>205</v>
      </c>
      <c r="J21" s="45" t="s">
        <v>218</v>
      </c>
      <c r="K21" s="45" t="s">
        <v>263</v>
      </c>
      <c r="L21" s="47" t="s">
        <v>264</v>
      </c>
      <c r="M21" s="47" t="s">
        <v>265</v>
      </c>
      <c r="O21" s="45" t="s">
        <v>207</v>
      </c>
      <c r="P21" s="67" t="s">
        <v>208</v>
      </c>
      <c r="Q21" s="75">
        <f>VLOOKUP(B21,LOV!$B:$C,2,FALSE)</f>
        <v>10</v>
      </c>
      <c r="R21" s="75" t="str">
        <f>VLOOKUP(B21,LOV!$B:$D,3,FALSE)</f>
        <v>AA</v>
      </c>
      <c r="S21" s="75" t="str">
        <f>VLOOKUP($X21,LOV!$F:$L,2,FALSE)</f>
        <v>WK1</v>
      </c>
      <c r="T21" s="88">
        <f>VLOOKUP($X21,LOV!$F:$L,7,FALSE)</f>
        <v>45916</v>
      </c>
      <c r="U21" s="53">
        <v>1</v>
      </c>
      <c r="V21" s="53">
        <v>2</v>
      </c>
      <c r="W21" s="65">
        <f t="shared" si="0"/>
        <v>1</v>
      </c>
      <c r="X21" s="66" t="s">
        <v>252</v>
      </c>
      <c r="Y21" s="67">
        <v>45919</v>
      </c>
      <c r="Z21" s="67">
        <v>45922</v>
      </c>
      <c r="AA21" s="67">
        <v>45922</v>
      </c>
    </row>
    <row r="22" spans="1:27" ht="30" customHeight="1">
      <c r="A22" s="53">
        <v>1018</v>
      </c>
      <c r="B22" s="71" t="s">
        <v>200</v>
      </c>
      <c r="C22" s="45" t="s">
        <v>10</v>
      </c>
      <c r="D22" s="69" t="s">
        <v>266</v>
      </c>
      <c r="E22" s="45">
        <v>1</v>
      </c>
      <c r="F22" s="46" t="s">
        <v>262</v>
      </c>
      <c r="G22" s="47" t="s">
        <v>46</v>
      </c>
      <c r="H22" s="47" t="s">
        <v>204</v>
      </c>
      <c r="I22" s="45" t="s">
        <v>205</v>
      </c>
      <c r="J22" s="45" t="s">
        <v>218</v>
      </c>
      <c r="K22" s="45" t="s">
        <v>267</v>
      </c>
      <c r="L22" s="47" t="s">
        <v>268</v>
      </c>
      <c r="M22" s="47" t="s">
        <v>261</v>
      </c>
      <c r="O22" s="45" t="s">
        <v>207</v>
      </c>
      <c r="P22" s="67" t="s">
        <v>208</v>
      </c>
      <c r="Q22" s="75">
        <f>VLOOKUP(B22,LOV!$B:$C,2,FALSE)</f>
        <v>10</v>
      </c>
      <c r="R22" s="75" t="str">
        <f>VLOOKUP(B22,LOV!$B:$D,3,FALSE)</f>
        <v>AA</v>
      </c>
      <c r="S22" s="75" t="str">
        <f>VLOOKUP($X22,LOV!$F:$L,2,FALSE)</f>
        <v>WK1</v>
      </c>
      <c r="T22" s="88">
        <f>VLOOKUP($X22,LOV!$F:$L,7,FALSE)</f>
        <v>45916</v>
      </c>
      <c r="U22" s="53">
        <v>1</v>
      </c>
      <c r="V22" s="53">
        <v>2</v>
      </c>
      <c r="W22" s="65">
        <f t="shared" si="0"/>
        <v>1</v>
      </c>
      <c r="X22" s="66" t="s">
        <v>252</v>
      </c>
      <c r="Y22" s="67">
        <v>45919</v>
      </c>
      <c r="Z22" s="67">
        <v>45922</v>
      </c>
      <c r="AA22" s="67">
        <v>45922</v>
      </c>
    </row>
    <row r="23" spans="1:27" ht="28.9">
      <c r="A23" s="53">
        <v>1019</v>
      </c>
      <c r="B23" s="71" t="s">
        <v>200</v>
      </c>
      <c r="C23" s="45" t="s">
        <v>94</v>
      </c>
      <c r="D23" s="69" t="s">
        <v>95</v>
      </c>
      <c r="E23" s="45">
        <v>1</v>
      </c>
      <c r="F23" s="46" t="s">
        <v>262</v>
      </c>
      <c r="G23" s="47" t="s">
        <v>269</v>
      </c>
      <c r="H23" s="47" t="s">
        <v>204</v>
      </c>
      <c r="I23" s="45" t="s">
        <v>205</v>
      </c>
      <c r="J23" s="45" t="s">
        <v>218</v>
      </c>
      <c r="K23" s="45" t="s">
        <v>270</v>
      </c>
      <c r="L23" s="47" t="s">
        <v>271</v>
      </c>
      <c r="M23" s="47" t="s">
        <v>261</v>
      </c>
      <c r="O23" s="45" t="s">
        <v>207</v>
      </c>
      <c r="P23" s="45" t="s">
        <v>208</v>
      </c>
      <c r="Q23" s="75">
        <f>VLOOKUP(B23,LOV!$B:$C,2,FALSE)</f>
        <v>10</v>
      </c>
      <c r="R23" s="75" t="str">
        <f>VLOOKUP(B23,LOV!$B:$D,3,FALSE)</f>
        <v>AA</v>
      </c>
      <c r="S23" s="75" t="str">
        <f>VLOOKUP($X23,LOV!$F:$L,2,FALSE)</f>
        <v>WK1</v>
      </c>
      <c r="T23" s="88">
        <f>VLOOKUP($X23,LOV!$F:$L,7,FALSE)</f>
        <v>45916</v>
      </c>
      <c r="U23" s="53">
        <v>2</v>
      </c>
      <c r="V23" s="53">
        <v>2</v>
      </c>
      <c r="W23" s="65">
        <f t="shared" si="0"/>
        <v>1</v>
      </c>
      <c r="X23" s="66" t="s">
        <v>252</v>
      </c>
      <c r="Y23" s="67">
        <v>45919</v>
      </c>
      <c r="Z23" s="67">
        <v>45923</v>
      </c>
      <c r="AA23" s="67">
        <v>45929</v>
      </c>
    </row>
    <row r="24" spans="1:27">
      <c r="A24" s="53">
        <v>1020</v>
      </c>
      <c r="B24" s="71" t="s">
        <v>200</v>
      </c>
      <c r="C24" s="45" t="s">
        <v>94</v>
      </c>
      <c r="D24" s="69" t="s">
        <v>96</v>
      </c>
      <c r="E24" s="45">
        <v>1</v>
      </c>
      <c r="F24" s="46" t="s">
        <v>262</v>
      </c>
      <c r="G24" s="47" t="s">
        <v>272</v>
      </c>
      <c r="H24" s="47" t="s">
        <v>204</v>
      </c>
      <c r="I24" s="45" t="s">
        <v>205</v>
      </c>
      <c r="J24" s="45" t="s">
        <v>218</v>
      </c>
      <c r="K24" s="45" t="s">
        <v>273</v>
      </c>
      <c r="L24" s="47" t="s">
        <v>271</v>
      </c>
      <c r="M24" s="47" t="s">
        <v>261</v>
      </c>
      <c r="O24" s="45" t="s">
        <v>207</v>
      </c>
      <c r="P24" s="45" t="s">
        <v>208</v>
      </c>
      <c r="Q24" s="75">
        <f>VLOOKUP(B24,LOV!$B:$C,2,FALSE)</f>
        <v>10</v>
      </c>
      <c r="R24" s="75" t="str">
        <f>VLOOKUP(B24,LOV!$B:$D,3,FALSE)</f>
        <v>AA</v>
      </c>
      <c r="S24" s="75" t="str">
        <f>VLOOKUP($X24,LOV!$F:$L,2,FALSE)</f>
        <v>WK1</v>
      </c>
      <c r="T24" s="88">
        <f>VLOOKUP($X24,LOV!$F:$L,7,FALSE)</f>
        <v>45916</v>
      </c>
      <c r="U24" s="53">
        <v>2</v>
      </c>
      <c r="V24" s="53">
        <v>2</v>
      </c>
      <c r="W24" s="65">
        <f t="shared" si="0"/>
        <v>1</v>
      </c>
      <c r="X24" s="66" t="s">
        <v>252</v>
      </c>
      <c r="Y24" s="67">
        <v>45919</v>
      </c>
      <c r="Z24" s="67">
        <v>45923</v>
      </c>
      <c r="AA24" s="67">
        <v>45929</v>
      </c>
    </row>
    <row r="25" spans="1:27">
      <c r="A25" s="53">
        <v>1021</v>
      </c>
      <c r="B25" s="71" t="s">
        <v>200</v>
      </c>
      <c r="C25" s="45" t="s">
        <v>94</v>
      </c>
      <c r="D25" s="69" t="s">
        <v>102</v>
      </c>
      <c r="E25" s="45">
        <v>1</v>
      </c>
      <c r="F25" s="46" t="s">
        <v>274</v>
      </c>
      <c r="G25" s="47" t="s">
        <v>46</v>
      </c>
      <c r="H25" s="47" t="s">
        <v>204</v>
      </c>
      <c r="I25" s="45" t="s">
        <v>205</v>
      </c>
      <c r="J25" s="45" t="s">
        <v>275</v>
      </c>
      <c r="K25" s="45" t="s">
        <v>276</v>
      </c>
      <c r="L25" s="47" t="s">
        <v>271</v>
      </c>
      <c r="M25" s="47" t="s">
        <v>261</v>
      </c>
      <c r="O25" s="45" t="s">
        <v>207</v>
      </c>
      <c r="P25" s="45" t="s">
        <v>208</v>
      </c>
      <c r="Q25" s="75">
        <f>VLOOKUP(B25,LOV!$B:$C,2,FALSE)</f>
        <v>10</v>
      </c>
      <c r="R25" s="75" t="str">
        <f>VLOOKUP(B25,LOV!$B:$D,3,FALSE)</f>
        <v>AA</v>
      </c>
      <c r="S25" s="75" t="str">
        <f>VLOOKUP($X25,LOV!$F:$L,2,FALSE)</f>
        <v>WK1</v>
      </c>
      <c r="T25" s="88">
        <f>VLOOKUP($X25,LOV!$F:$L,7,FALSE)</f>
        <v>45916</v>
      </c>
      <c r="U25" s="53">
        <v>2</v>
      </c>
      <c r="V25" s="53">
        <v>1</v>
      </c>
      <c r="W25" s="65">
        <f t="shared" si="0"/>
        <v>0.5</v>
      </c>
      <c r="X25" s="66" t="s">
        <v>252</v>
      </c>
      <c r="Y25" s="67">
        <v>45919</v>
      </c>
      <c r="Z25" s="67">
        <v>45923</v>
      </c>
      <c r="AA25" s="67">
        <v>45929</v>
      </c>
    </row>
    <row r="26" spans="1:27">
      <c r="A26" s="53">
        <v>1022</v>
      </c>
      <c r="B26" s="71" t="s">
        <v>200</v>
      </c>
      <c r="C26" s="45" t="s">
        <v>94</v>
      </c>
      <c r="D26" s="69" t="s">
        <v>97</v>
      </c>
      <c r="E26" s="45">
        <v>1</v>
      </c>
      <c r="F26" s="46" t="s">
        <v>262</v>
      </c>
      <c r="G26" s="47" t="s">
        <v>277</v>
      </c>
      <c r="H26" s="47" t="s">
        <v>204</v>
      </c>
      <c r="I26" s="45" t="s">
        <v>205</v>
      </c>
      <c r="J26" s="45" t="s">
        <v>218</v>
      </c>
      <c r="K26" s="45" t="s">
        <v>278</v>
      </c>
      <c r="L26" s="47" t="s">
        <v>271</v>
      </c>
      <c r="M26" s="47" t="s">
        <v>261</v>
      </c>
      <c r="O26" s="45" t="s">
        <v>207</v>
      </c>
      <c r="P26" s="45" t="s">
        <v>208</v>
      </c>
      <c r="Q26" s="75">
        <f>VLOOKUP(B26,LOV!$B:$C,2,FALSE)</f>
        <v>10</v>
      </c>
      <c r="R26" s="75" t="str">
        <f>VLOOKUP(B26,LOV!$B:$D,3,FALSE)</f>
        <v>AA</v>
      </c>
      <c r="S26" s="75" t="str">
        <f>VLOOKUP($X26,LOV!$F:$L,2,FALSE)</f>
        <v>WK1</v>
      </c>
      <c r="T26" s="88">
        <f>VLOOKUP($X26,LOV!$F:$L,7,FALSE)</f>
        <v>45916</v>
      </c>
      <c r="U26" s="53">
        <v>2</v>
      </c>
      <c r="V26" s="53">
        <v>1</v>
      </c>
      <c r="W26" s="65">
        <f t="shared" si="0"/>
        <v>0.5</v>
      </c>
      <c r="X26" s="66" t="s">
        <v>252</v>
      </c>
      <c r="Y26" s="67">
        <v>45919</v>
      </c>
      <c r="Z26" s="67">
        <v>45923</v>
      </c>
      <c r="AA26" s="67">
        <v>45929</v>
      </c>
    </row>
    <row r="27" spans="1:27">
      <c r="A27" s="53">
        <v>1023</v>
      </c>
      <c r="B27" s="71" t="s">
        <v>200</v>
      </c>
      <c r="C27" s="45" t="s">
        <v>94</v>
      </c>
      <c r="D27" s="69" t="s">
        <v>98</v>
      </c>
      <c r="E27" s="45">
        <v>1</v>
      </c>
      <c r="F27" s="46" t="s">
        <v>262</v>
      </c>
      <c r="G27" s="47" t="s">
        <v>272</v>
      </c>
      <c r="H27" s="47" t="s">
        <v>204</v>
      </c>
      <c r="I27" s="45" t="s">
        <v>205</v>
      </c>
      <c r="J27" s="45" t="s">
        <v>218</v>
      </c>
      <c r="K27" s="45" t="s">
        <v>279</v>
      </c>
      <c r="L27" s="47" t="s">
        <v>271</v>
      </c>
      <c r="M27" s="47" t="s">
        <v>261</v>
      </c>
      <c r="O27" s="45" t="s">
        <v>207</v>
      </c>
      <c r="P27" s="45" t="s">
        <v>208</v>
      </c>
      <c r="Q27" s="75">
        <f>VLOOKUP(B27,LOV!$B:$C,2,FALSE)</f>
        <v>10</v>
      </c>
      <c r="R27" s="75" t="str">
        <f>VLOOKUP(B27,LOV!$B:$D,3,FALSE)</f>
        <v>AA</v>
      </c>
      <c r="S27" s="75" t="str">
        <f>VLOOKUP($X27,LOV!$F:$L,2,FALSE)</f>
        <v>WK1</v>
      </c>
      <c r="T27" s="88">
        <f>VLOOKUP($X27,LOV!$F:$L,7,FALSE)</f>
        <v>45916</v>
      </c>
      <c r="U27" s="53">
        <v>2</v>
      </c>
      <c r="V27" s="53">
        <v>2</v>
      </c>
      <c r="W27" s="65">
        <f t="shared" si="0"/>
        <v>1</v>
      </c>
      <c r="X27" s="66" t="s">
        <v>252</v>
      </c>
      <c r="Y27" s="67">
        <v>45919</v>
      </c>
      <c r="Z27" s="67">
        <v>45923</v>
      </c>
      <c r="AA27" s="67">
        <v>45929</v>
      </c>
    </row>
    <row r="28" spans="1:27">
      <c r="A28" s="53">
        <v>1024</v>
      </c>
      <c r="B28" s="71" t="s">
        <v>200</v>
      </c>
      <c r="C28" s="45" t="s">
        <v>94</v>
      </c>
      <c r="D28" s="69" t="s">
        <v>107</v>
      </c>
      <c r="E28" s="45">
        <v>1</v>
      </c>
      <c r="F28" s="46" t="s">
        <v>262</v>
      </c>
      <c r="G28" s="47" t="s">
        <v>46</v>
      </c>
      <c r="H28" s="47" t="s">
        <v>204</v>
      </c>
      <c r="I28" s="45" t="s">
        <v>205</v>
      </c>
      <c r="J28" s="45" t="s">
        <v>218</v>
      </c>
      <c r="K28" s="45" t="s">
        <v>280</v>
      </c>
      <c r="L28" s="47" t="s">
        <v>271</v>
      </c>
      <c r="M28" s="47" t="s">
        <v>261</v>
      </c>
      <c r="O28" s="45" t="s">
        <v>207</v>
      </c>
      <c r="P28" s="45" t="s">
        <v>208</v>
      </c>
      <c r="Q28" s="75">
        <f>VLOOKUP(B28,LOV!$B:$C,2,FALSE)</f>
        <v>10</v>
      </c>
      <c r="R28" s="75" t="str">
        <f>VLOOKUP(B28,LOV!$B:$D,3,FALSE)</f>
        <v>AA</v>
      </c>
      <c r="S28" s="75" t="str">
        <f>VLOOKUP($X28,LOV!$F:$L,2,FALSE)</f>
        <v>WK1</v>
      </c>
      <c r="T28" s="88">
        <f>VLOOKUP($X28,LOV!$F:$L,7,FALSE)</f>
        <v>45916</v>
      </c>
      <c r="U28" s="53">
        <v>2</v>
      </c>
      <c r="V28" s="53">
        <v>3</v>
      </c>
      <c r="W28" s="65">
        <f t="shared" si="0"/>
        <v>1.5</v>
      </c>
      <c r="X28" s="66" t="s">
        <v>252</v>
      </c>
      <c r="Y28" s="67">
        <v>45919</v>
      </c>
      <c r="Z28" s="67">
        <v>45923</v>
      </c>
      <c r="AA28" s="67">
        <v>45929</v>
      </c>
    </row>
    <row r="29" spans="1:27" ht="28.9">
      <c r="A29" s="53">
        <v>1025</v>
      </c>
      <c r="B29" s="71" t="s">
        <v>200</v>
      </c>
      <c r="C29" s="45" t="s">
        <v>108</v>
      </c>
      <c r="D29" s="69" t="s">
        <v>109</v>
      </c>
      <c r="E29" s="45">
        <v>1</v>
      </c>
      <c r="F29" s="46">
        <v>25</v>
      </c>
      <c r="G29" s="47" t="s">
        <v>281</v>
      </c>
      <c r="H29" s="47" t="s">
        <v>282</v>
      </c>
      <c r="I29" s="45" t="s">
        <v>205</v>
      </c>
      <c r="K29" s="45" t="s">
        <v>232</v>
      </c>
      <c r="L29" s="47" t="s">
        <v>283</v>
      </c>
      <c r="M29" s="47" t="s">
        <v>284</v>
      </c>
      <c r="O29" s="45" t="s">
        <v>207</v>
      </c>
      <c r="P29" s="45" t="s">
        <v>208</v>
      </c>
      <c r="Q29" s="75">
        <f>VLOOKUP(B29,LOV!$B:$C,2,FALSE)</f>
        <v>10</v>
      </c>
      <c r="R29" s="75" t="str">
        <f>VLOOKUP(B29,LOV!$B:$D,3,FALSE)</f>
        <v>AA</v>
      </c>
      <c r="S29" s="75" t="str">
        <f>VLOOKUP($X29,LOV!$F:$L,2,FALSE)</f>
        <v>WK1</v>
      </c>
      <c r="T29" s="88">
        <f>VLOOKUP($X29,LOV!$F:$L,7,FALSE)</f>
        <v>45916</v>
      </c>
      <c r="U29" s="53">
        <v>3</v>
      </c>
      <c r="V29" s="53">
        <v>3</v>
      </c>
      <c r="W29" s="65">
        <f t="shared" si="0"/>
        <v>1.5</v>
      </c>
      <c r="X29" s="66" t="s">
        <v>252</v>
      </c>
      <c r="Y29" s="67">
        <v>45919</v>
      </c>
      <c r="Z29" s="67">
        <v>45923</v>
      </c>
      <c r="AA29" s="67">
        <v>45929</v>
      </c>
    </row>
    <row r="30" spans="1:27" ht="115.15">
      <c r="A30" s="53">
        <v>1026</v>
      </c>
      <c r="B30" s="71" t="s">
        <v>200</v>
      </c>
      <c r="C30" s="45" t="s">
        <v>285</v>
      </c>
      <c r="D30" s="69" t="s">
        <v>286</v>
      </c>
      <c r="E30" s="45">
        <v>1</v>
      </c>
      <c r="F30" s="46" t="s">
        <v>287</v>
      </c>
      <c r="G30" s="47" t="s">
        <v>242</v>
      </c>
      <c r="H30" s="47" t="s">
        <v>204</v>
      </c>
      <c r="I30" s="45" t="s">
        <v>205</v>
      </c>
      <c r="K30" s="45" t="s">
        <v>288</v>
      </c>
      <c r="L30" s="47" t="s">
        <v>289</v>
      </c>
      <c r="M30" s="97" t="s">
        <v>290</v>
      </c>
      <c r="O30" s="45" t="s">
        <v>207</v>
      </c>
      <c r="P30" s="45" t="s">
        <v>208</v>
      </c>
      <c r="Q30" s="75">
        <f>VLOOKUP(B30,LOV!$B:$C,2,FALSE)</f>
        <v>10</v>
      </c>
      <c r="R30" s="75" t="str">
        <f>VLOOKUP(B30,LOV!$B:$D,3,FALSE)</f>
        <v>AA</v>
      </c>
      <c r="S30" s="75" t="str">
        <f>VLOOKUP($X30,LOV!$F:$L,2,FALSE)</f>
        <v>WK1</v>
      </c>
      <c r="T30" s="88">
        <f>VLOOKUP($X30,LOV!$F:$L,7,FALSE)</f>
        <v>45916</v>
      </c>
      <c r="U30" s="53">
        <v>3</v>
      </c>
      <c r="V30" s="53">
        <v>1</v>
      </c>
      <c r="W30" s="65">
        <f t="shared" si="0"/>
        <v>0.5</v>
      </c>
      <c r="X30" s="66" t="s">
        <v>252</v>
      </c>
      <c r="Y30" s="67">
        <v>45919</v>
      </c>
      <c r="Z30" s="67">
        <v>45924</v>
      </c>
      <c r="AA30" s="67">
        <v>45929</v>
      </c>
    </row>
    <row r="31" spans="1:27">
      <c r="A31" s="53">
        <v>1027</v>
      </c>
      <c r="B31" s="71" t="s">
        <v>200</v>
      </c>
      <c r="C31" s="45" t="s">
        <v>285</v>
      </c>
      <c r="D31" s="69" t="s">
        <v>291</v>
      </c>
      <c r="E31" s="45">
        <v>1</v>
      </c>
      <c r="F31" s="46" t="s">
        <v>287</v>
      </c>
      <c r="G31" s="47" t="s">
        <v>242</v>
      </c>
      <c r="H31" s="47" t="s">
        <v>204</v>
      </c>
      <c r="I31" s="45" t="s">
        <v>205</v>
      </c>
      <c r="K31" s="45" t="s">
        <v>292</v>
      </c>
      <c r="L31" s="47" t="s">
        <v>293</v>
      </c>
      <c r="M31" s="47" t="s">
        <v>294</v>
      </c>
      <c r="O31" s="45" t="s">
        <v>207</v>
      </c>
      <c r="P31" s="45" t="s">
        <v>208</v>
      </c>
      <c r="Q31" s="75">
        <f>VLOOKUP(B31,LOV!$B:$C,2,FALSE)</f>
        <v>10</v>
      </c>
      <c r="R31" s="75" t="str">
        <f>VLOOKUP(B31,LOV!$B:$D,3,FALSE)</f>
        <v>AA</v>
      </c>
      <c r="S31" s="75" t="str">
        <f>VLOOKUP($X31,LOV!$F:$L,2,FALSE)</f>
        <v>WK1</v>
      </c>
      <c r="T31" s="88">
        <f>VLOOKUP($X31,LOV!$F:$L,7,FALSE)</f>
        <v>45916</v>
      </c>
      <c r="U31" s="53">
        <v>3</v>
      </c>
      <c r="V31" s="53">
        <v>1</v>
      </c>
      <c r="W31" s="65">
        <f t="shared" si="0"/>
        <v>0.5</v>
      </c>
      <c r="X31" s="66" t="s">
        <v>252</v>
      </c>
      <c r="Y31" s="67">
        <v>45919</v>
      </c>
      <c r="Z31" s="67">
        <v>45923</v>
      </c>
      <c r="AA31" s="67">
        <v>45929</v>
      </c>
    </row>
    <row r="32" spans="1:27" ht="43.15">
      <c r="A32" s="53">
        <v>1028</v>
      </c>
      <c r="B32" s="71" t="s">
        <v>200</v>
      </c>
      <c r="C32" s="45" t="s">
        <v>285</v>
      </c>
      <c r="D32" s="69" t="s">
        <v>112</v>
      </c>
      <c r="E32" s="45">
        <v>1</v>
      </c>
      <c r="F32" s="46" t="s">
        <v>287</v>
      </c>
      <c r="G32" s="47" t="s">
        <v>295</v>
      </c>
      <c r="H32" s="47" t="s">
        <v>282</v>
      </c>
      <c r="I32" s="45" t="s">
        <v>205</v>
      </c>
      <c r="K32" s="45" t="s">
        <v>296</v>
      </c>
      <c r="L32" s="47" t="s">
        <v>293</v>
      </c>
      <c r="M32" s="47" t="s">
        <v>297</v>
      </c>
      <c r="O32" s="45" t="s">
        <v>207</v>
      </c>
      <c r="P32" s="45" t="s">
        <v>208</v>
      </c>
      <c r="Q32" s="75">
        <f>VLOOKUP(B32,LOV!$B:$C,2,FALSE)</f>
        <v>10</v>
      </c>
      <c r="R32" s="75" t="str">
        <f>VLOOKUP(B32,LOV!$B:$D,3,FALSE)</f>
        <v>AA</v>
      </c>
      <c r="S32" s="75" t="str">
        <f>VLOOKUP($X32,LOV!$F:$L,2,FALSE)</f>
        <v>WK1</v>
      </c>
      <c r="T32" s="88">
        <f>VLOOKUP($X32,LOV!$F:$L,7,FALSE)</f>
        <v>45916</v>
      </c>
      <c r="U32" s="53">
        <v>3</v>
      </c>
      <c r="V32" s="53">
        <v>2</v>
      </c>
      <c r="W32" s="65">
        <f t="shared" si="0"/>
        <v>1</v>
      </c>
      <c r="X32" s="53" t="s">
        <v>252</v>
      </c>
      <c r="Y32" s="67">
        <v>45919</v>
      </c>
      <c r="Z32" s="67">
        <v>45923</v>
      </c>
      <c r="AA32" s="67">
        <v>45929</v>
      </c>
    </row>
    <row r="33" spans="1:27" ht="43.15">
      <c r="A33" s="53">
        <v>1029</v>
      </c>
      <c r="B33" s="71" t="s">
        <v>200</v>
      </c>
      <c r="C33" s="45" t="s">
        <v>285</v>
      </c>
      <c r="D33" s="69" t="s">
        <v>298</v>
      </c>
      <c r="E33" s="45">
        <v>1</v>
      </c>
      <c r="F33" s="46" t="s">
        <v>287</v>
      </c>
      <c r="G33" s="47" t="s">
        <v>242</v>
      </c>
      <c r="H33" s="47" t="s">
        <v>204</v>
      </c>
      <c r="I33" s="45" t="s">
        <v>205</v>
      </c>
      <c r="K33" s="45" t="s">
        <v>299</v>
      </c>
      <c r="L33" s="47" t="s">
        <v>293</v>
      </c>
      <c r="M33" s="47" t="s">
        <v>300</v>
      </c>
      <c r="O33" s="45" t="s">
        <v>207</v>
      </c>
      <c r="P33" s="45" t="s">
        <v>208</v>
      </c>
      <c r="Q33" s="75">
        <f>VLOOKUP(B33,LOV!$B:$C,2,FALSE)</f>
        <v>10</v>
      </c>
      <c r="R33" s="75" t="str">
        <f>VLOOKUP(B33,LOV!$B:$D,3,FALSE)</f>
        <v>AA</v>
      </c>
      <c r="S33" s="75" t="str">
        <f>VLOOKUP($X33,LOV!$F:$L,2,FALSE)</f>
        <v>WK1</v>
      </c>
      <c r="T33" s="88">
        <f>VLOOKUP($X33,LOV!$F:$L,7,FALSE)</f>
        <v>45916</v>
      </c>
      <c r="U33" s="53">
        <v>3</v>
      </c>
      <c r="V33" s="53">
        <v>1</v>
      </c>
      <c r="W33" s="65">
        <f t="shared" si="0"/>
        <v>0.5</v>
      </c>
      <c r="X33" s="53" t="s">
        <v>252</v>
      </c>
      <c r="Y33" s="67">
        <v>45919</v>
      </c>
      <c r="Z33" s="67">
        <v>45923</v>
      </c>
      <c r="AA33" s="67">
        <v>45929</v>
      </c>
    </row>
    <row r="34" spans="1:27" ht="43.15">
      <c r="A34" s="53">
        <v>1030</v>
      </c>
      <c r="B34" s="71" t="s">
        <v>200</v>
      </c>
      <c r="C34" s="45" t="s">
        <v>285</v>
      </c>
      <c r="D34" s="69" t="s">
        <v>301</v>
      </c>
      <c r="E34" s="45">
        <v>1</v>
      </c>
      <c r="F34" s="46">
        <v>25</v>
      </c>
      <c r="G34" s="47" t="s">
        <v>242</v>
      </c>
      <c r="H34" s="47" t="s">
        <v>204</v>
      </c>
      <c r="I34" s="45" t="s">
        <v>205</v>
      </c>
      <c r="K34" s="45" t="s">
        <v>302</v>
      </c>
      <c r="L34" s="47" t="s">
        <v>303</v>
      </c>
      <c r="M34" s="47" t="s">
        <v>304</v>
      </c>
      <c r="O34" s="45" t="s">
        <v>207</v>
      </c>
      <c r="P34" s="45" t="s">
        <v>208</v>
      </c>
      <c r="Q34" s="75">
        <f>VLOOKUP(B34,LOV!$B:$C,2,FALSE)</f>
        <v>10</v>
      </c>
      <c r="R34" s="75" t="str">
        <f>VLOOKUP(B34,LOV!$B:$D,3,FALSE)</f>
        <v>AA</v>
      </c>
      <c r="S34" s="75" t="str">
        <f>VLOOKUP($X34,LOV!$F:$L,2,FALSE)</f>
        <v>WK1</v>
      </c>
      <c r="T34" s="88">
        <f>VLOOKUP($X34,LOV!$F:$L,7,FALSE)</f>
        <v>45916</v>
      </c>
      <c r="U34" s="53">
        <v>3</v>
      </c>
      <c r="V34" s="99">
        <v>1</v>
      </c>
      <c r="W34" s="65">
        <f t="shared" si="0"/>
        <v>0.5</v>
      </c>
      <c r="X34" s="53" t="s">
        <v>252</v>
      </c>
      <c r="Y34" s="67">
        <v>45922</v>
      </c>
      <c r="Z34" s="67">
        <v>45923</v>
      </c>
      <c r="AA34" s="67">
        <v>45929</v>
      </c>
    </row>
    <row r="35" spans="1:27" ht="28.9">
      <c r="A35" s="53">
        <v>1031</v>
      </c>
      <c r="B35" s="71" t="s">
        <v>200</v>
      </c>
      <c r="C35" s="45" t="s">
        <v>285</v>
      </c>
      <c r="D35" s="69" t="s">
        <v>305</v>
      </c>
      <c r="E35" s="45">
        <v>1</v>
      </c>
      <c r="F35" s="46">
        <v>25</v>
      </c>
      <c r="G35" s="47" t="s">
        <v>242</v>
      </c>
      <c r="H35" s="47" t="s">
        <v>204</v>
      </c>
      <c r="I35" s="45" t="s">
        <v>205</v>
      </c>
      <c r="K35" s="45" t="s">
        <v>306</v>
      </c>
      <c r="L35" s="47" t="s">
        <v>303</v>
      </c>
      <c r="M35" s="47" t="s">
        <v>307</v>
      </c>
      <c r="O35" s="45" t="s">
        <v>207</v>
      </c>
      <c r="P35" s="45" t="s">
        <v>208</v>
      </c>
      <c r="Q35" s="75">
        <f>VLOOKUP(B35,LOV!$B:$C,2,FALSE)</f>
        <v>10</v>
      </c>
      <c r="R35" s="75" t="str">
        <f>VLOOKUP(B35,LOV!$B:$D,3,FALSE)</f>
        <v>AA</v>
      </c>
      <c r="S35" s="75" t="str">
        <f>VLOOKUP($X35,LOV!$F:$L,2,FALSE)</f>
        <v>WK1</v>
      </c>
      <c r="T35" s="88">
        <f>VLOOKUP($X35,LOV!$F:$L,7,FALSE)</f>
        <v>45916</v>
      </c>
      <c r="U35" s="53">
        <v>3</v>
      </c>
      <c r="V35" s="99">
        <v>1</v>
      </c>
      <c r="W35" s="65">
        <f t="shared" si="0"/>
        <v>0.5</v>
      </c>
      <c r="X35" s="53" t="s">
        <v>252</v>
      </c>
      <c r="Y35" s="67">
        <v>45922</v>
      </c>
      <c r="Z35" s="67">
        <v>45923</v>
      </c>
      <c r="AA35" s="67">
        <v>45929</v>
      </c>
    </row>
    <row r="36" spans="1:27" ht="47.45" customHeight="1">
      <c r="A36" s="53">
        <v>1032</v>
      </c>
      <c r="B36" s="71" t="s">
        <v>200</v>
      </c>
      <c r="C36" s="45" t="s">
        <v>285</v>
      </c>
      <c r="D36" s="69" t="s">
        <v>308</v>
      </c>
      <c r="E36" s="45">
        <v>1</v>
      </c>
      <c r="F36" s="46" t="s">
        <v>309</v>
      </c>
      <c r="G36" s="47" t="s">
        <v>242</v>
      </c>
      <c r="H36" s="47" t="s">
        <v>204</v>
      </c>
      <c r="I36" s="45" t="s">
        <v>205</v>
      </c>
      <c r="K36" s="45" t="s">
        <v>310</v>
      </c>
      <c r="L36" s="47" t="s">
        <v>311</v>
      </c>
      <c r="M36" s="47" t="s">
        <v>312</v>
      </c>
      <c r="O36" s="45" t="s">
        <v>207</v>
      </c>
      <c r="P36" s="45" t="s">
        <v>208</v>
      </c>
      <c r="Q36" s="75">
        <f>VLOOKUP(B36,LOV!$B:$C,2,FALSE)</f>
        <v>10</v>
      </c>
      <c r="R36" s="75" t="str">
        <f>VLOOKUP(B36,LOV!$B:$D,3,FALSE)</f>
        <v>AA</v>
      </c>
      <c r="S36" s="75" t="str">
        <f>VLOOKUP($X36,LOV!$F:$L,2,FALSE)</f>
        <v>WK2</v>
      </c>
      <c r="T36" s="88">
        <f>VLOOKUP($X36,LOV!$F:$L,7,FALSE)</f>
        <v>45922</v>
      </c>
      <c r="U36" s="53">
        <v>3</v>
      </c>
      <c r="V36" s="99">
        <v>1</v>
      </c>
      <c r="W36" s="65">
        <f t="shared" si="0"/>
        <v>0.5</v>
      </c>
      <c r="X36" s="53" t="s">
        <v>313</v>
      </c>
      <c r="Y36" s="67">
        <v>45922</v>
      </c>
      <c r="Z36" s="67">
        <v>45924</v>
      </c>
      <c r="AA36" s="67">
        <v>45929</v>
      </c>
    </row>
    <row r="37" spans="1:27" ht="31.15" customHeight="1">
      <c r="A37" s="53">
        <v>1033</v>
      </c>
      <c r="B37" s="71" t="s">
        <v>200</v>
      </c>
      <c r="C37" s="45" t="s">
        <v>285</v>
      </c>
      <c r="D37" s="69" t="s">
        <v>314</v>
      </c>
      <c r="E37" s="45">
        <v>1</v>
      </c>
      <c r="F37" s="46" t="s">
        <v>309</v>
      </c>
      <c r="G37" s="47" t="s">
        <v>242</v>
      </c>
      <c r="H37" s="47" t="s">
        <v>204</v>
      </c>
      <c r="I37" s="45" t="s">
        <v>205</v>
      </c>
      <c r="K37" s="45" t="s">
        <v>315</v>
      </c>
      <c r="L37" s="47" t="s">
        <v>316</v>
      </c>
      <c r="M37" s="47" t="s">
        <v>317</v>
      </c>
      <c r="O37" s="45" t="s">
        <v>207</v>
      </c>
      <c r="P37" s="45" t="s">
        <v>208</v>
      </c>
      <c r="Q37" s="75">
        <f>VLOOKUP(B37,LOV!$B:$C,2,FALSE)</f>
        <v>10</v>
      </c>
      <c r="R37" s="75" t="str">
        <f>VLOOKUP(B37,LOV!$B:$D,3,FALSE)</f>
        <v>AA</v>
      </c>
      <c r="S37" s="75" t="str">
        <f>VLOOKUP($X37,LOV!$F:$L,2,FALSE)</f>
        <v>WK2</v>
      </c>
      <c r="T37" s="88">
        <f>VLOOKUP($X37,LOV!$F:$L,7,FALSE)</f>
        <v>45922</v>
      </c>
      <c r="U37" s="53">
        <v>3</v>
      </c>
      <c r="V37" s="53">
        <v>1</v>
      </c>
      <c r="W37" s="65">
        <f t="shared" si="0"/>
        <v>0.5</v>
      </c>
      <c r="X37" s="53" t="s">
        <v>313</v>
      </c>
      <c r="Y37" s="67">
        <v>45922</v>
      </c>
      <c r="Z37" s="67">
        <v>45925</v>
      </c>
      <c r="AA37" s="67">
        <v>45929</v>
      </c>
    </row>
    <row r="38" spans="1:27" ht="43.15">
      <c r="A38" s="53">
        <v>1034</v>
      </c>
      <c r="B38" s="71" t="s">
        <v>200</v>
      </c>
      <c r="C38" s="45" t="s">
        <v>285</v>
      </c>
      <c r="D38" s="69" t="s">
        <v>318</v>
      </c>
      <c r="E38" s="45">
        <v>1</v>
      </c>
      <c r="F38" s="46" t="s">
        <v>319</v>
      </c>
      <c r="G38" s="47" t="s">
        <v>242</v>
      </c>
      <c r="H38" s="47" t="s">
        <v>204</v>
      </c>
      <c r="I38" s="45" t="s">
        <v>205</v>
      </c>
      <c r="K38" s="45" t="s">
        <v>320</v>
      </c>
      <c r="L38" s="47" t="s">
        <v>316</v>
      </c>
      <c r="M38" s="47" t="s">
        <v>321</v>
      </c>
      <c r="O38" s="45" t="s">
        <v>207</v>
      </c>
      <c r="P38" s="45" t="s">
        <v>208</v>
      </c>
      <c r="Q38" s="75">
        <f>VLOOKUP(B38,LOV!$B:$C,2,FALSE)</f>
        <v>10</v>
      </c>
      <c r="R38" s="75" t="str">
        <f>VLOOKUP(B38,LOV!$B:$D,3,FALSE)</f>
        <v>AA</v>
      </c>
      <c r="S38" s="75" t="str">
        <f>VLOOKUP($X38,LOV!$F:$L,2,FALSE)</f>
        <v>WK2</v>
      </c>
      <c r="T38" s="88">
        <f>VLOOKUP($X38,LOV!$F:$L,7,FALSE)</f>
        <v>45922</v>
      </c>
      <c r="U38" s="53">
        <v>3</v>
      </c>
      <c r="V38" s="53">
        <v>1</v>
      </c>
      <c r="W38" s="65">
        <f t="shared" si="0"/>
        <v>0.5</v>
      </c>
      <c r="X38" s="53" t="s">
        <v>313</v>
      </c>
      <c r="Y38" s="67">
        <v>45922</v>
      </c>
      <c r="Z38" s="67">
        <v>45925</v>
      </c>
      <c r="AA38" s="67">
        <v>45929</v>
      </c>
    </row>
    <row r="39" spans="1:27">
      <c r="A39" s="53">
        <v>1035</v>
      </c>
      <c r="B39" s="71" t="s">
        <v>200</v>
      </c>
      <c r="C39" s="45" t="s">
        <v>285</v>
      </c>
      <c r="D39" s="69" t="s">
        <v>322</v>
      </c>
      <c r="E39" s="45">
        <v>1</v>
      </c>
      <c r="F39" s="46" t="s">
        <v>323</v>
      </c>
      <c r="G39" s="47" t="s">
        <v>242</v>
      </c>
      <c r="H39" s="47" t="s">
        <v>204</v>
      </c>
      <c r="I39" s="45" t="s">
        <v>205</v>
      </c>
      <c r="K39" s="45" t="s">
        <v>324</v>
      </c>
      <c r="L39" s="47" t="s">
        <v>325</v>
      </c>
      <c r="M39" s="47" t="s">
        <v>326</v>
      </c>
      <c r="O39" s="45" t="s">
        <v>207</v>
      </c>
      <c r="P39" s="45" t="s">
        <v>208</v>
      </c>
      <c r="Q39" s="75">
        <f>VLOOKUP(B39,LOV!$B:$C,2,FALSE)</f>
        <v>10</v>
      </c>
      <c r="R39" s="75" t="str">
        <f>VLOOKUP(B39,LOV!$B:$D,3,FALSE)</f>
        <v>AA</v>
      </c>
      <c r="S39" s="75" t="str">
        <f>VLOOKUP($X39,LOV!$F:$L,2,FALSE)</f>
        <v>WK2</v>
      </c>
      <c r="T39" s="88">
        <f>VLOOKUP($X39,LOV!$F:$L,7,FALSE)</f>
        <v>45922</v>
      </c>
      <c r="U39" s="53">
        <v>3</v>
      </c>
      <c r="V39" s="53">
        <v>1</v>
      </c>
      <c r="W39" s="65">
        <f t="shared" si="0"/>
        <v>0.5</v>
      </c>
      <c r="X39" s="53" t="s">
        <v>313</v>
      </c>
      <c r="Y39" s="67">
        <v>45922</v>
      </c>
      <c r="Z39" s="67">
        <v>45925</v>
      </c>
      <c r="AA39" s="67">
        <v>45929</v>
      </c>
    </row>
    <row r="40" spans="1:27">
      <c r="A40" s="53">
        <v>1036</v>
      </c>
      <c r="B40" s="71" t="s">
        <v>200</v>
      </c>
      <c r="C40" s="45" t="s">
        <v>285</v>
      </c>
      <c r="D40" s="69" t="s">
        <v>126</v>
      </c>
      <c r="E40" s="45">
        <v>1</v>
      </c>
      <c r="F40" s="46" t="s">
        <v>323</v>
      </c>
      <c r="G40" s="47" t="s">
        <v>46</v>
      </c>
      <c r="H40" s="47" t="s">
        <v>282</v>
      </c>
      <c r="I40" s="45" t="s">
        <v>205</v>
      </c>
      <c r="K40" s="45" t="s">
        <v>327</v>
      </c>
      <c r="L40" s="47" t="s">
        <v>325</v>
      </c>
      <c r="M40" s="47" t="s">
        <v>328</v>
      </c>
      <c r="O40" s="45" t="s">
        <v>207</v>
      </c>
      <c r="P40" s="45" t="s">
        <v>208</v>
      </c>
      <c r="Q40" s="75">
        <f>VLOOKUP(B40,LOV!$B:$C,2,FALSE)</f>
        <v>10</v>
      </c>
      <c r="R40" s="75" t="str">
        <f>VLOOKUP(B40,LOV!$B:$D,3,FALSE)</f>
        <v>AA</v>
      </c>
      <c r="S40" s="75" t="str">
        <f>VLOOKUP($X40,LOV!$F:$L,2,FALSE)</f>
        <v>WK2</v>
      </c>
      <c r="T40" s="88">
        <f>VLOOKUP($X40,LOV!$F:$L,7,FALSE)</f>
        <v>45922</v>
      </c>
      <c r="U40" s="53">
        <v>3</v>
      </c>
      <c r="V40" s="53">
        <v>2</v>
      </c>
      <c r="W40" s="65">
        <f t="shared" si="0"/>
        <v>1</v>
      </c>
      <c r="X40" s="53" t="s">
        <v>313</v>
      </c>
      <c r="Y40" s="67">
        <v>45922</v>
      </c>
      <c r="Z40" s="67">
        <v>45925</v>
      </c>
      <c r="AA40" s="67">
        <v>45929</v>
      </c>
    </row>
    <row r="41" spans="1:27">
      <c r="A41" s="53">
        <v>1037</v>
      </c>
      <c r="B41" s="71" t="s">
        <v>200</v>
      </c>
      <c r="C41" s="45" t="s">
        <v>285</v>
      </c>
      <c r="D41" s="69" t="s">
        <v>329</v>
      </c>
      <c r="E41" s="45">
        <v>1</v>
      </c>
      <c r="F41" s="46" t="s">
        <v>323</v>
      </c>
      <c r="G41" s="47" t="s">
        <v>242</v>
      </c>
      <c r="H41" s="47" t="s">
        <v>204</v>
      </c>
      <c r="I41" s="45" t="s">
        <v>205</v>
      </c>
      <c r="K41" s="45" t="s">
        <v>330</v>
      </c>
      <c r="L41" s="47" t="s">
        <v>325</v>
      </c>
      <c r="M41" s="47" t="s">
        <v>331</v>
      </c>
      <c r="O41" s="45" t="s">
        <v>207</v>
      </c>
      <c r="P41" s="45" t="s">
        <v>208</v>
      </c>
      <c r="Q41" s="75">
        <f>VLOOKUP(B41,LOV!$B:$C,2,FALSE)</f>
        <v>10</v>
      </c>
      <c r="R41" s="75" t="str">
        <f>VLOOKUP(B41,LOV!$B:$D,3,FALSE)</f>
        <v>AA</v>
      </c>
      <c r="S41" s="75" t="str">
        <f>VLOOKUP($X41,LOV!$F:$L,2,FALSE)</f>
        <v>WK2</v>
      </c>
      <c r="T41" s="88">
        <f>VLOOKUP($X41,LOV!$F:$L,7,FALSE)</f>
        <v>45922</v>
      </c>
      <c r="U41" s="53">
        <v>3</v>
      </c>
      <c r="V41" s="53">
        <v>1</v>
      </c>
      <c r="W41" s="65">
        <f t="shared" si="0"/>
        <v>0.5</v>
      </c>
      <c r="X41" s="53" t="s">
        <v>313</v>
      </c>
      <c r="Y41" s="67">
        <v>45922</v>
      </c>
      <c r="Z41" s="67">
        <v>45925</v>
      </c>
      <c r="AA41" s="67">
        <v>45929</v>
      </c>
    </row>
    <row r="42" spans="1:27" ht="28.9">
      <c r="A42" s="53">
        <v>1038</v>
      </c>
      <c r="B42" s="71" t="s">
        <v>200</v>
      </c>
      <c r="C42" s="45" t="s">
        <v>285</v>
      </c>
      <c r="D42" s="69" t="s">
        <v>129</v>
      </c>
      <c r="E42" s="45">
        <v>1</v>
      </c>
      <c r="F42" s="46" t="s">
        <v>323</v>
      </c>
      <c r="G42" s="47" t="s">
        <v>332</v>
      </c>
      <c r="H42" s="47" t="s">
        <v>282</v>
      </c>
      <c r="I42" s="45" t="s">
        <v>205</v>
      </c>
      <c r="K42" s="45" t="s">
        <v>333</v>
      </c>
      <c r="L42" s="47" t="s">
        <v>325</v>
      </c>
      <c r="M42" s="47" t="s">
        <v>334</v>
      </c>
      <c r="O42" s="45" t="s">
        <v>207</v>
      </c>
      <c r="P42" s="45" t="s">
        <v>208</v>
      </c>
      <c r="Q42" s="75">
        <f>VLOOKUP(B42,LOV!$B:$C,2,FALSE)</f>
        <v>10</v>
      </c>
      <c r="R42" s="75" t="str">
        <f>VLOOKUP(B42,LOV!$B:$D,3,FALSE)</f>
        <v>AA</v>
      </c>
      <c r="S42" s="75" t="str">
        <f>VLOOKUP($X42,LOV!$F:$L,2,FALSE)</f>
        <v>WK2</v>
      </c>
      <c r="T42" s="88">
        <f>VLOOKUP($X42,LOV!$F:$L,7,FALSE)</f>
        <v>45922</v>
      </c>
      <c r="U42" s="53">
        <v>3</v>
      </c>
      <c r="V42" s="53">
        <v>2</v>
      </c>
      <c r="W42" s="65">
        <f t="shared" si="0"/>
        <v>1</v>
      </c>
      <c r="X42" s="53" t="s">
        <v>313</v>
      </c>
      <c r="Y42" s="67">
        <v>45922</v>
      </c>
      <c r="Z42" s="67">
        <v>45925</v>
      </c>
      <c r="AA42" s="67">
        <v>45929</v>
      </c>
    </row>
    <row r="43" spans="1:27">
      <c r="A43" s="53">
        <v>1039</v>
      </c>
      <c r="B43" s="71" t="s">
        <v>200</v>
      </c>
      <c r="C43" s="45" t="s">
        <v>285</v>
      </c>
      <c r="D43" s="69" t="s">
        <v>335</v>
      </c>
      <c r="E43" s="45">
        <v>1</v>
      </c>
      <c r="F43" s="46" t="s">
        <v>323</v>
      </c>
      <c r="G43" s="47" t="s">
        <v>242</v>
      </c>
      <c r="H43" s="47" t="s">
        <v>204</v>
      </c>
      <c r="I43" s="45" t="s">
        <v>205</v>
      </c>
      <c r="K43" s="45" t="s">
        <v>336</v>
      </c>
      <c r="L43" s="47" t="s">
        <v>325</v>
      </c>
      <c r="M43" s="47" t="s">
        <v>337</v>
      </c>
      <c r="O43" s="45" t="s">
        <v>207</v>
      </c>
      <c r="P43" s="45" t="s">
        <v>208</v>
      </c>
      <c r="Q43" s="75">
        <f>VLOOKUP(B43,LOV!$B:$C,2,FALSE)</f>
        <v>10</v>
      </c>
      <c r="R43" s="75" t="str">
        <f>VLOOKUP(B43,LOV!$B:$D,3,FALSE)</f>
        <v>AA</v>
      </c>
      <c r="S43" s="75" t="str">
        <f>VLOOKUP($X43,LOV!$F:$L,2,FALSE)</f>
        <v>WK2</v>
      </c>
      <c r="T43" s="88">
        <f>VLOOKUP($X43,LOV!$F:$L,7,FALSE)</f>
        <v>45922</v>
      </c>
      <c r="U43" s="53">
        <v>3</v>
      </c>
      <c r="V43" s="53">
        <v>1</v>
      </c>
      <c r="W43" s="65">
        <f t="shared" si="0"/>
        <v>0.5</v>
      </c>
      <c r="X43" s="53" t="s">
        <v>313</v>
      </c>
      <c r="Y43" s="67">
        <v>45922</v>
      </c>
      <c r="Z43" s="67">
        <v>45925</v>
      </c>
      <c r="AA43" s="67">
        <v>45929</v>
      </c>
    </row>
    <row r="44" spans="1:27">
      <c r="A44" s="53">
        <v>1040</v>
      </c>
      <c r="B44" s="71" t="s">
        <v>200</v>
      </c>
      <c r="C44" s="45" t="s">
        <v>285</v>
      </c>
      <c r="D44" s="69" t="s">
        <v>131</v>
      </c>
      <c r="E44" s="45">
        <v>1</v>
      </c>
      <c r="F44" s="46" t="s">
        <v>323</v>
      </c>
      <c r="G44" s="47" t="s">
        <v>46</v>
      </c>
      <c r="H44" s="47" t="s">
        <v>282</v>
      </c>
      <c r="I44" s="45" t="s">
        <v>205</v>
      </c>
      <c r="K44" s="45" t="s">
        <v>338</v>
      </c>
      <c r="L44" s="47" t="s">
        <v>325</v>
      </c>
      <c r="M44" s="47" t="s">
        <v>339</v>
      </c>
      <c r="O44" s="45" t="s">
        <v>207</v>
      </c>
      <c r="P44" s="45" t="s">
        <v>208</v>
      </c>
      <c r="Q44" s="75">
        <f>VLOOKUP(B44,LOV!$B:$C,2,FALSE)</f>
        <v>10</v>
      </c>
      <c r="R44" s="75" t="str">
        <f>VLOOKUP(B44,LOV!$B:$D,3,FALSE)</f>
        <v>AA</v>
      </c>
      <c r="S44" s="75" t="str">
        <f>VLOOKUP($X44,LOV!$F:$L,2,FALSE)</f>
        <v>WK2</v>
      </c>
      <c r="T44" s="88">
        <f>VLOOKUP($X44,LOV!$F:$L,7,FALSE)</f>
        <v>45922</v>
      </c>
      <c r="U44" s="53">
        <v>3</v>
      </c>
      <c r="V44" s="53">
        <v>2</v>
      </c>
      <c r="W44" s="65">
        <f t="shared" si="0"/>
        <v>1</v>
      </c>
      <c r="X44" s="53" t="s">
        <v>313</v>
      </c>
      <c r="Y44" s="67">
        <v>45922</v>
      </c>
      <c r="Z44" s="67">
        <v>45925</v>
      </c>
      <c r="AA44" s="67">
        <v>45929</v>
      </c>
    </row>
    <row r="45" spans="1:27" ht="57.6">
      <c r="A45" s="53">
        <v>1041</v>
      </c>
      <c r="B45" s="71" t="s">
        <v>200</v>
      </c>
      <c r="C45" s="45" t="s">
        <v>285</v>
      </c>
      <c r="D45" s="69" t="s">
        <v>340</v>
      </c>
      <c r="E45" s="45">
        <v>1</v>
      </c>
      <c r="F45" s="46" t="s">
        <v>319</v>
      </c>
      <c r="G45" s="47" t="s">
        <v>242</v>
      </c>
      <c r="H45" s="47" t="s">
        <v>341</v>
      </c>
      <c r="I45" s="45" t="s">
        <v>205</v>
      </c>
      <c r="K45" s="45" t="s">
        <v>232</v>
      </c>
      <c r="L45" s="47" t="s">
        <v>342</v>
      </c>
      <c r="M45" s="47" t="s">
        <v>343</v>
      </c>
      <c r="O45" s="45" t="s">
        <v>207</v>
      </c>
      <c r="P45" s="45" t="s">
        <v>208</v>
      </c>
      <c r="Q45" s="75">
        <f>VLOOKUP(B45,LOV!$B:$C,2,FALSE)</f>
        <v>10</v>
      </c>
      <c r="R45" s="75" t="str">
        <f>VLOOKUP(B45,LOV!$B:$D,3,FALSE)</f>
        <v>AA</v>
      </c>
      <c r="S45" s="75" t="str">
        <f>VLOOKUP($X45,LOV!$F:$L,2,FALSE)</f>
        <v>WK2</v>
      </c>
      <c r="T45" s="88">
        <f>VLOOKUP($X45,LOV!$F:$L,7,FALSE)</f>
        <v>45922</v>
      </c>
      <c r="U45" s="53">
        <v>3</v>
      </c>
      <c r="V45" s="53">
        <v>1</v>
      </c>
      <c r="W45" s="65">
        <f t="shared" si="0"/>
        <v>0.5</v>
      </c>
      <c r="X45" s="53" t="s">
        <v>313</v>
      </c>
      <c r="Y45" s="67">
        <v>45922</v>
      </c>
      <c r="Z45" s="67">
        <v>45925</v>
      </c>
      <c r="AA45" s="67">
        <v>45929</v>
      </c>
    </row>
    <row r="46" spans="1:27" ht="72">
      <c r="A46" s="77">
        <v>1304</v>
      </c>
      <c r="B46" s="79" t="s">
        <v>200</v>
      </c>
      <c r="C46" s="79" t="s">
        <v>285</v>
      </c>
      <c r="D46" s="80" t="s">
        <v>344</v>
      </c>
      <c r="E46" s="45">
        <v>1</v>
      </c>
      <c r="F46" s="46">
        <v>0</v>
      </c>
      <c r="G46" s="47" t="s">
        <v>242</v>
      </c>
      <c r="H46" s="47" t="s">
        <v>341</v>
      </c>
      <c r="I46" s="45" t="s">
        <v>205</v>
      </c>
      <c r="K46" s="45" t="s">
        <v>232</v>
      </c>
      <c r="L46" s="47" t="s">
        <v>345</v>
      </c>
      <c r="M46" s="47" t="s">
        <v>346</v>
      </c>
      <c r="O46" s="45" t="s">
        <v>207</v>
      </c>
      <c r="P46" s="45" t="s">
        <v>208</v>
      </c>
      <c r="Q46" s="75">
        <f>VLOOKUP(B46,LOV!$B:$C,2,FALSE)</f>
        <v>10</v>
      </c>
      <c r="R46" s="75" t="str">
        <f>VLOOKUP(B46,LOV!$B:$D,3,FALSE)</f>
        <v>AA</v>
      </c>
      <c r="S46" s="75" t="str">
        <f>VLOOKUP($X46,LOV!$F:$L,2,FALSE)</f>
        <v>WK2</v>
      </c>
      <c r="T46" s="88">
        <f>VLOOKUP($X46,LOV!$F:$L,7,FALSE)</f>
        <v>45922</v>
      </c>
      <c r="U46" s="77">
        <v>3</v>
      </c>
      <c r="V46" s="77">
        <v>3</v>
      </c>
      <c r="W46" s="65">
        <f t="shared" si="0"/>
        <v>1.5</v>
      </c>
      <c r="X46" s="77" t="s">
        <v>313</v>
      </c>
      <c r="Y46" s="67">
        <v>45922</v>
      </c>
      <c r="Z46" s="67">
        <v>45925</v>
      </c>
      <c r="AA46" s="67">
        <v>45929</v>
      </c>
    </row>
    <row r="47" spans="1:27" ht="28.9">
      <c r="A47" s="53">
        <v>1042</v>
      </c>
      <c r="B47" s="71" t="s">
        <v>200</v>
      </c>
      <c r="C47" s="45" t="s">
        <v>135</v>
      </c>
      <c r="D47" s="69" t="s">
        <v>347</v>
      </c>
      <c r="E47" s="45">
        <v>1</v>
      </c>
      <c r="F47" s="46">
        <v>28</v>
      </c>
      <c r="G47" s="47" t="s">
        <v>348</v>
      </c>
      <c r="H47" s="47" t="s">
        <v>204</v>
      </c>
      <c r="I47" s="45" t="s">
        <v>205</v>
      </c>
      <c r="K47" s="45" t="s">
        <v>349</v>
      </c>
      <c r="M47" s="47" t="s">
        <v>261</v>
      </c>
      <c r="O47" s="45" t="s">
        <v>207</v>
      </c>
      <c r="P47" s="45" t="s">
        <v>208</v>
      </c>
      <c r="Q47" s="75">
        <f>VLOOKUP(B47,LOV!$B:$C,2,FALSE)</f>
        <v>10</v>
      </c>
      <c r="R47" s="75" t="str">
        <f>VLOOKUP(B47,LOV!$B:$D,3,FALSE)</f>
        <v>AA</v>
      </c>
      <c r="S47" s="75" t="str">
        <f>VLOOKUP($X47,LOV!$F:$L,2,FALSE)</f>
        <v>WK2</v>
      </c>
      <c r="T47" s="88">
        <f>VLOOKUP($X47,LOV!$F:$L,7,FALSE)</f>
        <v>45922</v>
      </c>
      <c r="U47" s="53">
        <v>3</v>
      </c>
      <c r="V47" s="53">
        <v>2</v>
      </c>
      <c r="W47" s="65">
        <f t="shared" si="0"/>
        <v>1</v>
      </c>
      <c r="X47" s="53" t="s">
        <v>222</v>
      </c>
      <c r="Y47" s="67">
        <v>45922</v>
      </c>
      <c r="Z47" s="67">
        <v>45925</v>
      </c>
      <c r="AA47" s="67">
        <v>45929</v>
      </c>
    </row>
    <row r="48" spans="1:27" ht="115.15">
      <c r="A48" s="53">
        <v>1043</v>
      </c>
      <c r="B48" s="71" t="s">
        <v>200</v>
      </c>
      <c r="C48" s="45" t="s">
        <v>135</v>
      </c>
      <c r="D48" s="69" t="s">
        <v>350</v>
      </c>
      <c r="E48" s="45">
        <v>1</v>
      </c>
      <c r="F48" s="46">
        <v>28</v>
      </c>
      <c r="G48" s="47" t="s">
        <v>351</v>
      </c>
      <c r="H48" s="47" t="s">
        <v>341</v>
      </c>
      <c r="I48" s="45" t="s">
        <v>205</v>
      </c>
      <c r="K48" s="45" t="s">
        <v>352</v>
      </c>
      <c r="L48" s="11" t="s">
        <v>353</v>
      </c>
      <c r="M48" s="97" t="s">
        <v>354</v>
      </c>
      <c r="O48" s="45" t="s">
        <v>207</v>
      </c>
      <c r="P48" s="45" t="s">
        <v>208</v>
      </c>
      <c r="Q48" s="75">
        <f>VLOOKUP(B48,LOV!$B:$C,2,FALSE)</f>
        <v>10</v>
      </c>
      <c r="R48" s="75" t="str">
        <f>VLOOKUP(B48,LOV!$B:$D,3,FALSE)</f>
        <v>AA</v>
      </c>
      <c r="S48" s="75" t="str">
        <f>VLOOKUP($X48,LOV!$F:$L,2,FALSE)</f>
        <v>WK2</v>
      </c>
      <c r="T48" s="88">
        <f>VLOOKUP($X48,LOV!$F:$L,7,FALSE)</f>
        <v>45922</v>
      </c>
      <c r="U48" s="53">
        <v>3</v>
      </c>
      <c r="V48" s="53">
        <v>2</v>
      </c>
      <c r="W48" s="65">
        <f t="shared" si="0"/>
        <v>1</v>
      </c>
      <c r="X48" s="53" t="s">
        <v>222</v>
      </c>
      <c r="Y48" s="67">
        <v>45922</v>
      </c>
      <c r="Z48" s="67">
        <v>45925</v>
      </c>
      <c r="AA48" s="67">
        <v>45929</v>
      </c>
    </row>
    <row r="49" spans="1:27">
      <c r="A49" s="53">
        <v>1044</v>
      </c>
      <c r="B49" s="71" t="s">
        <v>200</v>
      </c>
      <c r="C49" s="45" t="s">
        <v>145</v>
      </c>
      <c r="D49" s="69" t="s">
        <v>147</v>
      </c>
      <c r="E49" s="45">
        <v>1</v>
      </c>
      <c r="F49" s="46">
        <v>29</v>
      </c>
      <c r="G49" s="47" t="s">
        <v>46</v>
      </c>
      <c r="H49" s="47" t="s">
        <v>247</v>
      </c>
      <c r="I49" s="45" t="s">
        <v>205</v>
      </c>
      <c r="K49" s="45" t="s">
        <v>355</v>
      </c>
      <c r="L49" s="47" t="s">
        <v>356</v>
      </c>
      <c r="M49" s="47" t="s">
        <v>312</v>
      </c>
      <c r="O49" s="45" t="s">
        <v>207</v>
      </c>
      <c r="P49" s="45" t="s">
        <v>208</v>
      </c>
      <c r="Q49" s="75">
        <f>VLOOKUP(B49,LOV!$B:$C,2,FALSE)</f>
        <v>10</v>
      </c>
      <c r="R49" s="75" t="str">
        <f>VLOOKUP(B49,LOV!$B:$D,3,FALSE)</f>
        <v>AA</v>
      </c>
      <c r="S49" s="75" t="str">
        <f>VLOOKUP($X49,LOV!$F:$L,2,FALSE)</f>
        <v>WK2</v>
      </c>
      <c r="T49" s="88">
        <f>VLOOKUP($X49,LOV!$F:$L,7,FALSE)</f>
        <v>45922</v>
      </c>
      <c r="U49" s="53">
        <v>4</v>
      </c>
      <c r="V49" s="53">
        <v>2</v>
      </c>
      <c r="W49" s="65">
        <f t="shared" si="0"/>
        <v>1</v>
      </c>
      <c r="X49" s="53" t="s">
        <v>222</v>
      </c>
      <c r="Y49" s="67">
        <v>45922</v>
      </c>
      <c r="Z49" s="67">
        <v>45924</v>
      </c>
      <c r="AA49" s="67">
        <v>45929</v>
      </c>
    </row>
    <row r="50" spans="1:27">
      <c r="A50" s="53">
        <v>1045</v>
      </c>
      <c r="B50" s="71" t="s">
        <v>200</v>
      </c>
      <c r="C50" s="45" t="s">
        <v>145</v>
      </c>
      <c r="D50" s="69" t="s">
        <v>148</v>
      </c>
      <c r="E50" s="45">
        <v>1</v>
      </c>
      <c r="F50" s="46">
        <v>29</v>
      </c>
      <c r="G50" s="47" t="s">
        <v>46</v>
      </c>
      <c r="H50" s="47" t="s">
        <v>247</v>
      </c>
      <c r="I50" s="45" t="s">
        <v>205</v>
      </c>
      <c r="K50" s="45" t="s">
        <v>357</v>
      </c>
      <c r="L50" s="47" t="s">
        <v>356</v>
      </c>
      <c r="M50" s="47" t="s">
        <v>312</v>
      </c>
      <c r="O50" s="45" t="s">
        <v>207</v>
      </c>
      <c r="P50" s="45" t="s">
        <v>208</v>
      </c>
      <c r="Q50" s="75">
        <f>VLOOKUP(B50,LOV!$B:$C,2,FALSE)</f>
        <v>10</v>
      </c>
      <c r="R50" s="75" t="str">
        <f>VLOOKUP(B50,LOV!$B:$D,3,FALSE)</f>
        <v>AA</v>
      </c>
      <c r="S50" s="75" t="str">
        <f>VLOOKUP($X50,LOV!$F:$L,2,FALSE)</f>
        <v>WK2</v>
      </c>
      <c r="T50" s="88">
        <f>VLOOKUP($X50,LOV!$F:$L,7,FALSE)</f>
        <v>45922</v>
      </c>
      <c r="U50" s="53">
        <v>4</v>
      </c>
      <c r="V50" s="53">
        <v>2</v>
      </c>
      <c r="W50" s="65">
        <f t="shared" si="0"/>
        <v>1</v>
      </c>
      <c r="X50" s="53" t="s">
        <v>222</v>
      </c>
      <c r="Y50" s="67">
        <v>45922</v>
      </c>
      <c r="Z50" s="67">
        <v>45924</v>
      </c>
      <c r="AA50" s="67">
        <v>45929</v>
      </c>
    </row>
    <row r="51" spans="1:27">
      <c r="A51" s="53">
        <v>1046</v>
      </c>
      <c r="B51" s="71" t="s">
        <v>200</v>
      </c>
      <c r="C51" s="45" t="s">
        <v>145</v>
      </c>
      <c r="D51" s="69" t="s">
        <v>149</v>
      </c>
      <c r="E51" s="45">
        <v>1</v>
      </c>
      <c r="F51" s="46">
        <v>29</v>
      </c>
      <c r="G51" s="47" t="s">
        <v>46</v>
      </c>
      <c r="H51" s="47" t="s">
        <v>247</v>
      </c>
      <c r="I51" s="45" t="s">
        <v>205</v>
      </c>
      <c r="K51" s="45" t="s">
        <v>358</v>
      </c>
      <c r="L51" s="47" t="s">
        <v>356</v>
      </c>
      <c r="M51" s="47" t="s">
        <v>312</v>
      </c>
      <c r="O51" s="45" t="s">
        <v>207</v>
      </c>
      <c r="P51" s="45" t="s">
        <v>208</v>
      </c>
      <c r="Q51" s="75">
        <f>VLOOKUP(B51,LOV!$B:$C,2,FALSE)</f>
        <v>10</v>
      </c>
      <c r="R51" s="75" t="str">
        <f>VLOOKUP(B51,LOV!$B:$D,3,FALSE)</f>
        <v>AA</v>
      </c>
      <c r="S51" s="75" t="str">
        <f>VLOOKUP($X51,LOV!$F:$L,2,FALSE)</f>
        <v>WK2</v>
      </c>
      <c r="T51" s="88">
        <f>VLOOKUP($X51,LOV!$F:$L,7,FALSE)</f>
        <v>45922</v>
      </c>
      <c r="U51" s="53">
        <v>4</v>
      </c>
      <c r="V51" s="53">
        <v>2</v>
      </c>
      <c r="W51" s="65">
        <f t="shared" si="0"/>
        <v>1</v>
      </c>
      <c r="X51" s="53" t="s">
        <v>222</v>
      </c>
      <c r="Y51" s="67">
        <v>45922</v>
      </c>
      <c r="Z51" s="67">
        <v>45924</v>
      </c>
      <c r="AA51" s="67">
        <v>45929</v>
      </c>
    </row>
    <row r="52" spans="1:27">
      <c r="A52" s="53">
        <v>1047</v>
      </c>
      <c r="B52" s="71" t="s">
        <v>200</v>
      </c>
      <c r="C52" s="45" t="s">
        <v>145</v>
      </c>
      <c r="D52" s="69" t="s">
        <v>150</v>
      </c>
      <c r="E52" s="45">
        <v>1</v>
      </c>
      <c r="F52" s="46">
        <v>29</v>
      </c>
      <c r="G52" s="47" t="s">
        <v>46</v>
      </c>
      <c r="H52" s="47" t="s">
        <v>247</v>
      </c>
      <c r="I52" s="45" t="s">
        <v>205</v>
      </c>
      <c r="K52" s="45" t="s">
        <v>359</v>
      </c>
      <c r="L52" s="47" t="s">
        <v>356</v>
      </c>
      <c r="M52" s="47" t="s">
        <v>312</v>
      </c>
      <c r="O52" s="45" t="s">
        <v>207</v>
      </c>
      <c r="P52" s="45" t="s">
        <v>208</v>
      </c>
      <c r="Q52" s="75">
        <f>VLOOKUP(B52,LOV!$B:$C,2,FALSE)</f>
        <v>10</v>
      </c>
      <c r="R52" s="75" t="str">
        <f>VLOOKUP(B52,LOV!$B:$D,3,FALSE)</f>
        <v>AA</v>
      </c>
      <c r="S52" s="75" t="str">
        <f>VLOOKUP($X52,LOV!$F:$L,2,FALSE)</f>
        <v>WK2</v>
      </c>
      <c r="T52" s="88">
        <f>VLOOKUP($X52,LOV!$F:$L,7,FALSE)</f>
        <v>45922</v>
      </c>
      <c r="U52" s="53">
        <v>4</v>
      </c>
      <c r="V52" s="53">
        <v>2</v>
      </c>
      <c r="W52" s="65">
        <f t="shared" si="0"/>
        <v>1</v>
      </c>
      <c r="X52" s="53" t="s">
        <v>222</v>
      </c>
      <c r="Y52" s="67">
        <v>45922</v>
      </c>
      <c r="Z52" s="67">
        <v>45924</v>
      </c>
      <c r="AA52" s="67">
        <v>45929</v>
      </c>
    </row>
    <row r="53" spans="1:27">
      <c r="A53" s="53">
        <v>1048</v>
      </c>
      <c r="B53" s="71" t="s">
        <v>200</v>
      </c>
      <c r="C53" s="45" t="s">
        <v>145</v>
      </c>
      <c r="D53" s="69" t="s">
        <v>151</v>
      </c>
      <c r="E53" s="45">
        <v>1</v>
      </c>
      <c r="F53" s="46">
        <v>29</v>
      </c>
      <c r="G53" s="47" t="s">
        <v>46</v>
      </c>
      <c r="H53" s="47" t="s">
        <v>247</v>
      </c>
      <c r="I53" s="45" t="s">
        <v>205</v>
      </c>
      <c r="K53" s="45" t="s">
        <v>232</v>
      </c>
      <c r="L53" s="47" t="s">
        <v>356</v>
      </c>
      <c r="M53" s="47" t="s">
        <v>312</v>
      </c>
      <c r="O53" s="45" t="s">
        <v>207</v>
      </c>
      <c r="P53" s="45" t="s">
        <v>208</v>
      </c>
      <c r="Q53" s="75">
        <f>VLOOKUP(B53,LOV!$B:$C,2,FALSE)</f>
        <v>10</v>
      </c>
      <c r="R53" s="75" t="str">
        <f>VLOOKUP(B53,LOV!$B:$D,3,FALSE)</f>
        <v>AA</v>
      </c>
      <c r="S53" s="75" t="str">
        <f>VLOOKUP($X53,LOV!$F:$L,2,FALSE)</f>
        <v>WK2</v>
      </c>
      <c r="T53" s="88">
        <f>VLOOKUP($X53,LOV!$F:$L,7,FALSE)</f>
        <v>45922</v>
      </c>
      <c r="U53" s="53">
        <v>4</v>
      </c>
      <c r="V53" s="53">
        <v>2</v>
      </c>
      <c r="W53" s="65">
        <f t="shared" si="0"/>
        <v>1</v>
      </c>
      <c r="X53" s="53" t="s">
        <v>222</v>
      </c>
      <c r="Y53" s="67">
        <v>45922</v>
      </c>
      <c r="Z53" s="67">
        <v>45924</v>
      </c>
      <c r="AA53" s="67">
        <v>45929</v>
      </c>
    </row>
    <row r="54" spans="1:27" ht="28.9">
      <c r="A54" s="53">
        <v>1049</v>
      </c>
      <c r="B54" s="71" t="s">
        <v>200</v>
      </c>
      <c r="C54" s="45" t="s">
        <v>145</v>
      </c>
      <c r="D54" s="69" t="s">
        <v>146</v>
      </c>
      <c r="E54" s="45">
        <v>1</v>
      </c>
      <c r="F54" s="46">
        <v>29</v>
      </c>
      <c r="G54" s="47" t="s">
        <v>351</v>
      </c>
      <c r="H54" s="47" t="s">
        <v>247</v>
      </c>
      <c r="I54" s="45" t="s">
        <v>205</v>
      </c>
      <c r="K54" s="45" t="s">
        <v>232</v>
      </c>
      <c r="L54" s="47" t="s">
        <v>360</v>
      </c>
      <c r="M54" s="47" t="s">
        <v>312</v>
      </c>
      <c r="O54" s="45" t="s">
        <v>207</v>
      </c>
      <c r="P54" s="45" t="s">
        <v>208</v>
      </c>
      <c r="Q54" s="75">
        <f>VLOOKUP(B54,LOV!$B:$C,2,FALSE)</f>
        <v>10</v>
      </c>
      <c r="R54" s="75" t="str">
        <f>VLOOKUP(B54,LOV!$B:$D,3,FALSE)</f>
        <v>AA</v>
      </c>
      <c r="S54" s="75" t="str">
        <f>VLOOKUP($X54,LOV!$F:$L,2,FALSE)</f>
        <v>WK2</v>
      </c>
      <c r="T54" s="88">
        <f>VLOOKUP($X54,LOV!$F:$L,7,FALSE)</f>
        <v>45922</v>
      </c>
      <c r="U54" s="53">
        <v>4</v>
      </c>
      <c r="V54" s="53">
        <v>2</v>
      </c>
      <c r="W54" s="65">
        <f t="shared" si="0"/>
        <v>1</v>
      </c>
      <c r="X54" s="53" t="s">
        <v>222</v>
      </c>
      <c r="Y54" s="67">
        <v>45922</v>
      </c>
      <c r="Z54" s="67">
        <v>45924</v>
      </c>
      <c r="AA54" s="67">
        <v>45929</v>
      </c>
    </row>
    <row r="55" spans="1:27" ht="43.15">
      <c r="A55" s="53">
        <v>1050</v>
      </c>
      <c r="B55" s="71" t="s">
        <v>200</v>
      </c>
      <c r="C55" s="45" t="s">
        <v>160</v>
      </c>
      <c r="D55" s="69" t="s">
        <v>361</v>
      </c>
      <c r="E55" s="45">
        <v>1</v>
      </c>
      <c r="F55" s="46">
        <v>0</v>
      </c>
      <c r="G55" s="47" t="s">
        <v>242</v>
      </c>
      <c r="H55" s="47" t="s">
        <v>341</v>
      </c>
      <c r="I55" s="45" t="s">
        <v>205</v>
      </c>
      <c r="K55" s="45" t="s">
        <v>362</v>
      </c>
      <c r="L55" s="47" t="s">
        <v>363</v>
      </c>
      <c r="M55" s="47" t="s">
        <v>364</v>
      </c>
      <c r="O55" s="45" t="s">
        <v>207</v>
      </c>
      <c r="P55" s="45" t="s">
        <v>208</v>
      </c>
      <c r="Q55" s="75">
        <f>VLOOKUP(B55,LOV!$B:$C,2,FALSE)</f>
        <v>10</v>
      </c>
      <c r="R55" s="75" t="str">
        <f>VLOOKUP(B55,LOV!$B:$D,3,FALSE)</f>
        <v>AA</v>
      </c>
      <c r="S55" s="75" t="str">
        <f>VLOOKUP($X55,LOV!$F:$L,2,FALSE)</f>
        <v>WK2</v>
      </c>
      <c r="T55" s="88">
        <f>VLOOKUP($X55,LOV!$F:$L,7,FALSE)</f>
        <v>45922</v>
      </c>
      <c r="U55" s="53">
        <v>4</v>
      </c>
      <c r="V55" s="53">
        <v>1</v>
      </c>
      <c r="W55" s="65">
        <f t="shared" si="0"/>
        <v>0.5</v>
      </c>
      <c r="X55" s="53" t="s">
        <v>222</v>
      </c>
      <c r="Y55" s="67">
        <v>45923</v>
      </c>
      <c r="Z55" s="67">
        <v>45925</v>
      </c>
      <c r="AA55" s="67">
        <v>45929</v>
      </c>
    </row>
    <row r="56" spans="1:27" ht="115.9" customHeight="1">
      <c r="A56" s="53">
        <v>1051</v>
      </c>
      <c r="B56" s="71" t="s">
        <v>200</v>
      </c>
      <c r="C56" s="45" t="s">
        <v>152</v>
      </c>
      <c r="D56" s="72" t="s">
        <v>365</v>
      </c>
      <c r="E56" s="45">
        <v>0</v>
      </c>
      <c r="F56" s="46">
        <v>29</v>
      </c>
      <c r="G56" s="47" t="s">
        <v>203</v>
      </c>
      <c r="H56" s="47" t="s">
        <v>247</v>
      </c>
      <c r="I56" s="45" t="s">
        <v>205</v>
      </c>
      <c r="L56" s="47" t="s">
        <v>366</v>
      </c>
      <c r="M56" s="100" t="s">
        <v>367</v>
      </c>
      <c r="N56" s="100"/>
      <c r="O56" s="45" t="s">
        <v>207</v>
      </c>
      <c r="P56" s="45" t="s">
        <v>208</v>
      </c>
      <c r="Q56" s="75">
        <f>VLOOKUP(B56,LOV!$B:$C,2,FALSE)</f>
        <v>10</v>
      </c>
      <c r="R56" s="75" t="str">
        <f>VLOOKUP(B56,LOV!$B:$D,3,FALSE)</f>
        <v>AA</v>
      </c>
      <c r="S56" s="75" t="str">
        <f>VLOOKUP($X56,LOV!$F:$L,2,FALSE)</f>
        <v>WK2</v>
      </c>
      <c r="T56" s="88">
        <f>VLOOKUP($X56,LOV!$F:$L,7,FALSE)</f>
        <v>45922</v>
      </c>
      <c r="U56" s="53">
        <v>9</v>
      </c>
      <c r="V56" s="53">
        <v>0</v>
      </c>
      <c r="W56" s="65">
        <f t="shared" si="0"/>
        <v>0</v>
      </c>
      <c r="X56" s="53" t="s">
        <v>209</v>
      </c>
      <c r="Y56" s="67">
        <v>45924</v>
      </c>
      <c r="Z56" s="67">
        <v>45925</v>
      </c>
      <c r="AA56" s="67">
        <v>45929</v>
      </c>
    </row>
    <row r="57" spans="1:27">
      <c r="A57" s="53">
        <v>1052</v>
      </c>
      <c r="B57" s="71" t="s">
        <v>200</v>
      </c>
      <c r="C57" s="45" t="s">
        <v>158</v>
      </c>
      <c r="D57" s="69" t="s">
        <v>159</v>
      </c>
      <c r="E57" s="45">
        <v>1</v>
      </c>
      <c r="F57" s="46">
        <v>30</v>
      </c>
      <c r="G57" s="47" t="s">
        <v>46</v>
      </c>
      <c r="H57" s="47" t="s">
        <v>247</v>
      </c>
      <c r="I57" s="45" t="s">
        <v>205</v>
      </c>
      <c r="K57" s="45" t="s">
        <v>232</v>
      </c>
      <c r="L57" s="58"/>
      <c r="M57" s="47" t="s">
        <v>261</v>
      </c>
      <c r="O57" s="45" t="s">
        <v>207</v>
      </c>
      <c r="P57" s="45" t="s">
        <v>208</v>
      </c>
      <c r="Q57" s="75">
        <f>VLOOKUP(B57,LOV!$B:$C,2,FALSE)</f>
        <v>10</v>
      </c>
      <c r="R57" s="75" t="str">
        <f>VLOOKUP(B57,LOV!$B:$D,3,FALSE)</f>
        <v>AA</v>
      </c>
      <c r="S57" s="75" t="str">
        <f>VLOOKUP($X57,LOV!$F:$L,2,FALSE)</f>
        <v>WK2</v>
      </c>
      <c r="T57" s="88">
        <f>VLOOKUP($X57,LOV!$F:$L,7,FALSE)</f>
        <v>45922</v>
      </c>
      <c r="U57" s="53">
        <v>4</v>
      </c>
      <c r="V57" s="53">
        <v>2</v>
      </c>
      <c r="W57" s="65">
        <f t="shared" si="0"/>
        <v>1</v>
      </c>
      <c r="X57" s="53" t="s">
        <v>222</v>
      </c>
      <c r="Y57" s="67">
        <v>45923</v>
      </c>
      <c r="Z57" s="67">
        <v>45925</v>
      </c>
      <c r="AA57" s="67">
        <v>45929</v>
      </c>
    </row>
    <row r="58" spans="1:27" ht="100.9">
      <c r="A58" s="53">
        <v>1053</v>
      </c>
      <c r="B58" s="71" t="s">
        <v>200</v>
      </c>
      <c r="C58" s="45" t="s">
        <v>160</v>
      </c>
      <c r="D58" s="69" t="s">
        <v>161</v>
      </c>
      <c r="E58" s="45">
        <v>1</v>
      </c>
      <c r="F58" s="46" t="s">
        <v>368</v>
      </c>
      <c r="G58" s="47" t="s">
        <v>369</v>
      </c>
      <c r="H58" s="47" t="s">
        <v>282</v>
      </c>
      <c r="I58" s="45" t="s">
        <v>205</v>
      </c>
      <c r="J58" s="45" t="s">
        <v>248</v>
      </c>
      <c r="K58" s="45" t="s">
        <v>370</v>
      </c>
      <c r="L58" s="47" t="s">
        <v>371</v>
      </c>
      <c r="M58" s="47" t="s">
        <v>372</v>
      </c>
      <c r="O58" s="45" t="s">
        <v>207</v>
      </c>
      <c r="P58" s="45" t="s">
        <v>208</v>
      </c>
      <c r="Q58" s="75">
        <f>VLOOKUP(B58,LOV!$B:$C,2,FALSE)</f>
        <v>10</v>
      </c>
      <c r="R58" s="75" t="str">
        <f>VLOOKUP(B58,LOV!$B:$D,3,FALSE)</f>
        <v>AA</v>
      </c>
      <c r="S58" s="75" t="str">
        <f>VLOOKUP($X58,LOV!$F:$L,2,FALSE)</f>
        <v>WK2</v>
      </c>
      <c r="T58" s="88">
        <f>VLOOKUP($X58,LOV!$F:$L,7,FALSE)</f>
        <v>45922</v>
      </c>
      <c r="U58" s="53">
        <v>4</v>
      </c>
      <c r="V58" s="53">
        <v>2</v>
      </c>
      <c r="W58" s="65">
        <f t="shared" si="0"/>
        <v>1</v>
      </c>
      <c r="X58" s="53" t="s">
        <v>222</v>
      </c>
      <c r="Y58" s="67">
        <v>45924</v>
      </c>
      <c r="Z58" s="67">
        <v>45925</v>
      </c>
      <c r="AA58" s="67">
        <v>45929</v>
      </c>
    </row>
    <row r="59" spans="1:27" ht="28.9">
      <c r="A59" s="53">
        <v>1054</v>
      </c>
      <c r="B59" s="71" t="s">
        <v>373</v>
      </c>
      <c r="C59" s="45" t="s">
        <v>374</v>
      </c>
      <c r="D59" s="69" t="s">
        <v>374</v>
      </c>
      <c r="E59" s="45">
        <v>1</v>
      </c>
      <c r="F59" s="46">
        <v>31</v>
      </c>
      <c r="G59" s="47" t="s">
        <v>375</v>
      </c>
      <c r="I59" s="45" t="s">
        <v>218</v>
      </c>
      <c r="L59" s="47" t="s">
        <v>376</v>
      </c>
      <c r="O59" s="45" t="s">
        <v>377</v>
      </c>
      <c r="P59" s="45" t="s">
        <v>378</v>
      </c>
      <c r="Q59" s="75">
        <f>VLOOKUP(B59,LOV!$B:$C,2,FALSE)</f>
        <v>20</v>
      </c>
      <c r="R59" s="75" t="str">
        <f>VLOOKUP(B59,LOV!$B:$D,3,FALSE)</f>
        <v>DD</v>
      </c>
      <c r="S59" s="75" t="str">
        <f>VLOOKUP($X59,LOV!$F:$L,2,FALSE)</f>
        <v>WK3</v>
      </c>
      <c r="T59" s="88">
        <f>VLOOKUP($X59,LOV!$F:$L,7,FALSE)</f>
        <v>45929</v>
      </c>
      <c r="V59" s="53">
        <v>1</v>
      </c>
      <c r="W59" s="65">
        <f t="shared" si="0"/>
        <v>0.5</v>
      </c>
      <c r="X59" s="53" t="s">
        <v>379</v>
      </c>
    </row>
    <row r="60" spans="1:27" ht="43.15">
      <c r="A60" s="53">
        <v>1055</v>
      </c>
      <c r="B60" s="71" t="s">
        <v>373</v>
      </c>
      <c r="C60" s="45" t="s">
        <v>380</v>
      </c>
      <c r="D60" s="69" t="s">
        <v>381</v>
      </c>
      <c r="E60" s="45">
        <v>1</v>
      </c>
      <c r="F60" s="46" t="s">
        <v>382</v>
      </c>
      <c r="G60" s="47" t="s">
        <v>383</v>
      </c>
      <c r="I60" s="45" t="s">
        <v>218</v>
      </c>
      <c r="O60" s="45" t="s">
        <v>377</v>
      </c>
      <c r="P60" s="45" t="s">
        <v>378</v>
      </c>
      <c r="Q60" s="75">
        <f>VLOOKUP(B60,LOV!$B:$C,2,FALSE)</f>
        <v>20</v>
      </c>
      <c r="R60" s="75" t="str">
        <f>VLOOKUP(B60,LOV!$B:$D,3,FALSE)</f>
        <v>DD</v>
      </c>
      <c r="S60" s="75" t="str">
        <f>VLOOKUP($X60,LOV!$F:$L,2,FALSE)</f>
        <v>WK3</v>
      </c>
      <c r="T60" s="88">
        <f>VLOOKUP($X60,LOV!$F:$L,7,FALSE)</f>
        <v>45929</v>
      </c>
      <c r="V60" s="53">
        <v>1</v>
      </c>
      <c r="W60" s="65">
        <f t="shared" si="0"/>
        <v>0.5</v>
      </c>
      <c r="X60" s="53" t="s">
        <v>379</v>
      </c>
    </row>
    <row r="61" spans="1:27">
      <c r="A61" s="53">
        <v>1056</v>
      </c>
      <c r="B61" s="71" t="s">
        <v>373</v>
      </c>
      <c r="C61" s="45" t="s">
        <v>216</v>
      </c>
      <c r="D61" s="69" t="s">
        <v>248</v>
      </c>
      <c r="E61" s="45">
        <v>1</v>
      </c>
      <c r="F61" s="46" t="s">
        <v>382</v>
      </c>
      <c r="G61" s="47" t="s">
        <v>217</v>
      </c>
      <c r="I61" s="45" t="s">
        <v>218</v>
      </c>
      <c r="O61" s="45" t="s">
        <v>377</v>
      </c>
      <c r="P61" s="45" t="s">
        <v>378</v>
      </c>
      <c r="Q61" s="75">
        <f>VLOOKUP(B61,LOV!$B:$C,2,FALSE)</f>
        <v>20</v>
      </c>
      <c r="R61" s="75" t="str">
        <f>VLOOKUP(B61,LOV!$B:$D,3,FALSE)</f>
        <v>DD</v>
      </c>
      <c r="S61" s="75" t="str">
        <f>VLOOKUP($X61,LOV!$F:$L,2,FALSE)</f>
        <v>WK3</v>
      </c>
      <c r="T61" s="88">
        <f>VLOOKUP($X61,LOV!$F:$L,7,FALSE)</f>
        <v>45929</v>
      </c>
      <c r="V61" s="53">
        <v>1</v>
      </c>
      <c r="W61" s="65">
        <f t="shared" si="0"/>
        <v>0.5</v>
      </c>
      <c r="X61" s="53" t="s">
        <v>379</v>
      </c>
    </row>
    <row r="62" spans="1:27">
      <c r="A62" s="53">
        <v>1057</v>
      </c>
      <c r="B62" s="71" t="s">
        <v>373</v>
      </c>
      <c r="C62" s="45" t="s">
        <v>216</v>
      </c>
      <c r="D62" s="69" t="s">
        <v>384</v>
      </c>
      <c r="E62" s="45">
        <v>1</v>
      </c>
      <c r="F62" s="46" t="s">
        <v>382</v>
      </c>
      <c r="G62" s="47" t="s">
        <v>217</v>
      </c>
      <c r="I62" s="45" t="s">
        <v>218</v>
      </c>
      <c r="O62" s="45" t="s">
        <v>377</v>
      </c>
      <c r="P62" s="45" t="s">
        <v>378</v>
      </c>
      <c r="Q62" s="75">
        <f>VLOOKUP(B62,LOV!$B:$C,2,FALSE)</f>
        <v>20</v>
      </c>
      <c r="R62" s="75" t="str">
        <f>VLOOKUP(B62,LOV!$B:$D,3,FALSE)</f>
        <v>DD</v>
      </c>
      <c r="S62" s="75" t="str">
        <f>VLOOKUP($X62,LOV!$F:$L,2,FALSE)</f>
        <v>WK3</v>
      </c>
      <c r="T62" s="88">
        <f>VLOOKUP($X62,LOV!$F:$L,7,FALSE)</f>
        <v>45929</v>
      </c>
      <c r="V62" s="53">
        <v>1</v>
      </c>
      <c r="W62" s="65">
        <f t="shared" si="0"/>
        <v>0.5</v>
      </c>
      <c r="X62" s="53" t="s">
        <v>379</v>
      </c>
    </row>
    <row r="63" spans="1:27">
      <c r="A63" s="53">
        <v>1058</v>
      </c>
      <c r="B63" s="71" t="s">
        <v>373</v>
      </c>
      <c r="C63" s="45" t="s">
        <v>216</v>
      </c>
      <c r="D63" s="69" t="s">
        <v>385</v>
      </c>
      <c r="E63" s="45">
        <v>1</v>
      </c>
      <c r="F63" s="46" t="s">
        <v>382</v>
      </c>
      <c r="G63" s="47" t="s">
        <v>217</v>
      </c>
      <c r="I63" s="45" t="s">
        <v>218</v>
      </c>
      <c r="O63" s="45" t="s">
        <v>377</v>
      </c>
      <c r="P63" s="45" t="s">
        <v>378</v>
      </c>
      <c r="Q63" s="75">
        <f>VLOOKUP(B63,LOV!$B:$C,2,FALSE)</f>
        <v>20</v>
      </c>
      <c r="R63" s="75" t="str">
        <f>VLOOKUP(B63,LOV!$B:$D,3,FALSE)</f>
        <v>DD</v>
      </c>
      <c r="S63" s="75" t="str">
        <f>VLOOKUP($X63,LOV!$F:$L,2,FALSE)</f>
        <v>WK3</v>
      </c>
      <c r="T63" s="88">
        <f>VLOOKUP($X63,LOV!$F:$L,7,FALSE)</f>
        <v>45929</v>
      </c>
      <c r="V63" s="53">
        <v>1</v>
      </c>
      <c r="W63" s="65">
        <f t="shared" si="0"/>
        <v>0.5</v>
      </c>
      <c r="X63" s="53" t="s">
        <v>379</v>
      </c>
    </row>
    <row r="64" spans="1:27">
      <c r="A64" s="53">
        <v>1059</v>
      </c>
      <c r="B64" s="71" t="s">
        <v>373</v>
      </c>
      <c r="C64" s="45" t="s">
        <v>216</v>
      </c>
      <c r="D64" s="69" t="s">
        <v>386</v>
      </c>
      <c r="E64" s="45">
        <v>1</v>
      </c>
      <c r="F64" s="46" t="s">
        <v>382</v>
      </c>
      <c r="G64" s="47" t="s">
        <v>217</v>
      </c>
      <c r="I64" s="45" t="s">
        <v>218</v>
      </c>
      <c r="O64" s="45" t="s">
        <v>377</v>
      </c>
      <c r="P64" s="45" t="s">
        <v>378</v>
      </c>
      <c r="Q64" s="75">
        <f>VLOOKUP(B64,LOV!$B:$C,2,FALSE)</f>
        <v>20</v>
      </c>
      <c r="R64" s="75" t="str">
        <f>VLOOKUP(B64,LOV!$B:$D,3,FALSE)</f>
        <v>DD</v>
      </c>
      <c r="S64" s="75" t="str">
        <f>VLOOKUP($X64,LOV!$F:$L,2,FALSE)</f>
        <v>WK3</v>
      </c>
      <c r="T64" s="88">
        <f>VLOOKUP($X64,LOV!$F:$L,7,FALSE)</f>
        <v>45929</v>
      </c>
      <c r="V64" s="53">
        <v>1</v>
      </c>
      <c r="W64" s="65">
        <f t="shared" si="0"/>
        <v>0.5</v>
      </c>
      <c r="X64" s="53" t="s">
        <v>379</v>
      </c>
    </row>
    <row r="65" spans="1:25">
      <c r="A65" s="53">
        <v>1060</v>
      </c>
      <c r="B65" s="71" t="s">
        <v>373</v>
      </c>
      <c r="C65" s="45" t="s">
        <v>216</v>
      </c>
      <c r="D65" s="69" t="s">
        <v>387</v>
      </c>
      <c r="E65" s="45">
        <v>1</v>
      </c>
      <c r="F65" s="46" t="s">
        <v>382</v>
      </c>
      <c r="G65" s="47" t="s">
        <v>217</v>
      </c>
      <c r="I65" s="45" t="s">
        <v>218</v>
      </c>
      <c r="O65" s="45" t="s">
        <v>377</v>
      </c>
      <c r="P65" s="45" t="s">
        <v>378</v>
      </c>
      <c r="Q65" s="75">
        <f>VLOOKUP(B65,LOV!$B:$C,2,FALSE)</f>
        <v>20</v>
      </c>
      <c r="R65" s="75" t="str">
        <f>VLOOKUP(B65,LOV!$B:$D,3,FALSE)</f>
        <v>DD</v>
      </c>
      <c r="S65" s="75" t="str">
        <f>VLOOKUP($X65,LOV!$F:$L,2,FALSE)</f>
        <v>WK3</v>
      </c>
      <c r="T65" s="88">
        <f>VLOOKUP($X65,LOV!$F:$L,7,FALSE)</f>
        <v>45929</v>
      </c>
      <c r="V65" s="53">
        <v>1</v>
      </c>
      <c r="W65" s="65">
        <f t="shared" si="0"/>
        <v>0.5</v>
      </c>
      <c r="X65" s="53" t="s">
        <v>379</v>
      </c>
    </row>
    <row r="66" spans="1:25">
      <c r="A66" s="53">
        <v>1061</v>
      </c>
      <c r="B66" s="71" t="s">
        <v>373</v>
      </c>
      <c r="C66" s="45" t="s">
        <v>216</v>
      </c>
      <c r="D66" s="69" t="s">
        <v>388</v>
      </c>
      <c r="E66" s="45">
        <v>1</v>
      </c>
      <c r="F66" s="46" t="s">
        <v>382</v>
      </c>
      <c r="G66" s="47" t="s">
        <v>217</v>
      </c>
      <c r="I66" s="45" t="s">
        <v>218</v>
      </c>
      <c r="O66" s="45" t="s">
        <v>377</v>
      </c>
      <c r="P66" s="45" t="s">
        <v>378</v>
      </c>
      <c r="Q66" s="75">
        <f>VLOOKUP(B66,LOV!$B:$C,2,FALSE)</f>
        <v>20</v>
      </c>
      <c r="R66" s="75" t="str">
        <f>VLOOKUP(B66,LOV!$B:$D,3,FALSE)</f>
        <v>DD</v>
      </c>
      <c r="S66" s="75" t="str">
        <f>VLOOKUP($X66,LOV!$F:$L,2,FALSE)</f>
        <v>WK3</v>
      </c>
      <c r="T66" s="88">
        <f>VLOOKUP($X66,LOV!$F:$L,7,FALSE)</f>
        <v>45929</v>
      </c>
      <c r="V66" s="53">
        <v>1</v>
      </c>
      <c r="W66" s="65">
        <f t="shared" si="0"/>
        <v>0.5</v>
      </c>
      <c r="X66" s="53" t="s">
        <v>379</v>
      </c>
    </row>
    <row r="67" spans="1:25">
      <c r="A67" s="53">
        <v>1062</v>
      </c>
      <c r="B67" s="71" t="s">
        <v>373</v>
      </c>
      <c r="C67" s="45" t="s">
        <v>216</v>
      </c>
      <c r="D67" s="69" t="s">
        <v>389</v>
      </c>
      <c r="E67" s="45">
        <v>1</v>
      </c>
      <c r="F67" s="46" t="s">
        <v>382</v>
      </c>
      <c r="G67" s="47" t="s">
        <v>217</v>
      </c>
      <c r="I67" s="45" t="s">
        <v>218</v>
      </c>
      <c r="O67" s="45" t="s">
        <v>377</v>
      </c>
      <c r="P67" s="45" t="s">
        <v>378</v>
      </c>
      <c r="Q67" s="75">
        <f>VLOOKUP(B67,LOV!$B:$C,2,FALSE)</f>
        <v>20</v>
      </c>
      <c r="R67" s="75" t="str">
        <f>VLOOKUP(B67,LOV!$B:$D,3,FALSE)</f>
        <v>DD</v>
      </c>
      <c r="S67" s="75" t="str">
        <f>VLOOKUP($X67,LOV!$F:$L,2,FALSE)</f>
        <v>WK3</v>
      </c>
      <c r="T67" s="88">
        <f>VLOOKUP($X67,LOV!$F:$L,7,FALSE)</f>
        <v>45929</v>
      </c>
      <c r="V67" s="53">
        <v>1</v>
      </c>
      <c r="W67" s="65">
        <f t="shared" si="0"/>
        <v>0.5</v>
      </c>
      <c r="X67" s="53" t="s">
        <v>379</v>
      </c>
    </row>
    <row r="68" spans="1:25">
      <c r="A68" s="53">
        <v>1063</v>
      </c>
      <c r="B68" s="71" t="s">
        <v>373</v>
      </c>
      <c r="C68" s="45" t="s">
        <v>216</v>
      </c>
      <c r="D68" s="69" t="s">
        <v>390</v>
      </c>
      <c r="E68" s="45">
        <v>1</v>
      </c>
      <c r="F68" s="46" t="s">
        <v>382</v>
      </c>
      <c r="G68" s="47" t="s">
        <v>217</v>
      </c>
      <c r="I68" s="45" t="s">
        <v>218</v>
      </c>
      <c r="O68" s="45" t="s">
        <v>377</v>
      </c>
      <c r="P68" s="45" t="s">
        <v>378</v>
      </c>
      <c r="Q68" s="75">
        <f>VLOOKUP(B68,LOV!$B:$C,2,FALSE)</f>
        <v>20</v>
      </c>
      <c r="R68" s="75" t="str">
        <f>VLOOKUP(B68,LOV!$B:$D,3,FALSE)</f>
        <v>DD</v>
      </c>
      <c r="S68" s="75" t="str">
        <f>VLOOKUP($X68,LOV!$F:$L,2,FALSE)</f>
        <v>WK3</v>
      </c>
      <c r="T68" s="88">
        <f>VLOOKUP($X68,LOV!$F:$L,7,FALSE)</f>
        <v>45929</v>
      </c>
      <c r="V68" s="53">
        <v>1</v>
      </c>
      <c r="W68" s="65">
        <f t="shared" ref="W68:W131" si="1">IF(ISNUMBER(V68),HLOOKUP(V68,$V$1:$AA$2,2,FALSE)*E68,"")</f>
        <v>0.5</v>
      </c>
      <c r="X68" s="53" t="s">
        <v>379</v>
      </c>
    </row>
    <row r="69" spans="1:25">
      <c r="A69" s="53">
        <v>1064</v>
      </c>
      <c r="B69" s="71" t="s">
        <v>373</v>
      </c>
      <c r="C69" s="45" t="s">
        <v>216</v>
      </c>
      <c r="D69" s="69" t="s">
        <v>391</v>
      </c>
      <c r="E69" s="45">
        <v>1</v>
      </c>
      <c r="F69" s="46" t="s">
        <v>382</v>
      </c>
      <c r="G69" s="47" t="s">
        <v>217</v>
      </c>
      <c r="I69" s="45" t="s">
        <v>218</v>
      </c>
      <c r="O69" s="45" t="s">
        <v>377</v>
      </c>
      <c r="P69" s="45" t="s">
        <v>378</v>
      </c>
      <c r="Q69" s="75">
        <f>VLOOKUP(B69,LOV!$B:$C,2,FALSE)</f>
        <v>20</v>
      </c>
      <c r="R69" s="75" t="str">
        <f>VLOOKUP(B69,LOV!$B:$D,3,FALSE)</f>
        <v>DD</v>
      </c>
      <c r="S69" s="75" t="str">
        <f>VLOOKUP($X69,LOV!$F:$L,2,FALSE)</f>
        <v>WK3</v>
      </c>
      <c r="T69" s="88">
        <f>VLOOKUP($X69,LOV!$F:$L,7,FALSE)</f>
        <v>45929</v>
      </c>
      <c r="V69" s="53">
        <v>1</v>
      </c>
      <c r="W69" s="65">
        <f t="shared" si="1"/>
        <v>0.5</v>
      </c>
      <c r="X69" s="53" t="s">
        <v>379</v>
      </c>
    </row>
    <row r="70" spans="1:25">
      <c r="A70" s="53">
        <v>1065</v>
      </c>
      <c r="B70" s="71" t="s">
        <v>373</v>
      </c>
      <c r="C70" s="45" t="s">
        <v>216</v>
      </c>
      <c r="D70" s="69" t="s">
        <v>392</v>
      </c>
      <c r="E70" s="45">
        <v>1</v>
      </c>
      <c r="F70" s="46" t="s">
        <v>382</v>
      </c>
      <c r="G70" s="47" t="s">
        <v>217</v>
      </c>
      <c r="I70" s="45" t="s">
        <v>218</v>
      </c>
      <c r="O70" s="45" t="s">
        <v>377</v>
      </c>
      <c r="P70" s="45" t="s">
        <v>378</v>
      </c>
      <c r="Q70" s="75">
        <f>VLOOKUP(B70,LOV!$B:$C,2,FALSE)</f>
        <v>20</v>
      </c>
      <c r="R70" s="75" t="str">
        <f>VLOOKUP(B70,LOV!$B:$D,3,FALSE)</f>
        <v>DD</v>
      </c>
      <c r="S70" s="75" t="str">
        <f>VLOOKUP($X70,LOV!$F:$L,2,FALSE)</f>
        <v>WK3</v>
      </c>
      <c r="T70" s="88">
        <f>VLOOKUP($X70,LOV!$F:$L,7,FALSE)</f>
        <v>45929</v>
      </c>
      <c r="V70" s="53">
        <v>1</v>
      </c>
      <c r="W70" s="65">
        <f t="shared" si="1"/>
        <v>0.5</v>
      </c>
      <c r="X70" s="53" t="s">
        <v>379</v>
      </c>
    </row>
    <row r="71" spans="1:25">
      <c r="A71" s="53">
        <v>1066</v>
      </c>
      <c r="B71" s="71" t="s">
        <v>373</v>
      </c>
      <c r="C71" s="45" t="s">
        <v>216</v>
      </c>
      <c r="D71" s="69" t="s">
        <v>393</v>
      </c>
      <c r="E71" s="45">
        <v>1</v>
      </c>
      <c r="F71" s="46" t="s">
        <v>382</v>
      </c>
      <c r="G71" s="47" t="s">
        <v>217</v>
      </c>
      <c r="I71" s="45" t="s">
        <v>218</v>
      </c>
      <c r="O71" s="45" t="s">
        <v>377</v>
      </c>
      <c r="P71" s="45" t="s">
        <v>378</v>
      </c>
      <c r="Q71" s="75">
        <f>VLOOKUP(B71,LOV!$B:$C,2,FALSE)</f>
        <v>20</v>
      </c>
      <c r="R71" s="75" t="str">
        <f>VLOOKUP(B71,LOV!$B:$D,3,FALSE)</f>
        <v>DD</v>
      </c>
      <c r="S71" s="75" t="str">
        <f>VLOOKUP($X71,LOV!$F:$L,2,FALSE)</f>
        <v>WK3</v>
      </c>
      <c r="T71" s="88">
        <f>VLOOKUP($X71,LOV!$F:$L,7,FALSE)</f>
        <v>45929</v>
      </c>
      <c r="V71" s="53">
        <v>1</v>
      </c>
      <c r="W71" s="65">
        <f t="shared" si="1"/>
        <v>0.5</v>
      </c>
      <c r="X71" s="53" t="s">
        <v>379</v>
      </c>
    </row>
    <row r="72" spans="1:25" ht="28.9">
      <c r="A72" s="53">
        <v>1067</v>
      </c>
      <c r="B72" s="71" t="s">
        <v>373</v>
      </c>
      <c r="C72" s="45" t="s">
        <v>10</v>
      </c>
      <c r="D72" s="69" t="s">
        <v>394</v>
      </c>
      <c r="E72" s="45">
        <v>1</v>
      </c>
      <c r="F72" s="46">
        <v>33</v>
      </c>
      <c r="G72" s="47" t="s">
        <v>242</v>
      </c>
      <c r="I72" s="45" t="s">
        <v>218</v>
      </c>
      <c r="L72" s="47" t="s">
        <v>395</v>
      </c>
      <c r="M72" s="68" t="s">
        <v>396</v>
      </c>
      <c r="N72" s="68"/>
      <c r="O72" s="45" t="s">
        <v>397</v>
      </c>
      <c r="P72" s="45" t="s">
        <v>378</v>
      </c>
      <c r="Q72" s="75">
        <f>VLOOKUP(B72,LOV!$B:$C,2,FALSE)</f>
        <v>20</v>
      </c>
      <c r="R72" s="75" t="str">
        <f>VLOOKUP(B72,LOV!$B:$D,3,FALSE)</f>
        <v>DD</v>
      </c>
      <c r="S72" s="75" t="str">
        <f>VLOOKUP($X72,LOV!$F:$L,2,FALSE)</f>
        <v>WK3</v>
      </c>
      <c r="T72" s="88">
        <f>VLOOKUP($X72,LOV!$F:$L,7,FALSE)</f>
        <v>45929</v>
      </c>
      <c r="V72" s="53">
        <v>2</v>
      </c>
      <c r="W72" s="65">
        <f t="shared" si="1"/>
        <v>1</v>
      </c>
      <c r="X72" s="53" t="s">
        <v>379</v>
      </c>
      <c r="Y72" s="67">
        <v>45924</v>
      </c>
    </row>
    <row r="73" spans="1:25">
      <c r="A73" s="53">
        <v>1068</v>
      </c>
      <c r="B73" s="71" t="s">
        <v>373</v>
      </c>
      <c r="C73" s="45" t="s">
        <v>398</v>
      </c>
      <c r="D73" s="69" t="s">
        <v>399</v>
      </c>
      <c r="E73" s="45">
        <v>1</v>
      </c>
      <c r="F73" s="46">
        <v>36</v>
      </c>
      <c r="G73" s="47" t="s">
        <v>46</v>
      </c>
      <c r="I73" s="45" t="s">
        <v>218</v>
      </c>
      <c r="O73" s="45" t="s">
        <v>377</v>
      </c>
      <c r="P73" s="45" t="s">
        <v>378</v>
      </c>
      <c r="Q73" s="75">
        <f>VLOOKUP(B73,LOV!$B:$C,2,FALSE)</f>
        <v>20</v>
      </c>
      <c r="R73" s="75" t="str">
        <f>VLOOKUP(B73,LOV!$B:$D,3,FALSE)</f>
        <v>DD</v>
      </c>
      <c r="S73" s="75" t="str">
        <f>VLOOKUP($X73,LOV!$F:$L,2,FALSE)</f>
        <v>WK3</v>
      </c>
      <c r="T73" s="88">
        <f>VLOOKUP($X73,LOV!$F:$L,7,FALSE)</f>
        <v>45929</v>
      </c>
      <c r="V73" s="53">
        <v>1</v>
      </c>
      <c r="W73" s="65">
        <f t="shared" si="1"/>
        <v>0.5</v>
      </c>
      <c r="X73" s="53" t="s">
        <v>379</v>
      </c>
    </row>
    <row r="74" spans="1:25">
      <c r="A74" s="53">
        <v>1069</v>
      </c>
      <c r="B74" s="71" t="s">
        <v>400</v>
      </c>
      <c r="C74" s="45" t="s">
        <v>401</v>
      </c>
      <c r="D74" s="69" t="s">
        <v>402</v>
      </c>
      <c r="E74" s="45">
        <v>1</v>
      </c>
      <c r="F74" s="46" t="s">
        <v>403</v>
      </c>
      <c r="G74" s="47" t="s">
        <v>404</v>
      </c>
      <c r="I74" s="45" t="s">
        <v>218</v>
      </c>
      <c r="L74" s="47" t="s">
        <v>405</v>
      </c>
      <c r="O74" s="45" t="s">
        <v>377</v>
      </c>
      <c r="P74" s="45" t="s">
        <v>406</v>
      </c>
      <c r="Q74" s="75">
        <f>VLOOKUP(B74,LOV!$B:$C,2,FALSE)</f>
        <v>30</v>
      </c>
      <c r="R74" s="75" t="str">
        <f>VLOOKUP(B74,LOV!$B:$D,3,FALSE)</f>
        <v>II</v>
      </c>
      <c r="S74" s="75" t="str">
        <f>VLOOKUP($X74,LOV!$F:$L,2,FALSE)</f>
        <v>WK5</v>
      </c>
      <c r="T74" s="88">
        <f>VLOOKUP($X74,LOV!$F:$L,7,FALSE)</f>
        <v>45943</v>
      </c>
      <c r="V74" s="53">
        <v>1</v>
      </c>
      <c r="W74" s="65">
        <f t="shared" si="1"/>
        <v>0.5</v>
      </c>
      <c r="X74" s="53" t="s">
        <v>407</v>
      </c>
    </row>
    <row r="75" spans="1:25">
      <c r="A75" s="53">
        <v>1070</v>
      </c>
      <c r="B75" s="71" t="s">
        <v>408</v>
      </c>
      <c r="C75" s="45" t="s">
        <v>409</v>
      </c>
      <c r="D75" s="69" t="s">
        <v>409</v>
      </c>
      <c r="E75" s="45">
        <v>1</v>
      </c>
      <c r="F75" s="46" t="s">
        <v>410</v>
      </c>
      <c r="G75" s="47" t="s">
        <v>46</v>
      </c>
      <c r="I75" s="45" t="s">
        <v>248</v>
      </c>
      <c r="L75" s="47" t="s">
        <v>411</v>
      </c>
      <c r="M75" s="47" t="s">
        <v>261</v>
      </c>
      <c r="O75" s="45" t="s">
        <v>412</v>
      </c>
      <c r="P75" s="45" t="s">
        <v>413</v>
      </c>
      <c r="Q75" s="75">
        <f>VLOOKUP(B75,LOV!$B:$C,2,FALSE)</f>
        <v>40</v>
      </c>
      <c r="R75" s="75" t="str">
        <f>VLOOKUP(B75,LOV!$B:$D,3,FALSE)</f>
        <v>GG</v>
      </c>
      <c r="S75" s="75" t="str">
        <f>VLOOKUP($X75,LOV!$F:$L,2,FALSE)</f>
        <v>WK5</v>
      </c>
      <c r="T75" s="88">
        <f>VLOOKUP($X75,LOV!$F:$L,7,FALSE)</f>
        <v>45943</v>
      </c>
      <c r="V75" s="53">
        <v>1</v>
      </c>
      <c r="W75" s="65">
        <f t="shared" si="1"/>
        <v>0.5</v>
      </c>
      <c r="X75" s="53" t="s">
        <v>407</v>
      </c>
      <c r="Y75" s="67">
        <v>45919</v>
      </c>
    </row>
    <row r="76" spans="1:25">
      <c r="A76" s="53">
        <v>1072</v>
      </c>
      <c r="B76" s="71" t="s">
        <v>408</v>
      </c>
      <c r="C76" s="45" t="s">
        <v>414</v>
      </c>
      <c r="D76" s="72" t="s">
        <v>415</v>
      </c>
      <c r="E76" s="45">
        <v>1</v>
      </c>
      <c r="F76" s="46" t="s">
        <v>416</v>
      </c>
      <c r="G76" s="47" t="s">
        <v>46</v>
      </c>
      <c r="I76" s="45" t="s">
        <v>248</v>
      </c>
      <c r="L76" s="47" t="s">
        <v>417</v>
      </c>
      <c r="O76" s="45" t="s">
        <v>377</v>
      </c>
      <c r="P76" s="45" t="s">
        <v>406</v>
      </c>
      <c r="Q76" s="75">
        <f>VLOOKUP(B76,LOV!$B:$C,2,FALSE)</f>
        <v>40</v>
      </c>
      <c r="R76" s="75" t="str">
        <f>VLOOKUP(B76,LOV!$B:$D,3,FALSE)</f>
        <v>GG</v>
      </c>
      <c r="S76" s="75" t="str">
        <f>VLOOKUP($X76,LOV!$F:$L,2,FALSE)</f>
        <v>WK5</v>
      </c>
      <c r="T76" s="88">
        <f>VLOOKUP($X76,LOV!$F:$L,7,FALSE)</f>
        <v>45943</v>
      </c>
      <c r="V76" s="53">
        <v>1</v>
      </c>
      <c r="W76" s="65">
        <f t="shared" si="1"/>
        <v>0.5</v>
      </c>
      <c r="X76" s="53" t="s">
        <v>407</v>
      </c>
    </row>
    <row r="77" spans="1:25">
      <c r="A77" s="53">
        <v>1073</v>
      </c>
      <c r="B77" s="71" t="s">
        <v>408</v>
      </c>
      <c r="C77" s="45" t="s">
        <v>414</v>
      </c>
      <c r="D77" s="72" t="s">
        <v>418</v>
      </c>
      <c r="E77" s="45">
        <v>1</v>
      </c>
      <c r="F77" s="46" t="s">
        <v>416</v>
      </c>
      <c r="G77" s="47" t="s">
        <v>46</v>
      </c>
      <c r="I77" s="45" t="s">
        <v>248</v>
      </c>
      <c r="L77" s="47" t="s">
        <v>417</v>
      </c>
      <c r="O77" s="45" t="s">
        <v>377</v>
      </c>
      <c r="P77" s="45" t="s">
        <v>406</v>
      </c>
      <c r="Q77" s="75">
        <f>VLOOKUP(B77,LOV!$B:$C,2,FALSE)</f>
        <v>40</v>
      </c>
      <c r="R77" s="75" t="str">
        <f>VLOOKUP(B77,LOV!$B:$D,3,FALSE)</f>
        <v>GG</v>
      </c>
      <c r="S77" s="75" t="str">
        <f>VLOOKUP($X77,LOV!$F:$L,2,FALSE)</f>
        <v>WK5</v>
      </c>
      <c r="T77" s="88">
        <f>VLOOKUP($X77,LOV!$F:$L,7,FALSE)</f>
        <v>45943</v>
      </c>
      <c r="V77" s="53">
        <v>1</v>
      </c>
      <c r="W77" s="65">
        <f t="shared" si="1"/>
        <v>0.5</v>
      </c>
      <c r="X77" s="53" t="s">
        <v>407</v>
      </c>
    </row>
    <row r="78" spans="1:25">
      <c r="A78" s="53">
        <v>1074</v>
      </c>
      <c r="B78" s="71" t="s">
        <v>408</v>
      </c>
      <c r="C78" s="45" t="s">
        <v>414</v>
      </c>
      <c r="D78" s="72" t="s">
        <v>419</v>
      </c>
      <c r="E78" s="45">
        <v>0</v>
      </c>
      <c r="F78" s="46" t="s">
        <v>420</v>
      </c>
      <c r="G78" s="47" t="s">
        <v>203</v>
      </c>
      <c r="I78" s="45" t="s">
        <v>248</v>
      </c>
      <c r="L78" s="47" t="s">
        <v>421</v>
      </c>
      <c r="O78" s="45" t="s">
        <v>377</v>
      </c>
      <c r="P78" s="45" t="s">
        <v>406</v>
      </c>
      <c r="Q78" s="75">
        <f>VLOOKUP(B78,LOV!$B:$C,2,FALSE)</f>
        <v>40</v>
      </c>
      <c r="R78" s="75" t="str">
        <f>VLOOKUP(B78,LOV!$B:$D,3,FALSE)</f>
        <v>GG</v>
      </c>
      <c r="S78" s="75" t="str">
        <f>VLOOKUP($X78,LOV!$F:$L,2,FALSE)</f>
        <v>WK5</v>
      </c>
      <c r="T78" s="88">
        <f>VLOOKUP($X78,LOV!$F:$L,7,FALSE)</f>
        <v>45943</v>
      </c>
      <c r="V78" s="53">
        <v>0</v>
      </c>
      <c r="W78" s="65">
        <f t="shared" si="1"/>
        <v>0</v>
      </c>
      <c r="X78" s="53" t="s">
        <v>407</v>
      </c>
    </row>
    <row r="79" spans="1:25">
      <c r="A79" s="53">
        <v>1075</v>
      </c>
      <c r="B79" s="71" t="s">
        <v>408</v>
      </c>
      <c r="C79" s="45" t="s">
        <v>414</v>
      </c>
      <c r="D79" s="72" t="s">
        <v>422</v>
      </c>
      <c r="E79" s="45">
        <v>0</v>
      </c>
      <c r="F79" s="46" t="s">
        <v>416</v>
      </c>
      <c r="G79" s="47" t="s">
        <v>203</v>
      </c>
      <c r="I79" s="45" t="s">
        <v>248</v>
      </c>
      <c r="O79" s="45" t="s">
        <v>377</v>
      </c>
      <c r="P79" s="45" t="s">
        <v>406</v>
      </c>
      <c r="Q79" s="75">
        <f>VLOOKUP(B79,LOV!$B:$C,2,FALSE)</f>
        <v>40</v>
      </c>
      <c r="R79" s="75" t="str">
        <f>VLOOKUP(B79,LOV!$B:$D,3,FALSE)</f>
        <v>GG</v>
      </c>
      <c r="S79" s="75" t="str">
        <f>VLOOKUP($X79,LOV!$F:$L,2,FALSE)</f>
        <v>WK5</v>
      </c>
      <c r="T79" s="88">
        <f>VLOOKUP($X79,LOV!$F:$L,7,FALSE)</f>
        <v>45943</v>
      </c>
      <c r="V79" s="53">
        <v>0</v>
      </c>
      <c r="W79" s="65">
        <f t="shared" si="1"/>
        <v>0</v>
      </c>
      <c r="X79" s="53" t="s">
        <v>407</v>
      </c>
    </row>
    <row r="80" spans="1:25">
      <c r="A80" s="53">
        <v>1076</v>
      </c>
      <c r="B80" s="71" t="s">
        <v>408</v>
      </c>
      <c r="C80" s="45" t="s">
        <v>414</v>
      </c>
      <c r="D80" s="72" t="s">
        <v>423</v>
      </c>
      <c r="E80" s="45">
        <v>0</v>
      </c>
      <c r="F80" s="46" t="s">
        <v>416</v>
      </c>
      <c r="G80" s="47" t="s">
        <v>203</v>
      </c>
      <c r="I80" s="45" t="s">
        <v>248</v>
      </c>
      <c r="O80" s="45" t="s">
        <v>377</v>
      </c>
      <c r="P80" s="45" t="s">
        <v>406</v>
      </c>
      <c r="Q80" s="75">
        <f>VLOOKUP(B80,LOV!$B:$C,2,FALSE)</f>
        <v>40</v>
      </c>
      <c r="R80" s="75" t="str">
        <f>VLOOKUP(B80,LOV!$B:$D,3,FALSE)</f>
        <v>GG</v>
      </c>
      <c r="S80" s="75" t="str">
        <f>VLOOKUP($X80,LOV!$F:$L,2,FALSE)</f>
        <v>WK5</v>
      </c>
      <c r="T80" s="88">
        <f>VLOOKUP($X80,LOV!$F:$L,7,FALSE)</f>
        <v>45943</v>
      </c>
      <c r="V80" s="53">
        <v>0</v>
      </c>
      <c r="W80" s="65">
        <f t="shared" si="1"/>
        <v>0</v>
      </c>
      <c r="X80" s="53" t="s">
        <v>407</v>
      </c>
    </row>
    <row r="81" spans="1:27">
      <c r="A81" s="53">
        <v>1077</v>
      </c>
      <c r="B81" s="71" t="s">
        <v>408</v>
      </c>
      <c r="C81" s="45" t="s">
        <v>414</v>
      </c>
      <c r="D81" s="72" t="s">
        <v>424</v>
      </c>
      <c r="E81" s="45">
        <v>1</v>
      </c>
      <c r="F81" s="46" t="s">
        <v>416</v>
      </c>
      <c r="G81" s="47" t="s">
        <v>46</v>
      </c>
      <c r="I81" s="45" t="s">
        <v>248</v>
      </c>
      <c r="L81" s="47" t="s">
        <v>417</v>
      </c>
      <c r="O81" s="45" t="s">
        <v>377</v>
      </c>
      <c r="P81" s="45" t="s">
        <v>406</v>
      </c>
      <c r="Q81" s="75">
        <f>VLOOKUP(B81,LOV!$B:$C,2,FALSE)</f>
        <v>40</v>
      </c>
      <c r="R81" s="75" t="str">
        <f>VLOOKUP(B81,LOV!$B:$D,3,FALSE)</f>
        <v>GG</v>
      </c>
      <c r="S81" s="75" t="str">
        <f>VLOOKUP($X81,LOV!$F:$L,2,FALSE)</f>
        <v>WK5</v>
      </c>
      <c r="T81" s="88">
        <f>VLOOKUP($X81,LOV!$F:$L,7,FALSE)</f>
        <v>45943</v>
      </c>
      <c r="V81" s="53">
        <v>1</v>
      </c>
      <c r="W81" s="65">
        <f t="shared" si="1"/>
        <v>0.5</v>
      </c>
      <c r="X81" s="53" t="s">
        <v>407</v>
      </c>
    </row>
    <row r="82" spans="1:27">
      <c r="A82" s="53">
        <v>1078</v>
      </c>
      <c r="B82" s="71" t="s">
        <v>408</v>
      </c>
      <c r="C82" s="45" t="s">
        <v>414</v>
      </c>
      <c r="D82" s="72" t="s">
        <v>425</v>
      </c>
      <c r="E82" s="45">
        <v>0</v>
      </c>
      <c r="F82" s="46" t="s">
        <v>416</v>
      </c>
      <c r="G82" s="47" t="s">
        <v>203</v>
      </c>
      <c r="I82" s="45" t="s">
        <v>248</v>
      </c>
      <c r="O82" s="45" t="s">
        <v>377</v>
      </c>
      <c r="P82" s="45" t="s">
        <v>406</v>
      </c>
      <c r="Q82" s="75">
        <f>VLOOKUP(B82,LOV!$B:$C,2,FALSE)</f>
        <v>40</v>
      </c>
      <c r="R82" s="75" t="str">
        <f>VLOOKUP(B82,LOV!$B:$D,3,FALSE)</f>
        <v>GG</v>
      </c>
      <c r="S82" s="75" t="str">
        <f>VLOOKUP($X82,LOV!$F:$L,2,FALSE)</f>
        <v>WK5</v>
      </c>
      <c r="T82" s="88">
        <f>VLOOKUP($X82,LOV!$F:$L,7,FALSE)</f>
        <v>45943</v>
      </c>
      <c r="V82" s="53">
        <v>0</v>
      </c>
      <c r="W82" s="65">
        <f t="shared" si="1"/>
        <v>0</v>
      </c>
      <c r="X82" s="53" t="s">
        <v>407</v>
      </c>
    </row>
    <row r="83" spans="1:27">
      <c r="A83" s="53">
        <v>1079</v>
      </c>
      <c r="B83" s="71" t="s">
        <v>408</v>
      </c>
      <c r="C83" s="45" t="s">
        <v>414</v>
      </c>
      <c r="D83" s="72" t="s">
        <v>426</v>
      </c>
      <c r="E83" s="45">
        <v>0</v>
      </c>
      <c r="F83" s="46" t="s">
        <v>416</v>
      </c>
      <c r="G83" s="47" t="s">
        <v>203</v>
      </c>
      <c r="I83" s="45" t="s">
        <v>248</v>
      </c>
      <c r="O83" s="45" t="s">
        <v>377</v>
      </c>
      <c r="P83" s="45" t="s">
        <v>406</v>
      </c>
      <c r="Q83" s="75">
        <f>VLOOKUP(B83,LOV!$B:$C,2,FALSE)</f>
        <v>40</v>
      </c>
      <c r="R83" s="75" t="str">
        <f>VLOOKUP(B83,LOV!$B:$D,3,FALSE)</f>
        <v>GG</v>
      </c>
      <c r="S83" s="75" t="str">
        <f>VLOOKUP($X83,LOV!$F:$L,2,FALSE)</f>
        <v>WK5</v>
      </c>
      <c r="T83" s="88">
        <f>VLOOKUP($X83,LOV!$F:$L,7,FALSE)</f>
        <v>45943</v>
      </c>
      <c r="V83" s="53">
        <v>0</v>
      </c>
      <c r="W83" s="65">
        <f t="shared" si="1"/>
        <v>0</v>
      </c>
      <c r="X83" s="53" t="s">
        <v>407</v>
      </c>
    </row>
    <row r="84" spans="1:27">
      <c r="A84" s="53">
        <v>1080</v>
      </c>
      <c r="B84" s="71" t="s">
        <v>408</v>
      </c>
      <c r="C84" s="45" t="s">
        <v>414</v>
      </c>
      <c r="D84" s="72" t="s">
        <v>427</v>
      </c>
      <c r="E84" s="45">
        <v>0</v>
      </c>
      <c r="F84" s="46" t="s">
        <v>416</v>
      </c>
      <c r="G84" s="47" t="s">
        <v>203</v>
      </c>
      <c r="I84" s="45" t="s">
        <v>248</v>
      </c>
      <c r="O84" s="45" t="s">
        <v>377</v>
      </c>
      <c r="P84" s="45" t="s">
        <v>406</v>
      </c>
      <c r="Q84" s="75">
        <f>VLOOKUP(B84,LOV!$B:$C,2,FALSE)</f>
        <v>40</v>
      </c>
      <c r="R84" s="75" t="str">
        <f>VLOOKUP(B84,LOV!$B:$D,3,FALSE)</f>
        <v>GG</v>
      </c>
      <c r="S84" s="75" t="str">
        <f>VLOOKUP($X84,LOV!$F:$L,2,FALSE)</f>
        <v>WK5</v>
      </c>
      <c r="T84" s="88">
        <f>VLOOKUP($X84,LOV!$F:$L,7,FALSE)</f>
        <v>45943</v>
      </c>
      <c r="V84" s="53">
        <v>0</v>
      </c>
      <c r="W84" s="65">
        <f t="shared" si="1"/>
        <v>0</v>
      </c>
      <c r="X84" s="53" t="s">
        <v>407</v>
      </c>
    </row>
    <row r="85" spans="1:27">
      <c r="A85" s="53">
        <v>1081</v>
      </c>
      <c r="B85" s="71" t="s">
        <v>408</v>
      </c>
      <c r="C85" s="45" t="s">
        <v>414</v>
      </c>
      <c r="D85" s="69" t="s">
        <v>428</v>
      </c>
      <c r="E85" s="45">
        <v>1</v>
      </c>
      <c r="F85" s="46" t="s">
        <v>368</v>
      </c>
      <c r="G85" s="47" t="s">
        <v>46</v>
      </c>
      <c r="I85" s="45" t="s">
        <v>248</v>
      </c>
      <c r="L85" s="47" t="s">
        <v>371</v>
      </c>
      <c r="O85" s="45" t="s">
        <v>412</v>
      </c>
      <c r="P85" s="45" t="s">
        <v>406</v>
      </c>
      <c r="Q85" s="75">
        <f>VLOOKUP(B85,LOV!$B:$C,2,FALSE)</f>
        <v>40</v>
      </c>
      <c r="R85" s="75" t="str">
        <f>VLOOKUP(B85,LOV!$B:$D,3,FALSE)</f>
        <v>GG</v>
      </c>
      <c r="S85" s="75" t="str">
        <f>VLOOKUP($X85,LOV!$F:$L,2,FALSE)</f>
        <v>WK5</v>
      </c>
      <c r="T85" s="88">
        <f>VLOOKUP($X85,LOV!$F:$L,7,FALSE)</f>
        <v>45943</v>
      </c>
      <c r="V85" s="53">
        <v>1</v>
      </c>
      <c r="W85" s="65">
        <f t="shared" si="1"/>
        <v>0.5</v>
      </c>
      <c r="X85" s="53" t="s">
        <v>407</v>
      </c>
    </row>
    <row r="86" spans="1:27">
      <c r="A86" s="53">
        <v>1082</v>
      </c>
      <c r="B86" s="71" t="s">
        <v>408</v>
      </c>
      <c r="C86" s="45" t="s">
        <v>398</v>
      </c>
      <c r="D86" s="69" t="s">
        <v>429</v>
      </c>
      <c r="E86" s="45">
        <v>1</v>
      </c>
      <c r="F86" s="46">
        <v>47</v>
      </c>
      <c r="G86" s="47" t="s">
        <v>46</v>
      </c>
      <c r="I86" s="45" t="s">
        <v>248</v>
      </c>
      <c r="O86" s="45" t="s">
        <v>377</v>
      </c>
      <c r="P86" s="45" t="s">
        <v>406</v>
      </c>
      <c r="Q86" s="75">
        <f>VLOOKUP(B86,LOV!$B:$C,2,FALSE)</f>
        <v>40</v>
      </c>
      <c r="R86" s="75" t="str">
        <f>VLOOKUP(B86,LOV!$B:$D,3,FALSE)</f>
        <v>GG</v>
      </c>
      <c r="S86" s="75" t="str">
        <f>VLOOKUP($X86,LOV!$F:$L,2,FALSE)</f>
        <v>WK5</v>
      </c>
      <c r="T86" s="88">
        <f>VLOOKUP($X86,LOV!$F:$L,7,FALSE)</f>
        <v>45943</v>
      </c>
      <c r="V86" s="53">
        <v>1</v>
      </c>
      <c r="W86" s="65">
        <f t="shared" si="1"/>
        <v>0.5</v>
      </c>
      <c r="X86" s="53" t="s">
        <v>407</v>
      </c>
    </row>
    <row r="87" spans="1:27" ht="28.9">
      <c r="A87" s="53">
        <v>1083</v>
      </c>
      <c r="B87" s="71" t="s">
        <v>430</v>
      </c>
      <c r="C87" s="45" t="s">
        <v>431</v>
      </c>
      <c r="D87" s="69" t="s">
        <v>432</v>
      </c>
      <c r="E87" s="45">
        <v>0</v>
      </c>
      <c r="F87" s="46">
        <v>51</v>
      </c>
      <c r="G87" s="47" t="s">
        <v>433</v>
      </c>
      <c r="H87" s="47" t="s">
        <v>204</v>
      </c>
      <c r="I87" s="45" t="s">
        <v>218</v>
      </c>
      <c r="L87" s="47" t="s">
        <v>434</v>
      </c>
      <c r="M87" s="102" t="s">
        <v>435</v>
      </c>
      <c r="N87" s="102"/>
      <c r="O87" s="45" t="s">
        <v>207</v>
      </c>
      <c r="P87" s="45" t="s">
        <v>208</v>
      </c>
      <c r="Q87" s="75">
        <f>VLOOKUP(B87,LOV!$B:$C,2,FALSE)</f>
        <v>50</v>
      </c>
      <c r="R87" s="75" t="str">
        <f>VLOOKUP(B87,LOV!$B:$D,3,FALSE)</f>
        <v>BB</v>
      </c>
      <c r="S87" s="75" t="str">
        <f>VLOOKUP($X87,LOV!$F:$L,2,FALSE)</f>
        <v>WK2</v>
      </c>
      <c r="T87" s="88">
        <f>VLOOKUP($X87,LOV!$F:$L,7,FALSE)</f>
        <v>45922</v>
      </c>
      <c r="V87" s="53">
        <v>0</v>
      </c>
      <c r="W87" s="65">
        <f t="shared" si="1"/>
        <v>0</v>
      </c>
      <c r="X87" s="53" t="s">
        <v>209</v>
      </c>
      <c r="Y87" s="67">
        <v>45924</v>
      </c>
      <c r="Z87" s="67">
        <v>45929</v>
      </c>
      <c r="AA87" s="67">
        <v>45929</v>
      </c>
    </row>
    <row r="88" spans="1:27" ht="43.15">
      <c r="A88" s="53">
        <v>1084</v>
      </c>
      <c r="B88" s="71" t="s">
        <v>430</v>
      </c>
      <c r="C88" s="45" t="s">
        <v>431</v>
      </c>
      <c r="D88" s="72" t="s">
        <v>436</v>
      </c>
      <c r="E88" s="45">
        <v>1</v>
      </c>
      <c r="F88" s="46" t="s">
        <v>437</v>
      </c>
      <c r="G88" s="47" t="s">
        <v>438</v>
      </c>
      <c r="H88" s="47" t="s">
        <v>204</v>
      </c>
      <c r="I88" s="45" t="s">
        <v>218</v>
      </c>
      <c r="J88" s="45" t="s">
        <v>205</v>
      </c>
      <c r="M88" s="47" t="s">
        <v>439</v>
      </c>
      <c r="O88" s="45" t="s">
        <v>207</v>
      </c>
      <c r="P88" s="45" t="s">
        <v>208</v>
      </c>
      <c r="Q88" s="75">
        <f>VLOOKUP(B88,LOV!$B:$C,2,FALSE)</f>
        <v>50</v>
      </c>
      <c r="R88" s="75" t="str">
        <f>VLOOKUP(B88,LOV!$B:$D,3,FALSE)</f>
        <v>BB</v>
      </c>
      <c r="S88" s="75" t="str">
        <f>VLOOKUP($X88,LOV!$F:$L,2,FALSE)</f>
        <v>WK2</v>
      </c>
      <c r="T88" s="88">
        <f>VLOOKUP($X88,LOV!$F:$L,7,FALSE)</f>
        <v>45922</v>
      </c>
      <c r="U88" s="53">
        <v>5</v>
      </c>
      <c r="V88" s="53">
        <v>2</v>
      </c>
      <c r="W88" s="65">
        <f t="shared" si="1"/>
        <v>1</v>
      </c>
      <c r="X88" s="53" t="s">
        <v>209</v>
      </c>
      <c r="Y88" s="67">
        <v>45924</v>
      </c>
      <c r="Z88" s="67">
        <v>45926</v>
      </c>
      <c r="AA88" s="67">
        <v>45929</v>
      </c>
    </row>
    <row r="89" spans="1:27" ht="72">
      <c r="A89" s="53">
        <v>1085</v>
      </c>
      <c r="B89" s="71" t="s">
        <v>430</v>
      </c>
      <c r="C89" s="45" t="s">
        <v>431</v>
      </c>
      <c r="D89" s="72" t="s">
        <v>440</v>
      </c>
      <c r="E89" s="45">
        <v>1</v>
      </c>
      <c r="F89" s="46" t="s">
        <v>441</v>
      </c>
      <c r="G89" s="102" t="s">
        <v>442</v>
      </c>
      <c r="H89" s="47" t="s">
        <v>204</v>
      </c>
      <c r="I89" s="45" t="s">
        <v>218</v>
      </c>
      <c r="J89" s="45" t="s">
        <v>443</v>
      </c>
      <c r="L89" s="102" t="s">
        <v>444</v>
      </c>
      <c r="M89" s="47" t="s">
        <v>445</v>
      </c>
      <c r="O89" s="45" t="s">
        <v>207</v>
      </c>
      <c r="P89" s="45" t="s">
        <v>208</v>
      </c>
      <c r="Q89" s="75">
        <f>VLOOKUP(B89,LOV!$B:$C,2,FALSE)</f>
        <v>50</v>
      </c>
      <c r="R89" s="75" t="str">
        <f>VLOOKUP(B89,LOV!$B:$D,3,FALSE)</f>
        <v>BB</v>
      </c>
      <c r="S89" s="75" t="str">
        <f>VLOOKUP($X89,LOV!$F:$L,2,FALSE)</f>
        <v>WK2</v>
      </c>
      <c r="T89" s="88">
        <f>VLOOKUP($X89,LOV!$F:$L,7,FALSE)</f>
        <v>45922</v>
      </c>
      <c r="U89" s="53">
        <v>5</v>
      </c>
      <c r="V89" s="53">
        <v>2</v>
      </c>
      <c r="W89" s="65">
        <f t="shared" si="1"/>
        <v>1</v>
      </c>
      <c r="X89" s="53" t="s">
        <v>209</v>
      </c>
      <c r="Y89" s="67">
        <v>45924</v>
      </c>
      <c r="Z89" s="67">
        <v>45926</v>
      </c>
      <c r="AA89" s="67">
        <v>45929</v>
      </c>
    </row>
    <row r="90" spans="1:27" ht="28.9">
      <c r="A90" s="53">
        <v>1086</v>
      </c>
      <c r="B90" s="71" t="s">
        <v>430</v>
      </c>
      <c r="C90" s="45" t="s">
        <v>431</v>
      </c>
      <c r="D90" s="72" t="s">
        <v>446</v>
      </c>
      <c r="E90" s="45">
        <v>1</v>
      </c>
      <c r="F90" s="46" t="s">
        <v>447</v>
      </c>
      <c r="G90" s="47" t="s">
        <v>46</v>
      </c>
      <c r="H90" s="47" t="s">
        <v>204</v>
      </c>
      <c r="I90" s="45" t="s">
        <v>218</v>
      </c>
      <c r="J90" s="45" t="s">
        <v>390</v>
      </c>
      <c r="M90" s="47" t="s">
        <v>448</v>
      </c>
      <c r="O90" s="45" t="s">
        <v>207</v>
      </c>
      <c r="P90" s="45" t="s">
        <v>208</v>
      </c>
      <c r="Q90" s="75">
        <f>VLOOKUP(B90,LOV!$B:$C,2,FALSE)</f>
        <v>50</v>
      </c>
      <c r="R90" s="75" t="str">
        <f>VLOOKUP(B90,LOV!$B:$D,3,FALSE)</f>
        <v>BB</v>
      </c>
      <c r="S90" s="75" t="str">
        <f>VLOOKUP($X90,LOV!$F:$L,2,FALSE)</f>
        <v>WK2</v>
      </c>
      <c r="T90" s="88">
        <f>VLOOKUP($X90,LOV!$F:$L,7,FALSE)</f>
        <v>45922</v>
      </c>
      <c r="V90" s="53">
        <v>1</v>
      </c>
      <c r="W90" s="65">
        <f t="shared" si="1"/>
        <v>0.5</v>
      </c>
      <c r="X90" s="53" t="s">
        <v>209</v>
      </c>
      <c r="Y90" s="67">
        <v>45924</v>
      </c>
      <c r="Z90" s="67">
        <v>45926</v>
      </c>
      <c r="AA90" s="67">
        <v>45929</v>
      </c>
    </row>
    <row r="91" spans="1:27" ht="28.9">
      <c r="A91" s="98">
        <v>1155</v>
      </c>
      <c r="B91" s="71" t="s">
        <v>449</v>
      </c>
      <c r="C91" s="45" t="s">
        <v>450</v>
      </c>
      <c r="D91" s="69" t="s">
        <v>451</v>
      </c>
      <c r="E91" s="45">
        <v>1</v>
      </c>
      <c r="F91" s="46" t="s">
        <v>452</v>
      </c>
      <c r="G91" s="47" t="s">
        <v>453</v>
      </c>
      <c r="H91" s="47" t="s">
        <v>204</v>
      </c>
      <c r="I91" s="45" t="s">
        <v>205</v>
      </c>
      <c r="L91" s="47" t="s">
        <v>454</v>
      </c>
      <c r="M91" s="47" t="s">
        <v>261</v>
      </c>
      <c r="O91" s="45" t="s">
        <v>207</v>
      </c>
      <c r="P91" s="45" t="s">
        <v>208</v>
      </c>
      <c r="Q91" s="75">
        <f>VLOOKUP(B91,LOV!$B:$C,2,FALSE)</f>
        <v>100</v>
      </c>
      <c r="R91" s="75" t="str">
        <f>VLOOKUP(B91,LOV!$B:$D,3,FALSE)</f>
        <v>CC</v>
      </c>
      <c r="S91" s="75" t="str">
        <f>VLOOKUP($X91,LOV!$F:$L,2,FALSE)</f>
        <v>WK2</v>
      </c>
      <c r="T91" s="88">
        <f>VLOOKUP($X91,LOV!$F:$L,7,FALSE)</f>
        <v>45922</v>
      </c>
      <c r="U91" s="53">
        <v>5</v>
      </c>
      <c r="V91" s="53">
        <v>1</v>
      </c>
      <c r="W91" s="65">
        <f t="shared" si="1"/>
        <v>0.5</v>
      </c>
      <c r="X91" s="53" t="s">
        <v>209</v>
      </c>
      <c r="Y91" s="67">
        <v>45924</v>
      </c>
      <c r="Z91" s="67">
        <v>45926</v>
      </c>
      <c r="AA91" s="67">
        <v>45929</v>
      </c>
    </row>
    <row r="92" spans="1:27" ht="43.15">
      <c r="A92" s="53">
        <v>1087</v>
      </c>
      <c r="B92" s="71" t="s">
        <v>430</v>
      </c>
      <c r="C92" s="45" t="s">
        <v>431</v>
      </c>
      <c r="D92" s="72" t="s">
        <v>455</v>
      </c>
      <c r="E92" s="45">
        <v>1</v>
      </c>
      <c r="F92" s="46">
        <v>51</v>
      </c>
      <c r="G92" s="47" t="s">
        <v>46</v>
      </c>
      <c r="H92" s="47" t="s">
        <v>204</v>
      </c>
      <c r="I92" s="45" t="s">
        <v>218</v>
      </c>
      <c r="L92" s="78" t="s">
        <v>456</v>
      </c>
      <c r="M92" s="47" t="s">
        <v>457</v>
      </c>
      <c r="O92" s="79" t="s">
        <v>207</v>
      </c>
      <c r="P92" s="45" t="s">
        <v>458</v>
      </c>
      <c r="Q92" s="75">
        <f>VLOOKUP(B92,LOV!$B:$C,2,FALSE)</f>
        <v>50</v>
      </c>
      <c r="R92" s="75" t="str">
        <f>VLOOKUP(B92,LOV!$B:$D,3,FALSE)</f>
        <v>BB</v>
      </c>
      <c r="S92" s="75" t="str">
        <f>VLOOKUP($X92,LOV!$F:$L,2,FALSE)</f>
        <v>WK2</v>
      </c>
      <c r="T92" s="88">
        <f>VLOOKUP($X92,LOV!$F:$L,7,FALSE)</f>
        <v>45922</v>
      </c>
      <c r="V92" s="77">
        <v>1</v>
      </c>
      <c r="W92" s="65">
        <f t="shared" si="1"/>
        <v>0.5</v>
      </c>
      <c r="X92" s="77" t="s">
        <v>209</v>
      </c>
      <c r="Y92" s="67">
        <v>45924</v>
      </c>
      <c r="Z92" s="67">
        <v>45926</v>
      </c>
      <c r="AA92" s="67">
        <v>45929</v>
      </c>
    </row>
    <row r="93" spans="1:27" ht="28.9">
      <c r="A93" s="99">
        <v>1088</v>
      </c>
      <c r="B93" s="71" t="s">
        <v>430</v>
      </c>
      <c r="C93" s="45" t="s">
        <v>431</v>
      </c>
      <c r="D93" s="101" t="s">
        <v>136</v>
      </c>
      <c r="E93" s="45">
        <v>0</v>
      </c>
      <c r="F93" s="46">
        <v>51</v>
      </c>
      <c r="G93" s="47" t="s">
        <v>203</v>
      </c>
      <c r="I93" s="45" t="s">
        <v>218</v>
      </c>
      <c r="L93" s="100" t="s">
        <v>459</v>
      </c>
      <c r="M93" s="100" t="s">
        <v>460</v>
      </c>
      <c r="N93" s="100" t="s">
        <v>461</v>
      </c>
      <c r="O93" s="45" t="s">
        <v>207</v>
      </c>
      <c r="P93" s="45" t="s">
        <v>208</v>
      </c>
      <c r="Q93" s="75">
        <f>VLOOKUP(B93,LOV!$B:$C,2,FALSE)</f>
        <v>50</v>
      </c>
      <c r="R93" s="75" t="str">
        <f>VLOOKUP(B93,LOV!$B:$D,3,FALSE)</f>
        <v>BB</v>
      </c>
      <c r="S93" s="75" t="str">
        <f>VLOOKUP($X93,LOV!$F:$L,2,FALSE)</f>
        <v>WK2</v>
      </c>
      <c r="T93" s="88">
        <f>VLOOKUP($X93,LOV!$F:$L,7,FALSE)</f>
        <v>45922</v>
      </c>
      <c r="V93" s="53">
        <v>0</v>
      </c>
      <c r="W93" s="65">
        <f t="shared" si="1"/>
        <v>0</v>
      </c>
      <c r="X93" s="53" t="s">
        <v>209</v>
      </c>
      <c r="Y93" s="67">
        <v>45924</v>
      </c>
      <c r="Z93" s="67">
        <v>45929</v>
      </c>
      <c r="AA93" s="67">
        <v>45929</v>
      </c>
    </row>
    <row r="94" spans="1:27" ht="28.9">
      <c r="A94" s="53">
        <v>1089</v>
      </c>
      <c r="B94" s="71" t="s">
        <v>430</v>
      </c>
      <c r="C94" s="45" t="s">
        <v>431</v>
      </c>
      <c r="D94" s="72" t="s">
        <v>462</v>
      </c>
      <c r="E94" s="45">
        <v>1</v>
      </c>
      <c r="F94" s="46" t="s">
        <v>463</v>
      </c>
      <c r="G94" s="47" t="s">
        <v>464</v>
      </c>
      <c r="H94" s="47" t="s">
        <v>204</v>
      </c>
      <c r="I94" s="45" t="s">
        <v>218</v>
      </c>
      <c r="M94" s="47" t="s">
        <v>261</v>
      </c>
      <c r="O94" s="45" t="s">
        <v>207</v>
      </c>
      <c r="P94" s="45" t="s">
        <v>208</v>
      </c>
      <c r="Q94" s="75">
        <f>VLOOKUP(B94,LOV!$B:$C,2,FALSE)</f>
        <v>50</v>
      </c>
      <c r="R94" s="75" t="str">
        <f>VLOOKUP(B94,LOV!$B:$D,3,FALSE)</f>
        <v>BB</v>
      </c>
      <c r="S94" s="75" t="str">
        <f>VLOOKUP($X94,LOV!$F:$L,2,FALSE)</f>
        <v>WK2</v>
      </c>
      <c r="T94" s="88">
        <f>VLOOKUP($X94,LOV!$F:$L,7,FALSE)</f>
        <v>45922</v>
      </c>
      <c r="V94" s="53">
        <v>2</v>
      </c>
      <c r="W94" s="65">
        <f t="shared" si="1"/>
        <v>1</v>
      </c>
      <c r="X94" s="53" t="s">
        <v>209</v>
      </c>
      <c r="Y94" s="67">
        <v>45924</v>
      </c>
      <c r="Z94" s="67">
        <v>45926</v>
      </c>
      <c r="AA94" s="67">
        <v>45929</v>
      </c>
    </row>
    <row r="95" spans="1:27" ht="72">
      <c r="A95" s="53">
        <v>1090</v>
      </c>
      <c r="B95" s="71" t="s">
        <v>430</v>
      </c>
      <c r="C95" s="45" t="s">
        <v>431</v>
      </c>
      <c r="D95" s="72" t="s">
        <v>465</v>
      </c>
      <c r="E95" s="45">
        <v>1</v>
      </c>
      <c r="F95" s="46">
        <v>51</v>
      </c>
      <c r="G95" s="47" t="s">
        <v>46</v>
      </c>
      <c r="H95" s="47" t="s">
        <v>204</v>
      </c>
      <c r="I95" s="45" t="s">
        <v>218</v>
      </c>
      <c r="M95" s="47" t="s">
        <v>466</v>
      </c>
      <c r="O95" s="45" t="s">
        <v>207</v>
      </c>
      <c r="P95" s="45" t="s">
        <v>208</v>
      </c>
      <c r="Q95" s="75">
        <f>VLOOKUP(B95,LOV!$B:$C,2,FALSE)</f>
        <v>50</v>
      </c>
      <c r="R95" s="75" t="str">
        <f>VLOOKUP(B95,LOV!$B:$D,3,FALSE)</f>
        <v>BB</v>
      </c>
      <c r="S95" s="75" t="str">
        <f>VLOOKUP($X95,LOV!$F:$L,2,FALSE)</f>
        <v>WK2</v>
      </c>
      <c r="T95" s="88">
        <f>VLOOKUP($X95,LOV!$F:$L,7,FALSE)</f>
        <v>45922</v>
      </c>
      <c r="V95" s="53">
        <v>1</v>
      </c>
      <c r="W95" s="65">
        <f t="shared" si="1"/>
        <v>0.5</v>
      </c>
      <c r="X95" s="53" t="s">
        <v>209</v>
      </c>
      <c r="Y95" s="67">
        <v>45924</v>
      </c>
      <c r="Z95" s="67">
        <v>45928</v>
      </c>
      <c r="AA95" s="67">
        <v>45929</v>
      </c>
    </row>
    <row r="96" spans="1:27">
      <c r="A96" s="53">
        <v>1091</v>
      </c>
      <c r="B96" s="71" t="s">
        <v>430</v>
      </c>
      <c r="C96" s="45" t="s">
        <v>431</v>
      </c>
      <c r="D96" s="72" t="s">
        <v>467</v>
      </c>
      <c r="E96" s="45">
        <v>1</v>
      </c>
      <c r="F96" s="46">
        <v>51</v>
      </c>
      <c r="G96" s="47" t="s">
        <v>46</v>
      </c>
      <c r="H96" s="47" t="s">
        <v>282</v>
      </c>
      <c r="I96" s="45" t="s">
        <v>218</v>
      </c>
      <c r="M96" s="47" t="s">
        <v>468</v>
      </c>
      <c r="O96" s="45" t="s">
        <v>207</v>
      </c>
      <c r="P96" s="45" t="s">
        <v>208</v>
      </c>
      <c r="Q96" s="75">
        <f>VLOOKUP(B96,LOV!$B:$C,2,FALSE)</f>
        <v>50</v>
      </c>
      <c r="R96" s="75" t="str">
        <f>VLOOKUP(B96,LOV!$B:$D,3,FALSE)</f>
        <v>BB</v>
      </c>
      <c r="S96" s="75" t="str">
        <f>VLOOKUP($X96,LOV!$F:$L,2,FALSE)</f>
        <v>WK2</v>
      </c>
      <c r="T96" s="88">
        <f>VLOOKUP($X96,LOV!$F:$L,7,FALSE)</f>
        <v>45922</v>
      </c>
      <c r="V96" s="53">
        <v>1</v>
      </c>
      <c r="W96" s="65">
        <f t="shared" si="1"/>
        <v>0.5</v>
      </c>
      <c r="X96" s="53" t="s">
        <v>209</v>
      </c>
      <c r="Y96" s="67">
        <v>45924</v>
      </c>
      <c r="Z96" s="67">
        <v>45928</v>
      </c>
      <c r="AA96" s="67">
        <v>45929</v>
      </c>
    </row>
    <row r="97" spans="1:27">
      <c r="A97" s="53">
        <v>1092</v>
      </c>
      <c r="B97" s="71" t="s">
        <v>430</v>
      </c>
      <c r="C97" s="45" t="s">
        <v>431</v>
      </c>
      <c r="D97" s="72" t="s">
        <v>469</v>
      </c>
      <c r="E97" s="45">
        <v>1</v>
      </c>
      <c r="F97" s="46">
        <v>51</v>
      </c>
      <c r="G97" s="47" t="s">
        <v>46</v>
      </c>
      <c r="H97" s="47" t="s">
        <v>282</v>
      </c>
      <c r="I97" s="45" t="s">
        <v>218</v>
      </c>
      <c r="M97" s="47" t="s">
        <v>470</v>
      </c>
      <c r="O97" s="45" t="s">
        <v>207</v>
      </c>
      <c r="P97" s="45" t="s">
        <v>208</v>
      </c>
      <c r="Q97" s="75">
        <f>VLOOKUP(B97,LOV!$B:$C,2,FALSE)</f>
        <v>50</v>
      </c>
      <c r="R97" s="75" t="str">
        <f>VLOOKUP(B97,LOV!$B:$D,3,FALSE)</f>
        <v>BB</v>
      </c>
      <c r="S97" s="75" t="str">
        <f>VLOOKUP($X97,LOV!$F:$L,2,FALSE)</f>
        <v>WK2</v>
      </c>
      <c r="T97" s="88">
        <f>VLOOKUP($X97,LOV!$F:$L,7,FALSE)</f>
        <v>45922</v>
      </c>
      <c r="V97" s="53">
        <v>1</v>
      </c>
      <c r="W97" s="65">
        <f t="shared" si="1"/>
        <v>0.5</v>
      </c>
      <c r="X97" s="53" t="s">
        <v>209</v>
      </c>
      <c r="Y97" s="67">
        <v>45924</v>
      </c>
      <c r="Z97" s="67">
        <v>45928</v>
      </c>
      <c r="AA97" s="67">
        <v>45929</v>
      </c>
    </row>
    <row r="98" spans="1:27" ht="57.6">
      <c r="A98" s="53">
        <v>1093</v>
      </c>
      <c r="B98" s="71" t="s">
        <v>430</v>
      </c>
      <c r="C98" s="45" t="s">
        <v>431</v>
      </c>
      <c r="D98" s="69" t="s">
        <v>471</v>
      </c>
      <c r="E98" s="45">
        <v>1</v>
      </c>
      <c r="F98" s="46" t="s">
        <v>472</v>
      </c>
      <c r="G98" s="124" t="s">
        <v>473</v>
      </c>
      <c r="H98" s="47" t="s">
        <v>204</v>
      </c>
      <c r="I98" s="45" t="s">
        <v>218</v>
      </c>
      <c r="J98" s="45" t="s">
        <v>205</v>
      </c>
      <c r="L98" s="47" t="s">
        <v>474</v>
      </c>
      <c r="M98" s="47" t="s">
        <v>475</v>
      </c>
      <c r="O98" s="45" t="s">
        <v>207</v>
      </c>
      <c r="P98" s="45" t="s">
        <v>208</v>
      </c>
      <c r="Q98" s="75">
        <f>VLOOKUP(B98,LOV!$B:$C,2,FALSE)</f>
        <v>50</v>
      </c>
      <c r="R98" s="75" t="str">
        <f>VLOOKUP(B98,LOV!$B:$D,3,FALSE)</f>
        <v>BB</v>
      </c>
      <c r="S98" s="75" t="str">
        <f>VLOOKUP($X98,LOV!$F:$L,2,FALSE)</f>
        <v>WK2</v>
      </c>
      <c r="T98" s="88">
        <f>VLOOKUP($X98,LOV!$F:$L,7,FALSE)</f>
        <v>45922</v>
      </c>
      <c r="U98" s="53">
        <v>6</v>
      </c>
      <c r="V98" s="53">
        <v>2</v>
      </c>
      <c r="W98" s="65">
        <f t="shared" si="1"/>
        <v>1</v>
      </c>
      <c r="X98" s="53" t="s">
        <v>209</v>
      </c>
      <c r="Y98" s="67">
        <v>45925</v>
      </c>
      <c r="Z98" s="67">
        <v>45928</v>
      </c>
      <c r="AA98" s="67">
        <v>45929</v>
      </c>
    </row>
    <row r="99" spans="1:27" ht="46.9" customHeight="1">
      <c r="A99" s="53">
        <v>1094</v>
      </c>
      <c r="B99" s="71" t="s">
        <v>430</v>
      </c>
      <c r="C99" s="45" t="s">
        <v>431</v>
      </c>
      <c r="D99" s="72" t="s">
        <v>476</v>
      </c>
      <c r="E99" s="45">
        <v>1</v>
      </c>
      <c r="F99" s="46" t="s">
        <v>477</v>
      </c>
      <c r="G99" s="78" t="s">
        <v>478</v>
      </c>
      <c r="H99" s="47" t="s">
        <v>204</v>
      </c>
      <c r="I99" s="45" t="s">
        <v>218</v>
      </c>
      <c r="L99" s="68" t="s">
        <v>479</v>
      </c>
      <c r="M99" s="102" t="s">
        <v>480</v>
      </c>
      <c r="N99" s="102"/>
      <c r="O99" s="45" t="s">
        <v>207</v>
      </c>
      <c r="P99" s="45" t="s">
        <v>208</v>
      </c>
      <c r="Q99" s="75">
        <f>VLOOKUP(B99,LOV!$B:$C,2,FALSE)</f>
        <v>50</v>
      </c>
      <c r="R99" s="75" t="str">
        <f>VLOOKUP(B99,LOV!$B:$D,3,FALSE)</f>
        <v>BB</v>
      </c>
      <c r="S99" s="75" t="str">
        <f>VLOOKUP($X99,LOV!$F:$L,2,FALSE)</f>
        <v>WK2</v>
      </c>
      <c r="T99" s="88">
        <f>VLOOKUP($X99,LOV!$F:$L,7,FALSE)</f>
        <v>45922</v>
      </c>
      <c r="V99" s="53">
        <v>2</v>
      </c>
      <c r="W99" s="65">
        <f t="shared" si="1"/>
        <v>1</v>
      </c>
      <c r="X99" s="53" t="s">
        <v>209</v>
      </c>
      <c r="Y99" s="67">
        <v>45925</v>
      </c>
      <c r="Z99" s="67">
        <v>45929</v>
      </c>
      <c r="AA99" s="67">
        <v>45929</v>
      </c>
    </row>
    <row r="100" spans="1:27">
      <c r="A100" s="53">
        <v>1095</v>
      </c>
      <c r="B100" s="71" t="s">
        <v>430</v>
      </c>
      <c r="C100" s="45" t="s">
        <v>431</v>
      </c>
      <c r="D100" s="72" t="s">
        <v>481</v>
      </c>
      <c r="E100" s="45">
        <v>0</v>
      </c>
      <c r="F100" s="46" t="s">
        <v>477</v>
      </c>
      <c r="G100" s="47" t="s">
        <v>203</v>
      </c>
      <c r="H100" s="47" t="s">
        <v>247</v>
      </c>
      <c r="I100" s="45" t="s">
        <v>218</v>
      </c>
      <c r="L100" s="47" t="s">
        <v>371</v>
      </c>
      <c r="M100" s="102" t="s">
        <v>482</v>
      </c>
      <c r="N100" s="102"/>
      <c r="O100" s="45" t="s">
        <v>207</v>
      </c>
      <c r="P100" s="45" t="s">
        <v>208</v>
      </c>
      <c r="Q100" s="75">
        <f>VLOOKUP(B100,LOV!$B:$C,2,FALSE)</f>
        <v>50</v>
      </c>
      <c r="R100" s="75" t="str">
        <f>VLOOKUP(B100,LOV!$B:$D,3,FALSE)</f>
        <v>BB</v>
      </c>
      <c r="S100" s="75" t="str">
        <f>VLOOKUP($X100,LOV!$F:$L,2,FALSE)</f>
        <v>WK2</v>
      </c>
      <c r="T100" s="88">
        <f>VLOOKUP($X100,LOV!$F:$L,7,FALSE)</f>
        <v>45922</v>
      </c>
      <c r="V100" s="53">
        <v>0</v>
      </c>
      <c r="W100" s="65">
        <f t="shared" si="1"/>
        <v>0</v>
      </c>
      <c r="X100" s="53" t="s">
        <v>209</v>
      </c>
      <c r="Y100" s="67">
        <v>45925</v>
      </c>
      <c r="Z100" s="67">
        <v>45929</v>
      </c>
      <c r="AA100" s="67">
        <v>45929</v>
      </c>
    </row>
    <row r="101" spans="1:27">
      <c r="A101" s="53">
        <v>1096</v>
      </c>
      <c r="B101" s="71" t="s">
        <v>430</v>
      </c>
      <c r="C101" s="45" t="s">
        <v>431</v>
      </c>
      <c r="D101" s="72" t="s">
        <v>483</v>
      </c>
      <c r="E101" s="45">
        <v>1</v>
      </c>
      <c r="F101" s="46" t="s">
        <v>477</v>
      </c>
      <c r="G101" s="47" t="s">
        <v>484</v>
      </c>
      <c r="H101" s="47" t="s">
        <v>204</v>
      </c>
      <c r="I101" s="45" t="s">
        <v>218</v>
      </c>
      <c r="L101" s="47" t="s">
        <v>371</v>
      </c>
      <c r="M101" s="102" t="s">
        <v>485</v>
      </c>
      <c r="N101" s="102"/>
      <c r="O101" s="45" t="s">
        <v>207</v>
      </c>
      <c r="P101" s="45" t="s">
        <v>208</v>
      </c>
      <c r="Q101" s="75">
        <f>VLOOKUP(B101,LOV!$B:$C,2,FALSE)</f>
        <v>50</v>
      </c>
      <c r="R101" s="75" t="str">
        <f>VLOOKUP(B101,LOV!$B:$D,3,FALSE)</f>
        <v>BB</v>
      </c>
      <c r="S101" s="75" t="str">
        <f>VLOOKUP($X101,LOV!$F:$L,2,FALSE)</f>
        <v>WK2</v>
      </c>
      <c r="T101" s="88">
        <f>VLOOKUP($X101,LOV!$F:$L,7,FALSE)</f>
        <v>45922</v>
      </c>
      <c r="V101" s="53">
        <v>1</v>
      </c>
      <c r="W101" s="65">
        <f t="shared" si="1"/>
        <v>0.5</v>
      </c>
      <c r="X101" s="53" t="s">
        <v>209</v>
      </c>
      <c r="Y101" s="67">
        <v>45924</v>
      </c>
      <c r="Z101" s="67">
        <v>45929</v>
      </c>
      <c r="AA101" s="67">
        <v>45929</v>
      </c>
    </row>
    <row r="102" spans="1:27" ht="28.9">
      <c r="A102" s="53">
        <v>1097</v>
      </c>
      <c r="B102" s="71" t="s">
        <v>430</v>
      </c>
      <c r="C102" s="45" t="s">
        <v>431</v>
      </c>
      <c r="D102" s="72" t="s">
        <v>486</v>
      </c>
      <c r="E102" s="45">
        <v>1</v>
      </c>
      <c r="F102" s="46" t="s">
        <v>477</v>
      </c>
      <c r="G102" s="47" t="s">
        <v>487</v>
      </c>
      <c r="H102" s="47" t="s">
        <v>247</v>
      </c>
      <c r="I102" s="45" t="s">
        <v>218</v>
      </c>
      <c r="L102" s="47" t="s">
        <v>371</v>
      </c>
      <c r="M102" s="102" t="s">
        <v>261</v>
      </c>
      <c r="N102" s="102"/>
      <c r="O102" s="45" t="s">
        <v>207</v>
      </c>
      <c r="P102" s="45" t="s">
        <v>208</v>
      </c>
      <c r="Q102" s="75">
        <f>VLOOKUP(B102,LOV!$B:$C,2,FALSE)</f>
        <v>50</v>
      </c>
      <c r="R102" s="75" t="str">
        <f>VLOOKUP(B102,LOV!$B:$D,3,FALSE)</f>
        <v>BB</v>
      </c>
      <c r="S102" s="75" t="str">
        <f>VLOOKUP($X102,LOV!$F:$L,2,FALSE)</f>
        <v>WK2</v>
      </c>
      <c r="T102" s="88">
        <f>VLOOKUP($X102,LOV!$F:$L,7,FALSE)</f>
        <v>45922</v>
      </c>
      <c r="V102" s="53">
        <v>1</v>
      </c>
      <c r="W102" s="65">
        <f t="shared" si="1"/>
        <v>0.5</v>
      </c>
      <c r="X102" s="53" t="s">
        <v>209</v>
      </c>
      <c r="Y102" s="67">
        <v>45925</v>
      </c>
      <c r="Z102" s="67">
        <v>45929</v>
      </c>
      <c r="AA102" s="67">
        <v>45929</v>
      </c>
    </row>
    <row r="103" spans="1:27" ht="28.9">
      <c r="A103" s="53">
        <v>1098</v>
      </c>
      <c r="B103" s="71" t="s">
        <v>430</v>
      </c>
      <c r="C103" s="45" t="s">
        <v>488</v>
      </c>
      <c r="D103" s="69" t="s">
        <v>489</v>
      </c>
      <c r="E103" s="45">
        <v>1</v>
      </c>
      <c r="F103" s="46" t="s">
        <v>490</v>
      </c>
      <c r="G103" s="47" t="s">
        <v>491</v>
      </c>
      <c r="H103" s="47" t="s">
        <v>204</v>
      </c>
      <c r="I103" s="45" t="s">
        <v>218</v>
      </c>
      <c r="J103" s="45" t="s">
        <v>205</v>
      </c>
      <c r="L103" s="103" t="s">
        <v>492</v>
      </c>
      <c r="M103" s="102" t="s">
        <v>493</v>
      </c>
      <c r="N103" s="102"/>
      <c r="O103" s="45" t="s">
        <v>207</v>
      </c>
      <c r="P103" s="45" t="s">
        <v>208</v>
      </c>
      <c r="Q103" s="75">
        <f>VLOOKUP(B103,LOV!$B:$C,2,FALSE)</f>
        <v>50</v>
      </c>
      <c r="R103" s="75" t="str">
        <f>VLOOKUP(B103,LOV!$B:$D,3,FALSE)</f>
        <v>BB</v>
      </c>
      <c r="S103" s="75" t="str">
        <f>VLOOKUP($X103,LOV!$F:$L,2,FALSE)</f>
        <v>WK2</v>
      </c>
      <c r="T103" s="88">
        <f>VLOOKUP($X103,LOV!$F:$L,7,FALSE)</f>
        <v>45922</v>
      </c>
      <c r="U103" s="53">
        <v>6</v>
      </c>
      <c r="V103" s="53">
        <v>2</v>
      </c>
      <c r="W103" s="65">
        <f t="shared" si="1"/>
        <v>1</v>
      </c>
      <c r="X103" s="53" t="s">
        <v>209</v>
      </c>
      <c r="Y103" s="67">
        <v>45925</v>
      </c>
      <c r="Z103" s="67">
        <v>45929</v>
      </c>
      <c r="AA103" s="67">
        <v>45929</v>
      </c>
    </row>
    <row r="104" spans="1:27" ht="28.9">
      <c r="A104" s="53">
        <v>1099</v>
      </c>
      <c r="B104" s="71" t="s">
        <v>430</v>
      </c>
      <c r="C104" s="45" t="s">
        <v>488</v>
      </c>
      <c r="D104" s="72" t="s">
        <v>494</v>
      </c>
      <c r="E104" s="45">
        <v>1</v>
      </c>
      <c r="F104" s="46" t="s">
        <v>495</v>
      </c>
      <c r="G104" s="47" t="s">
        <v>496</v>
      </c>
      <c r="H104" s="47" t="s">
        <v>204</v>
      </c>
      <c r="I104" s="45" t="s">
        <v>218</v>
      </c>
      <c r="J104" s="45" t="s">
        <v>497</v>
      </c>
      <c r="L104" s="103" t="s">
        <v>498</v>
      </c>
      <c r="M104" s="102" t="s">
        <v>499</v>
      </c>
      <c r="N104" s="102"/>
      <c r="O104" s="45" t="s">
        <v>207</v>
      </c>
      <c r="P104" s="45" t="s">
        <v>208</v>
      </c>
      <c r="Q104" s="75">
        <f>VLOOKUP(B104,LOV!$B:$C,2,FALSE)</f>
        <v>50</v>
      </c>
      <c r="R104" s="75" t="str">
        <f>VLOOKUP(B104,LOV!$B:$D,3,FALSE)</f>
        <v>BB</v>
      </c>
      <c r="S104" s="75" t="str">
        <f>VLOOKUP($X104,LOV!$F:$L,2,FALSE)</f>
        <v>WK2</v>
      </c>
      <c r="T104" s="88">
        <f>VLOOKUP($X104,LOV!$F:$L,7,FALSE)</f>
        <v>45922</v>
      </c>
      <c r="U104" s="53">
        <v>6</v>
      </c>
      <c r="V104" s="53">
        <v>2</v>
      </c>
      <c r="W104" s="65">
        <f t="shared" si="1"/>
        <v>1</v>
      </c>
      <c r="X104" s="53" t="s">
        <v>209</v>
      </c>
      <c r="Y104" s="67">
        <v>45925</v>
      </c>
      <c r="Z104" s="67">
        <v>45929</v>
      </c>
      <c r="AA104" s="67">
        <v>45929</v>
      </c>
    </row>
    <row r="105" spans="1:27" ht="28.9">
      <c r="A105" s="53">
        <v>1100</v>
      </c>
      <c r="B105" s="71" t="s">
        <v>430</v>
      </c>
      <c r="C105" s="45" t="s">
        <v>488</v>
      </c>
      <c r="D105" s="72" t="s">
        <v>500</v>
      </c>
      <c r="E105" s="45">
        <v>1</v>
      </c>
      <c r="F105" s="46" t="s">
        <v>490</v>
      </c>
      <c r="G105" s="47" t="s">
        <v>501</v>
      </c>
      <c r="H105" s="47" t="s">
        <v>502</v>
      </c>
      <c r="I105" s="45" t="s">
        <v>218</v>
      </c>
      <c r="J105" s="45" t="s">
        <v>205</v>
      </c>
      <c r="M105" s="102" t="s">
        <v>261</v>
      </c>
      <c r="N105" s="102"/>
      <c r="O105" s="45" t="s">
        <v>207</v>
      </c>
      <c r="P105" s="45" t="s">
        <v>208</v>
      </c>
      <c r="Q105" s="75">
        <f>VLOOKUP(B105,LOV!$B:$C,2,FALSE)</f>
        <v>50</v>
      </c>
      <c r="R105" s="75" t="str">
        <f>VLOOKUP(B105,LOV!$B:$D,3,FALSE)</f>
        <v>BB</v>
      </c>
      <c r="S105" s="75" t="str">
        <f>VLOOKUP($X105,LOV!$F:$L,2,FALSE)</f>
        <v>WK2</v>
      </c>
      <c r="T105" s="88">
        <f>VLOOKUP($X105,LOV!$F:$L,7,FALSE)</f>
        <v>45922</v>
      </c>
      <c r="U105" s="53">
        <v>6</v>
      </c>
      <c r="V105" s="53">
        <v>2</v>
      </c>
      <c r="W105" s="65">
        <f t="shared" si="1"/>
        <v>1</v>
      </c>
      <c r="X105" s="53" t="s">
        <v>209</v>
      </c>
      <c r="Y105" s="67">
        <v>45925</v>
      </c>
      <c r="Z105" s="67">
        <v>45929</v>
      </c>
      <c r="AA105" s="67">
        <v>45929</v>
      </c>
    </row>
    <row r="106" spans="1:27" ht="43.15">
      <c r="A106" s="53">
        <v>1101</v>
      </c>
      <c r="B106" s="71" t="s">
        <v>430</v>
      </c>
      <c r="C106" s="45" t="s">
        <v>503</v>
      </c>
      <c r="D106" s="72" t="s">
        <v>504</v>
      </c>
      <c r="E106" s="45">
        <v>0</v>
      </c>
      <c r="F106" s="46">
        <v>51</v>
      </c>
      <c r="G106" s="47" t="s">
        <v>505</v>
      </c>
      <c r="H106" s="47" t="s">
        <v>204</v>
      </c>
      <c r="I106" s="45" t="s">
        <v>218</v>
      </c>
      <c r="L106" s="102" t="s">
        <v>506</v>
      </c>
      <c r="M106" s="102" t="s">
        <v>261</v>
      </c>
      <c r="N106" s="102"/>
      <c r="O106" s="45" t="s">
        <v>207</v>
      </c>
      <c r="P106" s="45" t="s">
        <v>208</v>
      </c>
      <c r="Q106" s="75">
        <f>VLOOKUP(B106,LOV!$B:$C,2,FALSE)</f>
        <v>50</v>
      </c>
      <c r="R106" s="75" t="str">
        <f>VLOOKUP(B106,LOV!$B:$D,3,FALSE)</f>
        <v>BB</v>
      </c>
      <c r="S106" s="75" t="str">
        <f>VLOOKUP($X106,LOV!$F:$L,2,FALSE)</f>
        <v>WK2</v>
      </c>
      <c r="T106" s="88">
        <f>VLOOKUP($X106,LOV!$F:$L,7,FALSE)</f>
        <v>45922</v>
      </c>
      <c r="V106" s="53">
        <v>0</v>
      </c>
      <c r="W106" s="65">
        <f t="shared" si="1"/>
        <v>0</v>
      </c>
      <c r="X106" s="53" t="s">
        <v>209</v>
      </c>
      <c r="Y106" s="67">
        <v>45925</v>
      </c>
      <c r="Z106" s="67">
        <v>45929</v>
      </c>
      <c r="AA106" s="67">
        <v>45929</v>
      </c>
    </row>
    <row r="107" spans="1:27" ht="111" customHeight="1">
      <c r="A107" s="53">
        <v>1102</v>
      </c>
      <c r="B107" s="71" t="s">
        <v>430</v>
      </c>
      <c r="C107" s="45" t="s">
        <v>503</v>
      </c>
      <c r="D107" s="72" t="s">
        <v>507</v>
      </c>
      <c r="E107" s="45">
        <v>0</v>
      </c>
      <c r="F107" s="46">
        <v>51</v>
      </c>
      <c r="G107" s="47" t="s">
        <v>505</v>
      </c>
      <c r="H107" s="47" t="s">
        <v>204</v>
      </c>
      <c r="I107" s="45" t="s">
        <v>218</v>
      </c>
      <c r="L107" s="102" t="s">
        <v>506</v>
      </c>
      <c r="M107" s="106" t="s">
        <v>508</v>
      </c>
      <c r="N107" s="106"/>
      <c r="O107" s="45" t="s">
        <v>207</v>
      </c>
      <c r="P107" s="45" t="s">
        <v>458</v>
      </c>
      <c r="Q107" s="75">
        <f>VLOOKUP(B107,LOV!$B:$C,2,FALSE)</f>
        <v>50</v>
      </c>
      <c r="R107" s="75" t="str">
        <f>VLOOKUP(B107,LOV!$B:$D,3,FALSE)</f>
        <v>BB</v>
      </c>
      <c r="S107" s="75" t="str">
        <f>VLOOKUP($X107,LOV!$F:$L,2,FALSE)</f>
        <v>WK2</v>
      </c>
      <c r="T107" s="88">
        <f>VLOOKUP($X107,LOV!$F:$L,7,FALSE)</f>
        <v>45922</v>
      </c>
      <c r="V107" s="53">
        <v>0</v>
      </c>
      <c r="W107" s="65">
        <f t="shared" si="1"/>
        <v>0</v>
      </c>
      <c r="X107" s="53" t="s">
        <v>209</v>
      </c>
      <c r="Y107" s="67">
        <v>45925</v>
      </c>
      <c r="Z107" s="67">
        <v>45929</v>
      </c>
      <c r="AA107" s="67">
        <v>45929</v>
      </c>
    </row>
    <row r="108" spans="1:27" ht="43.15">
      <c r="A108" s="53">
        <v>1103</v>
      </c>
      <c r="B108" s="71" t="s">
        <v>430</v>
      </c>
      <c r="C108" s="45" t="s">
        <v>503</v>
      </c>
      <c r="D108" s="69" t="s">
        <v>509</v>
      </c>
      <c r="E108" s="45">
        <v>0</v>
      </c>
      <c r="F108" s="46">
        <v>51</v>
      </c>
      <c r="G108" s="47" t="s">
        <v>510</v>
      </c>
      <c r="H108" s="47" t="s">
        <v>204</v>
      </c>
      <c r="I108" s="45" t="s">
        <v>218</v>
      </c>
      <c r="L108" s="102" t="s">
        <v>506</v>
      </c>
      <c r="M108" s="102" t="s">
        <v>261</v>
      </c>
      <c r="N108" s="102"/>
      <c r="O108" s="45" t="s">
        <v>207</v>
      </c>
      <c r="P108" s="45" t="s">
        <v>208</v>
      </c>
      <c r="Q108" s="75">
        <f>VLOOKUP(B108,LOV!$B:$C,2,FALSE)</f>
        <v>50</v>
      </c>
      <c r="R108" s="75" t="str">
        <f>VLOOKUP(B108,LOV!$B:$D,3,FALSE)</f>
        <v>BB</v>
      </c>
      <c r="S108" s="75" t="str">
        <f>VLOOKUP($X108,LOV!$F:$L,2,FALSE)</f>
        <v>WK2</v>
      </c>
      <c r="T108" s="88">
        <f>VLOOKUP($X108,LOV!$F:$L,7,FALSE)</f>
        <v>45922</v>
      </c>
      <c r="V108" s="53">
        <v>0</v>
      </c>
      <c r="W108" s="65">
        <f t="shared" si="1"/>
        <v>0</v>
      </c>
      <c r="X108" s="53" t="s">
        <v>209</v>
      </c>
      <c r="Y108" s="67">
        <v>45925</v>
      </c>
      <c r="Z108" s="67">
        <v>45929</v>
      </c>
      <c r="AA108" s="67">
        <v>45929</v>
      </c>
    </row>
    <row r="109" spans="1:27" ht="43.15">
      <c r="A109" s="53">
        <v>1104</v>
      </c>
      <c r="B109" s="71" t="s">
        <v>430</v>
      </c>
      <c r="C109" s="45" t="s">
        <v>503</v>
      </c>
      <c r="D109" s="72" t="s">
        <v>511</v>
      </c>
      <c r="E109" s="45">
        <v>0</v>
      </c>
      <c r="F109" s="46">
        <v>51</v>
      </c>
      <c r="G109" s="47" t="s">
        <v>510</v>
      </c>
      <c r="H109" s="47" t="s">
        <v>204</v>
      </c>
      <c r="I109" s="45" t="s">
        <v>218</v>
      </c>
      <c r="L109" s="102" t="s">
        <v>506</v>
      </c>
      <c r="M109" s="102" t="s">
        <v>261</v>
      </c>
      <c r="N109" s="102"/>
      <c r="O109" s="45" t="s">
        <v>207</v>
      </c>
      <c r="P109" s="45" t="s">
        <v>208</v>
      </c>
      <c r="Q109" s="75">
        <f>VLOOKUP(B109,LOV!$B:$C,2,FALSE)</f>
        <v>50</v>
      </c>
      <c r="R109" s="75" t="str">
        <f>VLOOKUP(B109,LOV!$B:$D,3,FALSE)</f>
        <v>BB</v>
      </c>
      <c r="S109" s="75" t="str">
        <f>VLOOKUP($X109,LOV!$F:$L,2,FALSE)</f>
        <v>WK2</v>
      </c>
      <c r="T109" s="88">
        <f>VLOOKUP($X109,LOV!$F:$L,7,FALSE)</f>
        <v>45922</v>
      </c>
      <c r="V109" s="53">
        <v>0</v>
      </c>
      <c r="W109" s="65">
        <f t="shared" si="1"/>
        <v>0</v>
      </c>
      <c r="X109" s="53" t="s">
        <v>209</v>
      </c>
      <c r="Y109" s="67">
        <v>45925</v>
      </c>
      <c r="Z109" s="67">
        <v>45929</v>
      </c>
      <c r="AA109" s="67">
        <v>45929</v>
      </c>
    </row>
    <row r="110" spans="1:27" ht="43.15">
      <c r="A110" s="53">
        <v>1105</v>
      </c>
      <c r="B110" s="71" t="s">
        <v>430</v>
      </c>
      <c r="C110" s="45" t="s">
        <v>503</v>
      </c>
      <c r="D110" s="72" t="s">
        <v>512</v>
      </c>
      <c r="E110" s="45">
        <v>0</v>
      </c>
      <c r="F110" s="46">
        <v>51</v>
      </c>
      <c r="G110" s="47" t="s">
        <v>513</v>
      </c>
      <c r="H110" s="47" t="s">
        <v>204</v>
      </c>
      <c r="I110" s="45" t="s">
        <v>218</v>
      </c>
      <c r="L110" s="102" t="s">
        <v>506</v>
      </c>
      <c r="M110" s="102" t="s">
        <v>261</v>
      </c>
      <c r="N110" s="102"/>
      <c r="O110" s="45" t="s">
        <v>207</v>
      </c>
      <c r="P110" s="45" t="s">
        <v>208</v>
      </c>
      <c r="Q110" s="75">
        <f>VLOOKUP(B110,LOV!$B:$C,2,FALSE)</f>
        <v>50</v>
      </c>
      <c r="R110" s="75" t="str">
        <f>VLOOKUP(B110,LOV!$B:$D,3,FALSE)</f>
        <v>BB</v>
      </c>
      <c r="S110" s="75" t="str">
        <f>VLOOKUP($X110,LOV!$F:$L,2,FALSE)</f>
        <v>WK2</v>
      </c>
      <c r="T110" s="88">
        <f>VLOOKUP($X110,LOV!$F:$L,7,FALSE)</f>
        <v>45922</v>
      </c>
      <c r="V110" s="53">
        <v>0</v>
      </c>
      <c r="W110" s="65">
        <f t="shared" si="1"/>
        <v>0</v>
      </c>
      <c r="X110" s="53" t="s">
        <v>209</v>
      </c>
      <c r="Y110" s="67">
        <v>45925</v>
      </c>
      <c r="Z110" s="67">
        <v>45929</v>
      </c>
      <c r="AA110" s="67">
        <v>45929</v>
      </c>
    </row>
    <row r="111" spans="1:27" ht="43.15">
      <c r="A111" s="53">
        <v>1106</v>
      </c>
      <c r="B111" s="71" t="s">
        <v>430</v>
      </c>
      <c r="C111" s="45" t="s">
        <v>503</v>
      </c>
      <c r="D111" s="72" t="s">
        <v>514</v>
      </c>
      <c r="E111" s="45">
        <v>0</v>
      </c>
      <c r="F111" s="46">
        <v>51</v>
      </c>
      <c r="G111" s="47" t="s">
        <v>513</v>
      </c>
      <c r="H111" s="47" t="s">
        <v>204</v>
      </c>
      <c r="I111" s="45" t="s">
        <v>218</v>
      </c>
      <c r="L111" s="102" t="s">
        <v>506</v>
      </c>
      <c r="M111" s="102" t="s">
        <v>261</v>
      </c>
      <c r="N111" s="102"/>
      <c r="O111" s="45" t="s">
        <v>207</v>
      </c>
      <c r="P111" s="45" t="s">
        <v>208</v>
      </c>
      <c r="Q111" s="75">
        <f>VLOOKUP(B111,LOV!$B:$C,2,FALSE)</f>
        <v>50</v>
      </c>
      <c r="R111" s="75" t="str">
        <f>VLOOKUP(B111,LOV!$B:$D,3,FALSE)</f>
        <v>BB</v>
      </c>
      <c r="S111" s="75" t="str">
        <f>VLOOKUP($X111,LOV!$F:$L,2,FALSE)</f>
        <v>WK2</v>
      </c>
      <c r="T111" s="88">
        <f>VLOOKUP($X111,LOV!$F:$L,7,FALSE)</f>
        <v>45922</v>
      </c>
      <c r="V111" s="53">
        <v>0</v>
      </c>
      <c r="W111" s="65">
        <f t="shared" si="1"/>
        <v>0</v>
      </c>
      <c r="X111" s="53" t="s">
        <v>209</v>
      </c>
      <c r="Y111" s="67">
        <v>45925</v>
      </c>
      <c r="Z111" s="67">
        <v>45929</v>
      </c>
      <c r="AA111" s="67">
        <v>45929</v>
      </c>
    </row>
    <row r="112" spans="1:27" ht="28.9">
      <c r="A112" s="53">
        <v>1107</v>
      </c>
      <c r="B112" s="71" t="s">
        <v>430</v>
      </c>
      <c r="C112" s="45" t="s">
        <v>503</v>
      </c>
      <c r="D112" s="72" t="s">
        <v>515</v>
      </c>
      <c r="E112" s="45">
        <v>1</v>
      </c>
      <c r="F112" s="46" t="s">
        <v>516</v>
      </c>
      <c r="G112" s="47" t="s">
        <v>517</v>
      </c>
      <c r="H112" s="47" t="s">
        <v>204</v>
      </c>
      <c r="I112" s="45" t="s">
        <v>218</v>
      </c>
      <c r="J112" s="45" t="s">
        <v>205</v>
      </c>
      <c r="L112" s="102"/>
      <c r="M112" s="78" t="s">
        <v>518</v>
      </c>
      <c r="N112" s="78"/>
      <c r="O112" s="107" t="s">
        <v>207</v>
      </c>
      <c r="P112" s="45" t="s">
        <v>458</v>
      </c>
      <c r="Q112" s="75">
        <f>VLOOKUP(B112,LOV!$B:$C,2,FALSE)</f>
        <v>50</v>
      </c>
      <c r="R112" s="75" t="str">
        <f>VLOOKUP(B112,LOV!$B:$D,3,FALSE)</f>
        <v>BB</v>
      </c>
      <c r="S112" s="75" t="str">
        <f>VLOOKUP($X112,LOV!$F:$L,2,FALSE)</f>
        <v>WK2</v>
      </c>
      <c r="T112" s="88">
        <f>VLOOKUP($X112,LOV!$F:$L,7,FALSE)</f>
        <v>45922</v>
      </c>
      <c r="U112" s="53">
        <v>6</v>
      </c>
      <c r="V112" s="53">
        <v>3</v>
      </c>
      <c r="W112" s="65">
        <f t="shared" si="1"/>
        <v>1.5</v>
      </c>
      <c r="X112" s="53" t="s">
        <v>209</v>
      </c>
      <c r="Y112" s="67">
        <v>45923</v>
      </c>
      <c r="Z112" s="67">
        <v>45929</v>
      </c>
      <c r="AA112" s="67">
        <v>45929</v>
      </c>
    </row>
    <row r="113" spans="1:27" ht="28.9">
      <c r="A113" s="53">
        <v>1108</v>
      </c>
      <c r="B113" s="71" t="s">
        <v>430</v>
      </c>
      <c r="C113" s="45" t="s">
        <v>503</v>
      </c>
      <c r="D113" s="69" t="s">
        <v>519</v>
      </c>
      <c r="E113" s="45">
        <v>0</v>
      </c>
      <c r="F113" s="46">
        <v>51</v>
      </c>
      <c r="G113" s="47" t="s">
        <v>517</v>
      </c>
      <c r="H113" s="47" t="s">
        <v>204</v>
      </c>
      <c r="I113" s="45" t="s">
        <v>218</v>
      </c>
      <c r="L113" s="102" t="s">
        <v>506</v>
      </c>
      <c r="M113" s="102" t="s">
        <v>261</v>
      </c>
      <c r="N113" s="102"/>
      <c r="O113" s="45" t="s">
        <v>207</v>
      </c>
      <c r="P113" s="45" t="s">
        <v>208</v>
      </c>
      <c r="Q113" s="75">
        <f>VLOOKUP(B113,LOV!$B:$C,2,FALSE)</f>
        <v>50</v>
      </c>
      <c r="R113" s="75" t="str">
        <f>VLOOKUP(B113,LOV!$B:$D,3,FALSE)</f>
        <v>BB</v>
      </c>
      <c r="S113" s="75" t="str">
        <f>VLOOKUP($X113,LOV!$F:$L,2,FALSE)</f>
        <v>WK2</v>
      </c>
      <c r="T113" s="88">
        <f>VLOOKUP($X113,LOV!$F:$L,7,FALSE)</f>
        <v>45922</v>
      </c>
      <c r="V113" s="53">
        <v>0</v>
      </c>
      <c r="W113" s="65">
        <f t="shared" si="1"/>
        <v>0</v>
      </c>
      <c r="X113" s="53" t="s">
        <v>209</v>
      </c>
      <c r="Y113" s="67">
        <v>45925</v>
      </c>
      <c r="Z113" s="67">
        <v>45929</v>
      </c>
      <c r="AA113" s="67">
        <v>45929</v>
      </c>
    </row>
    <row r="114" spans="1:27" ht="28.9">
      <c r="A114" s="53">
        <v>1109</v>
      </c>
      <c r="B114" s="71" t="s">
        <v>430</v>
      </c>
      <c r="C114" s="45" t="s">
        <v>503</v>
      </c>
      <c r="D114" s="72" t="s">
        <v>520</v>
      </c>
      <c r="E114" s="45">
        <v>1</v>
      </c>
      <c r="F114" s="46" t="s">
        <v>521</v>
      </c>
      <c r="G114" s="47" t="s">
        <v>522</v>
      </c>
      <c r="H114" s="47" t="s">
        <v>204</v>
      </c>
      <c r="I114" s="45" t="s">
        <v>218</v>
      </c>
      <c r="J114" s="45" t="s">
        <v>385</v>
      </c>
      <c r="L114" s="102"/>
      <c r="M114" s="102" t="s">
        <v>261</v>
      </c>
      <c r="N114" s="102"/>
      <c r="O114" s="45" t="s">
        <v>207</v>
      </c>
      <c r="P114" s="45" t="s">
        <v>208</v>
      </c>
      <c r="Q114" s="75">
        <f>VLOOKUP(B114,LOV!$B:$C,2,FALSE)</f>
        <v>50</v>
      </c>
      <c r="R114" s="75" t="str">
        <f>VLOOKUP(B114,LOV!$B:$D,3,FALSE)</f>
        <v>BB</v>
      </c>
      <c r="S114" s="75" t="str">
        <f>VLOOKUP($X114,LOV!$F:$L,2,FALSE)</f>
        <v>WK2</v>
      </c>
      <c r="T114" s="88">
        <f>VLOOKUP($X114,LOV!$F:$L,7,FALSE)</f>
        <v>45922</v>
      </c>
      <c r="V114" s="53">
        <v>3</v>
      </c>
      <c r="W114" s="65">
        <f t="shared" si="1"/>
        <v>1.5</v>
      </c>
      <c r="X114" s="53" t="s">
        <v>209</v>
      </c>
      <c r="Y114" s="67">
        <v>45925</v>
      </c>
      <c r="Z114" s="67">
        <v>45929</v>
      </c>
      <c r="AA114" s="67">
        <v>45929</v>
      </c>
    </row>
    <row r="115" spans="1:27" ht="28.9">
      <c r="A115" s="53">
        <v>1110</v>
      </c>
      <c r="B115" s="71" t="s">
        <v>430</v>
      </c>
      <c r="C115" s="45" t="s">
        <v>503</v>
      </c>
      <c r="D115" s="72" t="s">
        <v>523</v>
      </c>
      <c r="E115" s="45">
        <v>0</v>
      </c>
      <c r="F115" s="46">
        <v>51</v>
      </c>
      <c r="G115" s="47" t="s">
        <v>522</v>
      </c>
      <c r="H115" s="47" t="s">
        <v>204</v>
      </c>
      <c r="I115" s="45" t="s">
        <v>218</v>
      </c>
      <c r="L115" s="102" t="s">
        <v>524</v>
      </c>
      <c r="M115" s="102" t="s">
        <v>261</v>
      </c>
      <c r="N115" s="102"/>
      <c r="O115" s="45" t="s">
        <v>207</v>
      </c>
      <c r="P115" s="45" t="s">
        <v>208</v>
      </c>
      <c r="Q115" s="75">
        <f>VLOOKUP(B115,LOV!$B:$C,2,FALSE)</f>
        <v>50</v>
      </c>
      <c r="R115" s="75" t="str">
        <f>VLOOKUP(B115,LOV!$B:$D,3,FALSE)</f>
        <v>BB</v>
      </c>
      <c r="S115" s="75" t="str">
        <f>VLOOKUP($X115,LOV!$F:$L,2,FALSE)</f>
        <v>WK2</v>
      </c>
      <c r="T115" s="88">
        <f>VLOOKUP($X115,LOV!$F:$L,7,FALSE)</f>
        <v>45922</v>
      </c>
      <c r="V115" s="53">
        <v>0</v>
      </c>
      <c r="W115" s="65">
        <f t="shared" si="1"/>
        <v>0</v>
      </c>
      <c r="X115" s="53" t="s">
        <v>209</v>
      </c>
      <c r="Y115" s="67">
        <v>45925</v>
      </c>
      <c r="Z115" s="67">
        <v>45929</v>
      </c>
      <c r="AA115" s="67">
        <v>45929</v>
      </c>
    </row>
    <row r="116" spans="1:27" ht="43.15">
      <c r="A116" s="53">
        <v>1111</v>
      </c>
      <c r="B116" s="71" t="s">
        <v>430</v>
      </c>
      <c r="C116" s="45" t="s">
        <v>503</v>
      </c>
      <c r="D116" s="72" t="s">
        <v>525</v>
      </c>
      <c r="E116" s="45">
        <v>1</v>
      </c>
      <c r="F116" s="46" t="s">
        <v>521</v>
      </c>
      <c r="G116" s="47" t="s">
        <v>526</v>
      </c>
      <c r="H116" s="47" t="s">
        <v>204</v>
      </c>
      <c r="I116" s="45" t="s">
        <v>218</v>
      </c>
      <c r="J116" s="45" t="s">
        <v>385</v>
      </c>
      <c r="L116" s="102"/>
      <c r="M116" s="102" t="s">
        <v>261</v>
      </c>
      <c r="N116" s="102"/>
      <c r="O116" s="45" t="s">
        <v>207</v>
      </c>
      <c r="P116" s="45" t="s">
        <v>208</v>
      </c>
      <c r="Q116" s="75">
        <f>VLOOKUP(B116,LOV!$B:$C,2,FALSE)</f>
        <v>50</v>
      </c>
      <c r="R116" s="75" t="str">
        <f>VLOOKUP(B116,LOV!$B:$D,3,FALSE)</f>
        <v>BB</v>
      </c>
      <c r="S116" s="75" t="str">
        <f>VLOOKUP($X116,LOV!$F:$L,2,FALSE)</f>
        <v>WK2</v>
      </c>
      <c r="T116" s="88">
        <f>VLOOKUP($X116,LOV!$F:$L,7,FALSE)</f>
        <v>45922</v>
      </c>
      <c r="V116" s="53">
        <v>3</v>
      </c>
      <c r="W116" s="65">
        <f t="shared" si="1"/>
        <v>1.5</v>
      </c>
      <c r="X116" s="53" t="s">
        <v>209</v>
      </c>
      <c r="Y116" s="67">
        <v>45925</v>
      </c>
      <c r="Z116" s="67">
        <v>45929</v>
      </c>
      <c r="AA116" s="67">
        <v>45929</v>
      </c>
    </row>
    <row r="117" spans="1:27" ht="43.15">
      <c r="A117" s="53">
        <v>1112</v>
      </c>
      <c r="B117" s="71" t="s">
        <v>430</v>
      </c>
      <c r="C117" s="45" t="s">
        <v>503</v>
      </c>
      <c r="D117" s="72" t="s">
        <v>527</v>
      </c>
      <c r="E117" s="45">
        <v>0</v>
      </c>
      <c r="F117" s="46">
        <v>51</v>
      </c>
      <c r="G117" s="47" t="s">
        <v>526</v>
      </c>
      <c r="H117" s="47" t="s">
        <v>204</v>
      </c>
      <c r="I117" s="45" t="s">
        <v>218</v>
      </c>
      <c r="L117" s="102" t="s">
        <v>459</v>
      </c>
      <c r="M117" s="102" t="s">
        <v>261</v>
      </c>
      <c r="N117" s="102"/>
      <c r="O117" s="45" t="s">
        <v>207</v>
      </c>
      <c r="P117" s="45" t="s">
        <v>208</v>
      </c>
      <c r="Q117" s="75">
        <f>VLOOKUP(B117,LOV!$B:$C,2,FALSE)</f>
        <v>50</v>
      </c>
      <c r="R117" s="75" t="str">
        <f>VLOOKUP(B117,LOV!$B:$D,3,FALSE)</f>
        <v>BB</v>
      </c>
      <c r="S117" s="75" t="str">
        <f>VLOOKUP($X117,LOV!$F:$L,2,FALSE)</f>
        <v>WK2</v>
      </c>
      <c r="T117" s="88">
        <f>VLOOKUP($X117,LOV!$F:$L,7,FALSE)</f>
        <v>45922</v>
      </c>
      <c r="V117" s="53">
        <v>0</v>
      </c>
      <c r="W117" s="65">
        <f t="shared" si="1"/>
        <v>0</v>
      </c>
      <c r="X117" s="53" t="s">
        <v>209</v>
      </c>
      <c r="Y117" s="67">
        <v>45925</v>
      </c>
      <c r="Z117" s="67">
        <v>45929</v>
      </c>
      <c r="AA117" s="67">
        <v>45929</v>
      </c>
    </row>
    <row r="118" spans="1:27" ht="119.45" customHeight="1">
      <c r="A118" s="53">
        <v>1113</v>
      </c>
      <c r="B118" s="71" t="s">
        <v>430</v>
      </c>
      <c r="C118" s="45" t="s">
        <v>528</v>
      </c>
      <c r="D118" s="72" t="s">
        <v>529</v>
      </c>
      <c r="E118" s="45">
        <v>1</v>
      </c>
      <c r="F118" s="46">
        <v>52</v>
      </c>
      <c r="G118" s="47" t="s">
        <v>530</v>
      </c>
      <c r="H118" s="47" t="s">
        <v>204</v>
      </c>
      <c r="I118" s="45" t="s">
        <v>218</v>
      </c>
      <c r="L118" s="47" t="s">
        <v>271</v>
      </c>
      <c r="M118" s="102" t="s">
        <v>531</v>
      </c>
      <c r="N118" s="102"/>
      <c r="O118" s="45" t="s">
        <v>532</v>
      </c>
      <c r="P118" s="45" t="s">
        <v>458</v>
      </c>
      <c r="Q118" s="75">
        <f>VLOOKUP(B118,LOV!$B:$C,2,FALSE)</f>
        <v>50</v>
      </c>
      <c r="R118" s="75" t="str">
        <f>VLOOKUP(B118,LOV!$B:$D,3,FALSE)</f>
        <v>BB</v>
      </c>
      <c r="S118" s="75" t="str">
        <f>VLOOKUP($X118,LOV!$F:$L,2,FALSE)</f>
        <v>WK2</v>
      </c>
      <c r="T118" s="88">
        <f>VLOOKUP($X118,LOV!$F:$L,7,FALSE)</f>
        <v>45922</v>
      </c>
      <c r="V118" s="53">
        <v>1</v>
      </c>
      <c r="W118" s="65">
        <f t="shared" si="1"/>
        <v>0.5</v>
      </c>
      <c r="X118" s="53" t="s">
        <v>209</v>
      </c>
      <c r="Y118" s="67">
        <v>45925</v>
      </c>
      <c r="Z118" s="67">
        <v>45929</v>
      </c>
    </row>
    <row r="119" spans="1:27" ht="57.6">
      <c r="A119" s="53">
        <v>1114</v>
      </c>
      <c r="B119" s="71" t="s">
        <v>430</v>
      </c>
      <c r="C119" s="45" t="s">
        <v>528</v>
      </c>
      <c r="D119" s="72" t="s">
        <v>533</v>
      </c>
      <c r="E119" s="45">
        <v>1</v>
      </c>
      <c r="F119" s="46" t="s">
        <v>534</v>
      </c>
      <c r="G119" s="47" t="s">
        <v>46</v>
      </c>
      <c r="I119" s="45" t="s">
        <v>218</v>
      </c>
      <c r="J119" s="45" t="s">
        <v>535</v>
      </c>
      <c r="L119" s="47" t="s">
        <v>417</v>
      </c>
      <c r="M119" s="68" t="s">
        <v>536</v>
      </c>
      <c r="N119" s="68"/>
      <c r="O119" s="79" t="s">
        <v>412</v>
      </c>
      <c r="P119" s="45" t="s">
        <v>458</v>
      </c>
      <c r="Q119" s="75">
        <f>VLOOKUP(B119,LOV!$B:$C,2,FALSE)</f>
        <v>50</v>
      </c>
      <c r="R119" s="75" t="str">
        <f>VLOOKUP(B119,LOV!$B:$D,3,FALSE)</f>
        <v>BB</v>
      </c>
      <c r="S119" s="75" t="str">
        <f>VLOOKUP($X119,LOV!$F:$L,2,FALSE)</f>
        <v>WK2</v>
      </c>
      <c r="T119" s="88">
        <f>VLOOKUP($X119,LOV!$F:$L,7,FALSE)</f>
        <v>45922</v>
      </c>
      <c r="V119" s="53">
        <v>1</v>
      </c>
      <c r="W119" s="65">
        <f t="shared" si="1"/>
        <v>0.5</v>
      </c>
      <c r="X119" s="53" t="s">
        <v>209</v>
      </c>
      <c r="Y119" s="67">
        <v>45925</v>
      </c>
      <c r="Z119" s="67">
        <v>45929</v>
      </c>
    </row>
    <row r="120" spans="1:27" ht="43.15">
      <c r="A120" s="98">
        <v>1071</v>
      </c>
      <c r="B120" s="71" t="s">
        <v>408</v>
      </c>
      <c r="C120" s="45" t="s">
        <v>414</v>
      </c>
      <c r="D120" s="72" t="s">
        <v>154</v>
      </c>
      <c r="E120" s="45">
        <v>0</v>
      </c>
      <c r="F120" s="70" t="s">
        <v>537</v>
      </c>
      <c r="G120" s="47" t="s">
        <v>203</v>
      </c>
      <c r="I120" s="45" t="s">
        <v>248</v>
      </c>
      <c r="M120" s="47" t="s">
        <v>538</v>
      </c>
      <c r="O120" s="45" t="s">
        <v>377</v>
      </c>
      <c r="P120" s="45" t="s">
        <v>406</v>
      </c>
      <c r="Q120" s="75">
        <f>VLOOKUP(B120,LOV!$B:$C,2,FALSE)</f>
        <v>40</v>
      </c>
      <c r="R120" s="75" t="str">
        <f>VLOOKUP(B120,LOV!$B:$D,3,FALSE)</f>
        <v>GG</v>
      </c>
      <c r="S120" s="75" t="str">
        <f>VLOOKUP($X120,LOV!$F:$L,2,FALSE)</f>
        <v>WK5</v>
      </c>
      <c r="T120" s="88">
        <f>VLOOKUP($X120,LOV!$F:$L,7,FALSE)</f>
        <v>45943</v>
      </c>
      <c r="V120" s="53">
        <v>0</v>
      </c>
      <c r="W120" s="65">
        <f t="shared" si="1"/>
        <v>0</v>
      </c>
      <c r="X120" s="53" t="s">
        <v>407</v>
      </c>
      <c r="Z120" s="67">
        <v>45929</v>
      </c>
    </row>
    <row r="121" spans="1:27">
      <c r="A121" s="53">
        <v>1115</v>
      </c>
      <c r="B121" s="71" t="s">
        <v>430</v>
      </c>
      <c r="C121" s="45" t="s">
        <v>528</v>
      </c>
      <c r="D121" s="72" t="s">
        <v>539</v>
      </c>
      <c r="E121" s="45">
        <v>0</v>
      </c>
      <c r="F121" s="46" t="s">
        <v>534</v>
      </c>
      <c r="G121" s="47" t="s">
        <v>203</v>
      </c>
      <c r="I121" s="45" t="s">
        <v>218</v>
      </c>
      <c r="J121" s="45" t="s">
        <v>535</v>
      </c>
      <c r="M121" s="68" t="s">
        <v>540</v>
      </c>
      <c r="N121" s="68"/>
      <c r="O121" s="79" t="s">
        <v>412</v>
      </c>
      <c r="P121" s="45" t="s">
        <v>458</v>
      </c>
      <c r="Q121" s="75">
        <f>VLOOKUP(B121,LOV!$B:$C,2,FALSE)</f>
        <v>50</v>
      </c>
      <c r="R121" s="75" t="str">
        <f>VLOOKUP(B121,LOV!$B:$D,3,FALSE)</f>
        <v>BB</v>
      </c>
      <c r="S121" s="75" t="str">
        <f>VLOOKUP($X121,LOV!$F:$L,2,FALSE)</f>
        <v>WK2</v>
      </c>
      <c r="T121" s="88">
        <f>VLOOKUP($X121,LOV!$F:$L,7,FALSE)</f>
        <v>45922</v>
      </c>
      <c r="V121" s="53">
        <v>0</v>
      </c>
      <c r="W121" s="65">
        <f t="shared" si="1"/>
        <v>0</v>
      </c>
      <c r="X121" s="53" t="s">
        <v>209</v>
      </c>
      <c r="Y121" s="67">
        <v>45925</v>
      </c>
      <c r="Z121" s="67">
        <v>45929</v>
      </c>
    </row>
    <row r="122" spans="1:27" ht="57.6">
      <c r="A122" s="53">
        <v>1116</v>
      </c>
      <c r="B122" s="71" t="s">
        <v>430</v>
      </c>
      <c r="C122" s="45" t="s">
        <v>528</v>
      </c>
      <c r="D122" s="72" t="s">
        <v>541</v>
      </c>
      <c r="E122" s="45">
        <v>1</v>
      </c>
      <c r="F122" s="46" t="s">
        <v>534</v>
      </c>
      <c r="G122" s="47" t="s">
        <v>46</v>
      </c>
      <c r="I122" s="45" t="s">
        <v>218</v>
      </c>
      <c r="J122" s="45" t="s">
        <v>535</v>
      </c>
      <c r="L122" s="47" t="s">
        <v>417</v>
      </c>
      <c r="M122" s="68" t="s">
        <v>542</v>
      </c>
      <c r="N122" s="68"/>
      <c r="O122" s="79" t="s">
        <v>412</v>
      </c>
      <c r="P122" s="45" t="s">
        <v>458</v>
      </c>
      <c r="Q122" s="75">
        <f>VLOOKUP(B122,LOV!$B:$C,2,FALSE)</f>
        <v>50</v>
      </c>
      <c r="R122" s="75" t="str">
        <f>VLOOKUP(B122,LOV!$B:$D,3,FALSE)</f>
        <v>BB</v>
      </c>
      <c r="S122" s="75" t="str">
        <f>VLOOKUP($X122,LOV!$F:$L,2,FALSE)</f>
        <v>WK2</v>
      </c>
      <c r="T122" s="88">
        <f>VLOOKUP($X122,LOV!$F:$L,7,FALSE)</f>
        <v>45922</v>
      </c>
      <c r="V122" s="53">
        <v>1</v>
      </c>
      <c r="W122" s="65">
        <f t="shared" si="1"/>
        <v>0.5</v>
      </c>
      <c r="X122" s="53" t="s">
        <v>209</v>
      </c>
      <c r="Y122" s="67">
        <v>45925</v>
      </c>
      <c r="Z122" s="67">
        <v>45929</v>
      </c>
    </row>
    <row r="123" spans="1:27" ht="72">
      <c r="A123" s="53">
        <v>1117</v>
      </c>
      <c r="B123" s="71" t="s">
        <v>430</v>
      </c>
      <c r="C123" s="45" t="s">
        <v>528</v>
      </c>
      <c r="D123" s="72" t="s">
        <v>155</v>
      </c>
      <c r="E123" s="45">
        <v>0</v>
      </c>
      <c r="F123" s="46" t="s">
        <v>543</v>
      </c>
      <c r="G123" s="47" t="s">
        <v>203</v>
      </c>
      <c r="I123" s="45" t="s">
        <v>218</v>
      </c>
      <c r="J123" s="45" t="s">
        <v>535</v>
      </c>
      <c r="M123" s="68" t="s">
        <v>544</v>
      </c>
      <c r="N123" s="68"/>
      <c r="O123" s="79" t="s">
        <v>412</v>
      </c>
      <c r="P123" s="45" t="s">
        <v>458</v>
      </c>
      <c r="Q123" s="75">
        <f>VLOOKUP(B123,LOV!$B:$C,2,FALSE)</f>
        <v>50</v>
      </c>
      <c r="R123" s="75" t="str">
        <f>VLOOKUP(B123,LOV!$B:$D,3,FALSE)</f>
        <v>BB</v>
      </c>
      <c r="S123" s="75" t="str">
        <f>VLOOKUP($X123,LOV!$F:$L,2,FALSE)</f>
        <v>WK2</v>
      </c>
      <c r="T123" s="88">
        <f>VLOOKUP($X123,LOV!$F:$L,7,FALSE)</f>
        <v>45922</v>
      </c>
      <c r="V123" s="53">
        <v>0</v>
      </c>
      <c r="W123" s="65">
        <f t="shared" si="1"/>
        <v>0</v>
      </c>
      <c r="X123" s="53" t="s">
        <v>209</v>
      </c>
      <c r="Y123" s="67">
        <v>45925</v>
      </c>
      <c r="Z123" s="67">
        <v>45929</v>
      </c>
    </row>
    <row r="124" spans="1:27">
      <c r="A124" s="53">
        <v>1118</v>
      </c>
      <c r="B124" s="71" t="s">
        <v>430</v>
      </c>
      <c r="C124" s="45" t="s">
        <v>528</v>
      </c>
      <c r="D124" s="72" t="s">
        <v>545</v>
      </c>
      <c r="E124" s="45">
        <v>1</v>
      </c>
      <c r="F124" s="46" t="s">
        <v>534</v>
      </c>
      <c r="G124" s="47" t="s">
        <v>46</v>
      </c>
      <c r="I124" s="45" t="s">
        <v>218</v>
      </c>
      <c r="J124" s="45" t="s">
        <v>535</v>
      </c>
      <c r="L124" s="47" t="s">
        <v>417</v>
      </c>
      <c r="M124" s="68" t="s">
        <v>546</v>
      </c>
      <c r="N124" s="68"/>
      <c r="O124" s="79" t="s">
        <v>412</v>
      </c>
      <c r="P124" s="45" t="s">
        <v>458</v>
      </c>
      <c r="Q124" s="75">
        <f>VLOOKUP(B124,LOV!$B:$C,2,FALSE)</f>
        <v>50</v>
      </c>
      <c r="R124" s="75" t="str">
        <f>VLOOKUP(B124,LOV!$B:$D,3,FALSE)</f>
        <v>BB</v>
      </c>
      <c r="S124" s="75" t="str">
        <f>VLOOKUP($X124,LOV!$F:$L,2,FALSE)</f>
        <v>WK2</v>
      </c>
      <c r="T124" s="88">
        <f>VLOOKUP($X124,LOV!$F:$L,7,FALSE)</f>
        <v>45922</v>
      </c>
      <c r="V124" s="53">
        <v>1</v>
      </c>
      <c r="W124" s="65">
        <f t="shared" si="1"/>
        <v>0.5</v>
      </c>
      <c r="X124" s="53" t="s">
        <v>209</v>
      </c>
      <c r="Y124" s="67">
        <v>45925</v>
      </c>
      <c r="Z124" s="67">
        <v>45929</v>
      </c>
    </row>
    <row r="125" spans="1:27">
      <c r="A125" s="53">
        <v>1119</v>
      </c>
      <c r="B125" s="71" t="s">
        <v>430</v>
      </c>
      <c r="C125" s="45" t="s">
        <v>528</v>
      </c>
      <c r="D125" s="72" t="s">
        <v>547</v>
      </c>
      <c r="E125" s="45">
        <v>1</v>
      </c>
      <c r="F125" s="46" t="s">
        <v>534</v>
      </c>
      <c r="G125" s="47" t="s">
        <v>46</v>
      </c>
      <c r="I125" s="45" t="s">
        <v>218</v>
      </c>
      <c r="J125" s="45" t="s">
        <v>535</v>
      </c>
      <c r="L125" s="47" t="s">
        <v>417</v>
      </c>
      <c r="M125" s="68" t="s">
        <v>548</v>
      </c>
      <c r="N125" s="68"/>
      <c r="O125" s="79" t="s">
        <v>412</v>
      </c>
      <c r="P125" s="45" t="s">
        <v>458</v>
      </c>
      <c r="Q125" s="75">
        <f>VLOOKUP(B125,LOV!$B:$C,2,FALSE)</f>
        <v>50</v>
      </c>
      <c r="R125" s="75" t="str">
        <f>VLOOKUP(B125,LOV!$B:$D,3,FALSE)</f>
        <v>BB</v>
      </c>
      <c r="S125" s="75" t="str">
        <f>VLOOKUP($X125,LOV!$F:$L,2,FALSE)</f>
        <v>WK2</v>
      </c>
      <c r="T125" s="88">
        <f>VLOOKUP($X125,LOV!$F:$L,7,FALSE)</f>
        <v>45922</v>
      </c>
      <c r="V125" s="53">
        <v>1</v>
      </c>
      <c r="W125" s="65">
        <f t="shared" si="1"/>
        <v>0.5</v>
      </c>
      <c r="X125" s="53" t="s">
        <v>209</v>
      </c>
      <c r="Y125" s="67">
        <v>45925</v>
      </c>
      <c r="Z125" s="67">
        <v>45929</v>
      </c>
    </row>
    <row r="126" spans="1:27">
      <c r="A126" s="53">
        <v>1120</v>
      </c>
      <c r="B126" s="71" t="s">
        <v>430</v>
      </c>
      <c r="C126" s="45" t="s">
        <v>528</v>
      </c>
      <c r="D126" s="72" t="s">
        <v>549</v>
      </c>
      <c r="E126" s="45">
        <v>1</v>
      </c>
      <c r="F126" s="46" t="s">
        <v>534</v>
      </c>
      <c r="G126" s="47" t="s">
        <v>46</v>
      </c>
      <c r="I126" s="45" t="s">
        <v>218</v>
      </c>
      <c r="J126" s="45" t="s">
        <v>535</v>
      </c>
      <c r="L126" s="47" t="s">
        <v>417</v>
      </c>
      <c r="M126" s="68" t="s">
        <v>550</v>
      </c>
      <c r="N126" s="68"/>
      <c r="O126" s="79" t="s">
        <v>412</v>
      </c>
      <c r="P126" s="45" t="s">
        <v>458</v>
      </c>
      <c r="Q126" s="75">
        <f>VLOOKUP(B126,LOV!$B:$C,2,FALSE)</f>
        <v>50</v>
      </c>
      <c r="R126" s="75" t="str">
        <f>VLOOKUP(B126,LOV!$B:$D,3,FALSE)</f>
        <v>BB</v>
      </c>
      <c r="S126" s="75" t="str">
        <f>VLOOKUP($X126,LOV!$F:$L,2,FALSE)</f>
        <v>WK2</v>
      </c>
      <c r="T126" s="88">
        <f>VLOOKUP($X126,LOV!$F:$L,7,FALSE)</f>
        <v>45922</v>
      </c>
      <c r="V126" s="53">
        <v>1</v>
      </c>
      <c r="W126" s="65">
        <f t="shared" si="1"/>
        <v>0.5</v>
      </c>
      <c r="X126" s="53" t="s">
        <v>209</v>
      </c>
      <c r="Y126" s="67">
        <v>45925</v>
      </c>
      <c r="Z126" s="67">
        <v>45929</v>
      </c>
    </row>
    <row r="127" spans="1:27" ht="43.15" customHeight="1">
      <c r="A127" s="53">
        <v>1121</v>
      </c>
      <c r="B127" s="71" t="s">
        <v>430</v>
      </c>
      <c r="C127" s="45" t="s">
        <v>528</v>
      </c>
      <c r="D127" s="72" t="s">
        <v>551</v>
      </c>
      <c r="E127" s="45">
        <v>0</v>
      </c>
      <c r="F127" s="46" t="s">
        <v>534</v>
      </c>
      <c r="G127" s="47" t="s">
        <v>203</v>
      </c>
      <c r="I127" s="45" t="s">
        <v>218</v>
      </c>
      <c r="J127" s="45" t="s">
        <v>535</v>
      </c>
      <c r="M127" s="109" t="s">
        <v>552</v>
      </c>
      <c r="N127" s="109"/>
      <c r="O127" s="79" t="s">
        <v>412</v>
      </c>
      <c r="P127" s="45" t="s">
        <v>458</v>
      </c>
      <c r="Q127" s="75">
        <f>VLOOKUP(B127,LOV!$B:$C,2,FALSE)</f>
        <v>50</v>
      </c>
      <c r="R127" s="75" t="str">
        <f>VLOOKUP(B127,LOV!$B:$D,3,FALSE)</f>
        <v>BB</v>
      </c>
      <c r="S127" s="75" t="str">
        <f>VLOOKUP($X127,LOV!$F:$L,2,FALSE)</f>
        <v>WK2</v>
      </c>
      <c r="T127" s="88">
        <f>VLOOKUP($X127,LOV!$F:$L,7,FALSE)</f>
        <v>45922</v>
      </c>
      <c r="V127" s="53">
        <v>0</v>
      </c>
      <c r="W127" s="65">
        <f t="shared" si="1"/>
        <v>0</v>
      </c>
      <c r="X127" s="53" t="s">
        <v>209</v>
      </c>
      <c r="Y127" s="67">
        <v>45925</v>
      </c>
      <c r="Z127" s="67">
        <v>45929</v>
      </c>
    </row>
    <row r="128" spans="1:27">
      <c r="A128" s="53">
        <v>1122</v>
      </c>
      <c r="B128" s="71" t="s">
        <v>430</v>
      </c>
      <c r="C128" s="45" t="s">
        <v>528</v>
      </c>
      <c r="D128" s="72" t="s">
        <v>553</v>
      </c>
      <c r="E128" s="45">
        <v>0</v>
      </c>
      <c r="F128" s="46" t="s">
        <v>534</v>
      </c>
      <c r="G128" s="47" t="s">
        <v>203</v>
      </c>
      <c r="I128" s="45" t="s">
        <v>218</v>
      </c>
      <c r="J128" s="45" t="s">
        <v>535</v>
      </c>
      <c r="M128" s="68" t="s">
        <v>554</v>
      </c>
      <c r="N128" s="68"/>
      <c r="O128" s="79" t="s">
        <v>412</v>
      </c>
      <c r="P128" s="45" t="s">
        <v>458</v>
      </c>
      <c r="Q128" s="75">
        <f>VLOOKUP(B128,LOV!$B:$C,2,FALSE)</f>
        <v>50</v>
      </c>
      <c r="R128" s="75" t="str">
        <f>VLOOKUP(B128,LOV!$B:$D,3,FALSE)</f>
        <v>BB</v>
      </c>
      <c r="S128" s="75" t="str">
        <f>VLOOKUP($X128,LOV!$F:$L,2,FALSE)</f>
        <v>WK2</v>
      </c>
      <c r="T128" s="88">
        <f>VLOOKUP($X128,LOV!$F:$L,7,FALSE)</f>
        <v>45922</v>
      </c>
      <c r="V128" s="53">
        <v>0</v>
      </c>
      <c r="W128" s="65">
        <f t="shared" si="1"/>
        <v>0</v>
      </c>
      <c r="X128" s="53" t="s">
        <v>209</v>
      </c>
      <c r="Y128" s="67">
        <v>45925</v>
      </c>
      <c r="Z128" s="67">
        <v>45929</v>
      </c>
    </row>
    <row r="129" spans="1:26" ht="45.6" customHeight="1">
      <c r="A129" s="53">
        <v>1123</v>
      </c>
      <c r="B129" s="71" t="s">
        <v>430</v>
      </c>
      <c r="C129" s="45" t="s">
        <v>528</v>
      </c>
      <c r="D129" s="72" t="s">
        <v>555</v>
      </c>
      <c r="E129" s="45">
        <v>0</v>
      </c>
      <c r="F129" s="46" t="s">
        <v>534</v>
      </c>
      <c r="G129" s="47" t="s">
        <v>203</v>
      </c>
      <c r="I129" s="45" t="s">
        <v>218</v>
      </c>
      <c r="J129" s="45" t="s">
        <v>535</v>
      </c>
      <c r="M129" s="109" t="s">
        <v>556</v>
      </c>
      <c r="N129" s="109"/>
      <c r="O129" s="79" t="s">
        <v>412</v>
      </c>
      <c r="P129" s="45" t="s">
        <v>458</v>
      </c>
      <c r="Q129" s="75">
        <f>VLOOKUP(B129,LOV!$B:$C,2,FALSE)</f>
        <v>50</v>
      </c>
      <c r="R129" s="75" t="str">
        <f>VLOOKUP(B129,LOV!$B:$D,3,FALSE)</f>
        <v>BB</v>
      </c>
      <c r="S129" s="75" t="str">
        <f>VLOOKUP($X129,LOV!$F:$L,2,FALSE)</f>
        <v>WK2</v>
      </c>
      <c r="T129" s="88">
        <f>VLOOKUP($X129,LOV!$F:$L,7,FALSE)</f>
        <v>45922</v>
      </c>
      <c r="V129" s="53">
        <v>0</v>
      </c>
      <c r="W129" s="65">
        <f t="shared" si="1"/>
        <v>0</v>
      </c>
      <c r="X129" s="53" t="s">
        <v>209</v>
      </c>
      <c r="Y129" s="67">
        <v>45925</v>
      </c>
      <c r="Z129" s="67">
        <v>45929</v>
      </c>
    </row>
    <row r="130" spans="1:26" ht="43.15">
      <c r="A130" s="53">
        <v>1124</v>
      </c>
      <c r="B130" s="71" t="s">
        <v>430</v>
      </c>
      <c r="C130" s="45" t="s">
        <v>528</v>
      </c>
      <c r="D130" s="72" t="s">
        <v>557</v>
      </c>
      <c r="E130" s="45">
        <v>1</v>
      </c>
      <c r="F130" s="46" t="s">
        <v>534</v>
      </c>
      <c r="G130" s="47" t="s">
        <v>46</v>
      </c>
      <c r="I130" s="45" t="s">
        <v>218</v>
      </c>
      <c r="J130" s="45" t="s">
        <v>535</v>
      </c>
      <c r="L130" s="47" t="s">
        <v>417</v>
      </c>
      <c r="M130" s="68" t="s">
        <v>558</v>
      </c>
      <c r="N130" s="68"/>
      <c r="O130" s="79" t="s">
        <v>412</v>
      </c>
      <c r="P130" s="45" t="s">
        <v>458</v>
      </c>
      <c r="Q130" s="75">
        <f>VLOOKUP(B130,LOV!$B:$C,2,FALSE)</f>
        <v>50</v>
      </c>
      <c r="R130" s="75" t="str">
        <f>VLOOKUP(B130,LOV!$B:$D,3,FALSE)</f>
        <v>BB</v>
      </c>
      <c r="S130" s="75" t="str">
        <f>VLOOKUP($X130,LOV!$F:$L,2,FALSE)</f>
        <v>WK2</v>
      </c>
      <c r="T130" s="88">
        <f>VLOOKUP($X130,LOV!$F:$L,7,FALSE)</f>
        <v>45922</v>
      </c>
      <c r="V130" s="53">
        <v>1</v>
      </c>
      <c r="W130" s="65">
        <f t="shared" si="1"/>
        <v>0.5</v>
      </c>
      <c r="X130" s="53" t="s">
        <v>209</v>
      </c>
      <c r="Y130" s="67">
        <v>45925</v>
      </c>
      <c r="Z130" s="67">
        <v>45929</v>
      </c>
    </row>
    <row r="131" spans="1:26" ht="43.15">
      <c r="A131" s="53">
        <v>1125</v>
      </c>
      <c r="B131" s="71" t="s">
        <v>430</v>
      </c>
      <c r="C131" s="45" t="s">
        <v>528</v>
      </c>
      <c r="D131" s="72" t="s">
        <v>559</v>
      </c>
      <c r="E131" s="45">
        <v>0</v>
      </c>
      <c r="F131" s="46" t="s">
        <v>534</v>
      </c>
      <c r="G131" s="47" t="s">
        <v>203</v>
      </c>
      <c r="I131" s="45" t="s">
        <v>218</v>
      </c>
      <c r="J131" s="45" t="s">
        <v>535</v>
      </c>
      <c r="M131" s="68" t="s">
        <v>560</v>
      </c>
      <c r="N131" s="68"/>
      <c r="O131" s="79" t="s">
        <v>412</v>
      </c>
      <c r="P131" s="45" t="s">
        <v>458</v>
      </c>
      <c r="Q131" s="75">
        <f>VLOOKUP(B131,LOV!$B:$C,2,FALSE)</f>
        <v>50</v>
      </c>
      <c r="R131" s="75" t="str">
        <f>VLOOKUP(B131,LOV!$B:$D,3,FALSE)</f>
        <v>BB</v>
      </c>
      <c r="S131" s="75" t="str">
        <f>VLOOKUP($X131,LOV!$F:$L,2,FALSE)</f>
        <v>WK2</v>
      </c>
      <c r="T131" s="88">
        <f>VLOOKUP($X131,LOV!$F:$L,7,FALSE)</f>
        <v>45922</v>
      </c>
      <c r="V131" s="53">
        <v>0</v>
      </c>
      <c r="W131" s="65">
        <f t="shared" si="1"/>
        <v>0</v>
      </c>
      <c r="X131" s="53" t="s">
        <v>209</v>
      </c>
      <c r="Y131" s="67">
        <v>45925</v>
      </c>
      <c r="Z131" s="67">
        <v>45929</v>
      </c>
    </row>
    <row r="132" spans="1:26" ht="72" customHeight="1">
      <c r="A132" s="53">
        <v>1126</v>
      </c>
      <c r="B132" s="71" t="s">
        <v>430</v>
      </c>
      <c r="C132" s="45" t="s">
        <v>561</v>
      </c>
      <c r="D132" s="72" t="s">
        <v>562</v>
      </c>
      <c r="E132" s="45">
        <v>0</v>
      </c>
      <c r="F132" s="46" t="s">
        <v>563</v>
      </c>
      <c r="G132" s="47" t="s">
        <v>564</v>
      </c>
      <c r="I132" s="45" t="s">
        <v>218</v>
      </c>
      <c r="M132" s="102" t="s">
        <v>565</v>
      </c>
      <c r="N132" s="102"/>
      <c r="O132" s="45" t="s">
        <v>532</v>
      </c>
      <c r="P132" s="45" t="s">
        <v>458</v>
      </c>
      <c r="Q132" s="75">
        <f>VLOOKUP(B132,LOV!$B:$C,2,FALSE)</f>
        <v>50</v>
      </c>
      <c r="R132" s="75" t="str">
        <f>VLOOKUP(B132,LOV!$B:$D,3,FALSE)</f>
        <v>BB</v>
      </c>
      <c r="S132" s="75" t="str">
        <f>VLOOKUP($X132,LOV!$F:$L,2,FALSE)</f>
        <v>WK2</v>
      </c>
      <c r="T132" s="88">
        <f>VLOOKUP($X132,LOV!$F:$L,7,FALSE)</f>
        <v>45922</v>
      </c>
      <c r="V132" s="53">
        <v>0</v>
      </c>
      <c r="W132" s="65">
        <f t="shared" ref="W132:W195" si="2">IF(ISNUMBER(V132),HLOOKUP(V132,$V$1:$AA$2,2,FALSE)*E132,"")</f>
        <v>0</v>
      </c>
      <c r="X132" s="53" t="s">
        <v>209</v>
      </c>
      <c r="Y132" s="67">
        <v>45925</v>
      </c>
      <c r="Z132" s="67">
        <v>45929</v>
      </c>
    </row>
    <row r="133" spans="1:26">
      <c r="A133" s="53">
        <v>1127</v>
      </c>
      <c r="B133" s="71" t="s">
        <v>430</v>
      </c>
      <c r="C133" s="45" t="s">
        <v>561</v>
      </c>
      <c r="D133" s="72" t="s">
        <v>566</v>
      </c>
      <c r="E133" s="45">
        <v>0</v>
      </c>
      <c r="F133" s="46" t="s">
        <v>563</v>
      </c>
      <c r="G133" s="47" t="s">
        <v>203</v>
      </c>
      <c r="I133" s="45" t="s">
        <v>218</v>
      </c>
      <c r="J133" s="45" t="s">
        <v>567</v>
      </c>
      <c r="L133" s="47" t="s">
        <v>568</v>
      </c>
      <c r="M133" s="68" t="s">
        <v>569</v>
      </c>
      <c r="N133" s="68"/>
      <c r="O133" s="45" t="s">
        <v>397</v>
      </c>
      <c r="P133" s="45" t="s">
        <v>458</v>
      </c>
      <c r="Q133" s="75">
        <f>VLOOKUP(B133,LOV!$B:$C,2,FALSE)</f>
        <v>50</v>
      </c>
      <c r="R133" s="75" t="str">
        <f>VLOOKUP(B133,LOV!$B:$D,3,FALSE)</f>
        <v>BB</v>
      </c>
      <c r="S133" s="75" t="str">
        <f>VLOOKUP($X133,LOV!$F:$L,2,FALSE)</f>
        <v>WK2</v>
      </c>
      <c r="T133" s="88">
        <f>VLOOKUP($X133,LOV!$F:$L,7,FALSE)</f>
        <v>45922</v>
      </c>
      <c r="U133" s="53">
        <v>7</v>
      </c>
      <c r="V133" s="53">
        <v>0</v>
      </c>
      <c r="W133" s="65">
        <f t="shared" si="2"/>
        <v>0</v>
      </c>
      <c r="X133" s="53" t="s">
        <v>209</v>
      </c>
      <c r="Y133" s="67">
        <v>45924</v>
      </c>
    </row>
    <row r="134" spans="1:26">
      <c r="A134" s="53">
        <v>1128</v>
      </c>
      <c r="B134" s="71" t="s">
        <v>430</v>
      </c>
      <c r="C134" s="45" t="s">
        <v>561</v>
      </c>
      <c r="D134" s="72" t="s">
        <v>570</v>
      </c>
      <c r="E134" s="45">
        <v>0</v>
      </c>
      <c r="F134" s="46" t="s">
        <v>563</v>
      </c>
      <c r="G134" s="47" t="s">
        <v>203</v>
      </c>
      <c r="I134" s="45" t="s">
        <v>218</v>
      </c>
      <c r="M134" s="68" t="s">
        <v>261</v>
      </c>
      <c r="N134" s="68"/>
      <c r="O134" s="45" t="s">
        <v>397</v>
      </c>
      <c r="P134" s="45" t="s">
        <v>458</v>
      </c>
      <c r="Q134" s="75">
        <f>VLOOKUP(B134,LOV!$B:$C,2,FALSE)</f>
        <v>50</v>
      </c>
      <c r="R134" s="75" t="str">
        <f>VLOOKUP(B134,LOV!$B:$D,3,FALSE)</f>
        <v>BB</v>
      </c>
      <c r="S134" s="75" t="str">
        <f>VLOOKUP($X134,LOV!$F:$L,2,FALSE)</f>
        <v>WK2</v>
      </c>
      <c r="T134" s="88">
        <f>VLOOKUP($X134,LOV!$F:$L,7,FALSE)</f>
        <v>45922</v>
      </c>
      <c r="V134" s="53">
        <v>0</v>
      </c>
      <c r="W134" s="65">
        <f t="shared" si="2"/>
        <v>0</v>
      </c>
      <c r="X134" s="53" t="s">
        <v>209</v>
      </c>
      <c r="Y134" s="67">
        <v>45925</v>
      </c>
    </row>
    <row r="135" spans="1:26" ht="100.9">
      <c r="A135" s="53">
        <v>1129</v>
      </c>
      <c r="B135" s="71" t="s">
        <v>430</v>
      </c>
      <c r="C135" s="45" t="s">
        <v>561</v>
      </c>
      <c r="D135" s="72" t="s">
        <v>571</v>
      </c>
      <c r="E135" s="45">
        <v>0</v>
      </c>
      <c r="F135" s="46">
        <v>52</v>
      </c>
      <c r="G135" s="47" t="s">
        <v>572</v>
      </c>
      <c r="I135" s="45" t="s">
        <v>218</v>
      </c>
      <c r="L135" s="102" t="s">
        <v>573</v>
      </c>
      <c r="M135" s="68" t="s">
        <v>574</v>
      </c>
      <c r="N135" s="68"/>
      <c r="O135" s="45" t="s">
        <v>397</v>
      </c>
      <c r="P135" s="45" t="s">
        <v>458</v>
      </c>
      <c r="Q135" s="75">
        <f>VLOOKUP(B135,LOV!$B:$C,2,FALSE)</f>
        <v>50</v>
      </c>
      <c r="R135" s="75" t="str">
        <f>VLOOKUP(B135,LOV!$B:$D,3,FALSE)</f>
        <v>BB</v>
      </c>
      <c r="S135" s="75" t="str">
        <f>VLOOKUP($X135,LOV!$F:$L,2,FALSE)</f>
        <v>WK2</v>
      </c>
      <c r="T135" s="88">
        <f>VLOOKUP($X135,LOV!$F:$L,7,FALSE)</f>
        <v>45922</v>
      </c>
      <c r="V135" s="53">
        <v>1</v>
      </c>
      <c r="W135" s="65">
        <f t="shared" si="2"/>
        <v>0</v>
      </c>
      <c r="X135" s="53" t="s">
        <v>209</v>
      </c>
      <c r="Y135" s="67">
        <v>45923</v>
      </c>
    </row>
    <row r="136" spans="1:26">
      <c r="A136" s="53">
        <v>1130</v>
      </c>
      <c r="B136" s="71" t="s">
        <v>430</v>
      </c>
      <c r="C136" s="45" t="s">
        <v>561</v>
      </c>
      <c r="D136" s="72" t="s">
        <v>575</v>
      </c>
      <c r="E136" s="45">
        <v>1</v>
      </c>
      <c r="F136" s="46" t="s">
        <v>576</v>
      </c>
      <c r="G136" s="47" t="s">
        <v>46</v>
      </c>
      <c r="I136" s="45" t="s">
        <v>218</v>
      </c>
      <c r="J136" s="45" t="s">
        <v>248</v>
      </c>
      <c r="M136" s="102" t="s">
        <v>577</v>
      </c>
      <c r="N136" s="102"/>
      <c r="O136" s="45" t="s">
        <v>532</v>
      </c>
      <c r="P136" s="45" t="s">
        <v>458</v>
      </c>
      <c r="Q136" s="75">
        <f>VLOOKUP(B136,LOV!$B:$C,2,FALSE)</f>
        <v>50</v>
      </c>
      <c r="R136" s="75" t="str">
        <f>VLOOKUP(B136,LOV!$B:$D,3,FALSE)</f>
        <v>BB</v>
      </c>
      <c r="S136" s="75" t="str">
        <f>VLOOKUP($X136,LOV!$F:$L,2,FALSE)</f>
        <v>WK2</v>
      </c>
      <c r="T136" s="88">
        <f>VLOOKUP($X136,LOV!$F:$L,7,FALSE)</f>
        <v>45922</v>
      </c>
      <c r="V136" s="53">
        <v>2</v>
      </c>
      <c r="W136" s="65">
        <f t="shared" si="2"/>
        <v>1</v>
      </c>
      <c r="X136" s="53" t="s">
        <v>209</v>
      </c>
      <c r="Y136" s="67">
        <v>45919</v>
      </c>
      <c r="Z136" s="67">
        <v>45929</v>
      </c>
    </row>
    <row r="137" spans="1:26" ht="28.9">
      <c r="A137" s="53">
        <v>1131</v>
      </c>
      <c r="B137" s="71" t="s">
        <v>430</v>
      </c>
      <c r="C137" s="45" t="s">
        <v>561</v>
      </c>
      <c r="D137" s="72" t="s">
        <v>578</v>
      </c>
      <c r="E137" s="45">
        <v>0</v>
      </c>
      <c r="F137" s="46" t="s">
        <v>563</v>
      </c>
      <c r="G137" s="47" t="s">
        <v>203</v>
      </c>
      <c r="I137" s="45" t="s">
        <v>218</v>
      </c>
      <c r="M137" s="102" t="s">
        <v>579</v>
      </c>
      <c r="N137" s="102"/>
      <c r="O137" s="45" t="s">
        <v>532</v>
      </c>
      <c r="P137" s="45" t="s">
        <v>458</v>
      </c>
      <c r="Q137" s="75">
        <f>VLOOKUP(B137,LOV!$B:$C,2,FALSE)</f>
        <v>50</v>
      </c>
      <c r="R137" s="75" t="str">
        <f>VLOOKUP(B137,LOV!$B:$D,3,FALSE)</f>
        <v>BB</v>
      </c>
      <c r="S137" s="75" t="str">
        <f>VLOOKUP($X137,LOV!$F:$L,2,FALSE)</f>
        <v>WK2</v>
      </c>
      <c r="T137" s="88">
        <f>VLOOKUP($X137,LOV!$F:$L,7,FALSE)</f>
        <v>45922</v>
      </c>
      <c r="V137" s="53">
        <v>0</v>
      </c>
      <c r="W137" s="65">
        <f t="shared" si="2"/>
        <v>0</v>
      </c>
      <c r="X137" s="53" t="s">
        <v>209</v>
      </c>
      <c r="Y137" s="67">
        <v>45919</v>
      </c>
      <c r="Z137" s="67">
        <v>45929</v>
      </c>
    </row>
    <row r="138" spans="1:26" ht="72">
      <c r="A138" s="53">
        <v>1132</v>
      </c>
      <c r="B138" s="71" t="s">
        <v>430</v>
      </c>
      <c r="C138" s="45" t="s">
        <v>580</v>
      </c>
      <c r="D138" s="72" t="s">
        <v>581</v>
      </c>
      <c r="E138" s="45">
        <v>1</v>
      </c>
      <c r="F138" s="46" t="s">
        <v>582</v>
      </c>
      <c r="G138" s="124" t="s">
        <v>473</v>
      </c>
      <c r="I138" s="45" t="s">
        <v>218</v>
      </c>
      <c r="J138" s="45" t="s">
        <v>583</v>
      </c>
      <c r="L138" s="47" t="s">
        <v>584</v>
      </c>
      <c r="M138" s="68" t="s">
        <v>585</v>
      </c>
      <c r="N138" s="68"/>
      <c r="O138" s="79" t="s">
        <v>412</v>
      </c>
      <c r="P138" s="45" t="s">
        <v>458</v>
      </c>
      <c r="Q138" s="75">
        <f>VLOOKUP(B138,LOV!$B:$C,2,FALSE)</f>
        <v>50</v>
      </c>
      <c r="R138" s="75" t="str">
        <f>VLOOKUP(B138,LOV!$B:$D,3,FALSE)</f>
        <v>BB</v>
      </c>
      <c r="S138" s="75" t="str">
        <f>VLOOKUP($X138,LOV!$F:$L,2,FALSE)</f>
        <v>WK2</v>
      </c>
      <c r="T138" s="88">
        <f>VLOOKUP($X138,LOV!$F:$L,7,FALSE)</f>
        <v>45922</v>
      </c>
      <c r="V138" s="53">
        <v>1</v>
      </c>
      <c r="W138" s="65">
        <f t="shared" si="2"/>
        <v>0.5</v>
      </c>
      <c r="X138" s="53" t="s">
        <v>209</v>
      </c>
      <c r="Y138" s="67">
        <v>45925</v>
      </c>
    </row>
    <row r="139" spans="1:26" ht="57.6">
      <c r="A139" s="53">
        <v>1133</v>
      </c>
      <c r="B139" s="71" t="s">
        <v>430</v>
      </c>
      <c r="C139" s="45" t="s">
        <v>580</v>
      </c>
      <c r="D139" s="72" t="s">
        <v>586</v>
      </c>
      <c r="E139" s="45">
        <v>0</v>
      </c>
      <c r="F139" s="46" t="s">
        <v>582</v>
      </c>
      <c r="G139" s="47" t="s">
        <v>203</v>
      </c>
      <c r="I139" s="45" t="s">
        <v>218</v>
      </c>
      <c r="J139" s="45" t="s">
        <v>583</v>
      </c>
      <c r="M139" s="68" t="s">
        <v>587</v>
      </c>
      <c r="N139" s="68"/>
      <c r="O139" s="79" t="s">
        <v>412</v>
      </c>
      <c r="P139" s="45" t="s">
        <v>458</v>
      </c>
      <c r="Q139" s="75">
        <f>VLOOKUP(B139,LOV!$B:$C,2,FALSE)</f>
        <v>50</v>
      </c>
      <c r="R139" s="75" t="str">
        <f>VLOOKUP(B139,LOV!$B:$D,3,FALSE)</f>
        <v>BB</v>
      </c>
      <c r="S139" s="75" t="str">
        <f>VLOOKUP($X139,LOV!$F:$L,2,FALSE)</f>
        <v>WK2</v>
      </c>
      <c r="T139" s="88">
        <f>VLOOKUP($X139,LOV!$F:$L,7,FALSE)</f>
        <v>45922</v>
      </c>
      <c r="V139" s="53">
        <v>0</v>
      </c>
      <c r="W139" s="65">
        <f t="shared" si="2"/>
        <v>0</v>
      </c>
      <c r="X139" s="53" t="s">
        <v>209</v>
      </c>
      <c r="Y139" s="67">
        <v>45925</v>
      </c>
    </row>
    <row r="140" spans="1:26" ht="43.15">
      <c r="A140" s="53">
        <v>1134</v>
      </c>
      <c r="B140" s="71" t="s">
        <v>430</v>
      </c>
      <c r="C140" s="45" t="s">
        <v>580</v>
      </c>
      <c r="D140" s="72" t="s">
        <v>588</v>
      </c>
      <c r="E140" s="45">
        <v>1</v>
      </c>
      <c r="F140" s="46" t="s">
        <v>582</v>
      </c>
      <c r="G140" s="47" t="s">
        <v>589</v>
      </c>
      <c r="I140" s="45" t="s">
        <v>218</v>
      </c>
      <c r="J140" s="45" t="s">
        <v>583</v>
      </c>
      <c r="L140" s="47" t="s">
        <v>590</v>
      </c>
      <c r="M140" s="68" t="s">
        <v>591</v>
      </c>
      <c r="N140" s="68"/>
      <c r="O140" s="79" t="s">
        <v>412</v>
      </c>
      <c r="P140" s="45" t="s">
        <v>458</v>
      </c>
      <c r="Q140" s="75">
        <f>VLOOKUP(B140,LOV!$B:$C,2,FALSE)</f>
        <v>50</v>
      </c>
      <c r="R140" s="75" t="str">
        <f>VLOOKUP(B140,LOV!$B:$D,3,FALSE)</f>
        <v>BB</v>
      </c>
      <c r="S140" s="75" t="str">
        <f>VLOOKUP($X140,LOV!$F:$L,2,FALSE)</f>
        <v>WK2</v>
      </c>
      <c r="T140" s="88">
        <f>VLOOKUP($X140,LOV!$F:$L,7,FALSE)</f>
        <v>45922</v>
      </c>
      <c r="V140" s="53">
        <v>1</v>
      </c>
      <c r="W140" s="65">
        <f t="shared" si="2"/>
        <v>0.5</v>
      </c>
      <c r="X140" s="53" t="s">
        <v>209</v>
      </c>
      <c r="Y140" s="67">
        <v>45925</v>
      </c>
    </row>
    <row r="141" spans="1:26">
      <c r="A141" s="53">
        <v>1135</v>
      </c>
      <c r="B141" s="71" t="s">
        <v>592</v>
      </c>
      <c r="C141" s="45" t="s">
        <v>593</v>
      </c>
      <c r="D141" s="69" t="s">
        <v>594</v>
      </c>
      <c r="E141" s="45">
        <v>0</v>
      </c>
      <c r="F141" s="46">
        <v>59</v>
      </c>
      <c r="G141" s="47" t="s">
        <v>572</v>
      </c>
      <c r="I141" s="45" t="s">
        <v>248</v>
      </c>
      <c r="L141" s="47" t="s">
        <v>595</v>
      </c>
      <c r="O141" s="45" t="s">
        <v>377</v>
      </c>
      <c r="P141" s="45" t="s">
        <v>406</v>
      </c>
      <c r="Q141" s="75">
        <f>VLOOKUP(B141,LOV!$B:$C,2,FALSE)</f>
        <v>60</v>
      </c>
      <c r="R141" s="75" t="str">
        <f>VLOOKUP(B141,LOV!$B:$D,3,FALSE)</f>
        <v>GG</v>
      </c>
      <c r="S141" s="75" t="str">
        <f>VLOOKUP($X141,LOV!$F:$L,2,FALSE)</f>
        <v>WK5</v>
      </c>
      <c r="T141" s="88">
        <f>VLOOKUP($X141,LOV!$F:$L,7,FALSE)</f>
        <v>45943</v>
      </c>
      <c r="V141" s="53">
        <v>1</v>
      </c>
      <c r="W141" s="65">
        <f t="shared" si="2"/>
        <v>0</v>
      </c>
      <c r="X141" s="53" t="s">
        <v>407</v>
      </c>
    </row>
    <row r="142" spans="1:26" ht="28.9">
      <c r="A142" s="53">
        <v>1136</v>
      </c>
      <c r="B142" s="71" t="s">
        <v>592</v>
      </c>
      <c r="C142" s="45" t="s">
        <v>593</v>
      </c>
      <c r="D142" s="69" t="s">
        <v>596</v>
      </c>
      <c r="E142" s="45">
        <v>0</v>
      </c>
      <c r="F142" s="46">
        <v>60</v>
      </c>
      <c r="G142" s="47" t="s">
        <v>597</v>
      </c>
      <c r="I142" s="45" t="s">
        <v>248</v>
      </c>
      <c r="O142" s="45" t="s">
        <v>377</v>
      </c>
      <c r="P142" s="45" t="s">
        <v>406</v>
      </c>
      <c r="Q142" s="75">
        <f>VLOOKUP(B142,LOV!$B:$C,2,FALSE)</f>
        <v>60</v>
      </c>
      <c r="R142" s="75" t="str">
        <f>VLOOKUP(B142,LOV!$B:$D,3,FALSE)</f>
        <v>GG</v>
      </c>
      <c r="S142" s="75" t="str">
        <f>VLOOKUP($X142,LOV!$F:$L,2,FALSE)</f>
        <v>WK5</v>
      </c>
      <c r="T142" s="88">
        <f>VLOOKUP($X142,LOV!$F:$L,7,FALSE)</f>
        <v>45943</v>
      </c>
      <c r="V142" s="53">
        <v>1</v>
      </c>
      <c r="W142" s="65">
        <f t="shared" si="2"/>
        <v>0</v>
      </c>
      <c r="X142" s="53" t="s">
        <v>407</v>
      </c>
    </row>
    <row r="143" spans="1:26" ht="43.15">
      <c r="A143" s="53">
        <v>1137</v>
      </c>
      <c r="B143" s="71" t="s">
        <v>598</v>
      </c>
      <c r="C143" s="45" t="s">
        <v>10</v>
      </c>
      <c r="D143" s="69" t="s">
        <v>599</v>
      </c>
      <c r="E143" s="45">
        <v>1</v>
      </c>
      <c r="F143" s="46">
        <v>62</v>
      </c>
      <c r="G143" s="47" t="s">
        <v>242</v>
      </c>
      <c r="I143" s="45" t="s">
        <v>218</v>
      </c>
      <c r="L143" s="47" t="s">
        <v>600</v>
      </c>
      <c r="M143" s="47" t="s">
        <v>601</v>
      </c>
      <c r="O143" s="45" t="s">
        <v>412</v>
      </c>
      <c r="P143" s="45" t="s">
        <v>378</v>
      </c>
      <c r="Q143" s="75">
        <f>VLOOKUP(B143,LOV!$B:$C,2,FALSE)</f>
        <v>70</v>
      </c>
      <c r="R143" s="75" t="str">
        <f>VLOOKUP(B143,LOV!$B:$D,3,FALSE)</f>
        <v>DD</v>
      </c>
      <c r="S143" s="75" t="str">
        <f>VLOOKUP($X143,LOV!$F:$L,2,FALSE)</f>
        <v>WK3</v>
      </c>
      <c r="T143" s="88">
        <f>VLOOKUP($X143,LOV!$F:$L,7,FALSE)</f>
        <v>45929</v>
      </c>
      <c r="V143" s="53">
        <v>2</v>
      </c>
      <c r="W143" s="65">
        <f t="shared" si="2"/>
        <v>1</v>
      </c>
      <c r="X143" s="53" t="s">
        <v>379</v>
      </c>
      <c r="Y143" s="67">
        <v>45922</v>
      </c>
    </row>
    <row r="144" spans="1:26">
      <c r="A144" s="53">
        <v>1138</v>
      </c>
      <c r="B144" s="71" t="s">
        <v>602</v>
      </c>
      <c r="C144" s="45" t="s">
        <v>398</v>
      </c>
      <c r="D144" s="69" t="s">
        <v>603</v>
      </c>
      <c r="E144" s="45">
        <v>1</v>
      </c>
      <c r="F144" s="46">
        <v>63</v>
      </c>
      <c r="G144" s="47" t="s">
        <v>46</v>
      </c>
      <c r="I144" s="45" t="s">
        <v>218</v>
      </c>
      <c r="O144" s="45" t="s">
        <v>377</v>
      </c>
      <c r="P144" s="45" t="s">
        <v>378</v>
      </c>
      <c r="Q144" s="75">
        <f>VLOOKUP(B144,LOV!$B:$C,2,FALSE)</f>
        <v>80</v>
      </c>
      <c r="R144" s="75" t="str">
        <f>VLOOKUP(B144,LOV!$B:$D,3,FALSE)</f>
        <v>DD</v>
      </c>
      <c r="S144" s="75" t="str">
        <f>VLOOKUP($X144,LOV!$F:$L,2,FALSE)</f>
        <v>WK3</v>
      </c>
      <c r="T144" s="88">
        <f>VLOOKUP($X144,LOV!$F:$L,7,FALSE)</f>
        <v>45929</v>
      </c>
      <c r="V144" s="53">
        <v>1</v>
      </c>
      <c r="W144" s="65">
        <f t="shared" si="2"/>
        <v>0.5</v>
      </c>
      <c r="X144" s="53" t="s">
        <v>379</v>
      </c>
    </row>
    <row r="145" spans="1:25">
      <c r="A145" s="53">
        <v>1139</v>
      </c>
      <c r="B145" s="71" t="s">
        <v>604</v>
      </c>
      <c r="C145" s="45" t="s">
        <v>605</v>
      </c>
      <c r="D145" s="69" t="s">
        <v>606</v>
      </c>
      <c r="E145" s="45">
        <v>0</v>
      </c>
      <c r="F145" s="46">
        <v>64</v>
      </c>
      <c r="G145" s="47" t="s">
        <v>203</v>
      </c>
      <c r="I145" s="45" t="s">
        <v>218</v>
      </c>
      <c r="L145" s="47" t="s">
        <v>606</v>
      </c>
      <c r="O145" s="45" t="s">
        <v>377</v>
      </c>
      <c r="P145" s="45" t="s">
        <v>406</v>
      </c>
      <c r="Q145" s="75">
        <f>VLOOKUP(B145,LOV!$B:$C,2,FALSE)</f>
        <v>90</v>
      </c>
      <c r="R145" s="75" t="str">
        <f>VLOOKUP(B145,LOV!$B:$D,3,FALSE)</f>
        <v>II</v>
      </c>
      <c r="S145" s="75" t="str">
        <f>VLOOKUP($X145,LOV!$F:$L,2,FALSE)</f>
        <v>WK5</v>
      </c>
      <c r="T145" s="88">
        <f>VLOOKUP($X145,LOV!$F:$L,7,FALSE)</f>
        <v>45943</v>
      </c>
      <c r="V145" s="53">
        <v>0</v>
      </c>
      <c r="W145" s="65">
        <f t="shared" si="2"/>
        <v>0</v>
      </c>
      <c r="X145" s="53" t="s">
        <v>407</v>
      </c>
    </row>
    <row r="146" spans="1:25" ht="87.6" customHeight="1">
      <c r="A146" s="53">
        <v>1140</v>
      </c>
      <c r="B146" s="71" t="s">
        <v>449</v>
      </c>
      <c r="C146" s="45" t="s">
        <v>450</v>
      </c>
      <c r="D146" s="69" t="s">
        <v>607</v>
      </c>
      <c r="E146" s="45">
        <v>1</v>
      </c>
      <c r="F146" s="46">
        <v>74</v>
      </c>
      <c r="G146" s="47" t="s">
        <v>46</v>
      </c>
      <c r="I146" s="45" t="s">
        <v>205</v>
      </c>
      <c r="L146" s="47" t="s">
        <v>608</v>
      </c>
      <c r="M146" s="68" t="s">
        <v>261</v>
      </c>
      <c r="N146" s="68"/>
      <c r="O146" s="45" t="s">
        <v>397</v>
      </c>
      <c r="P146" s="45" t="s">
        <v>458</v>
      </c>
      <c r="Q146" s="75">
        <f>VLOOKUP(B146,LOV!$B:$C,2,FALSE)</f>
        <v>100</v>
      </c>
      <c r="R146" s="75" t="str">
        <f>VLOOKUP(B146,LOV!$B:$D,3,FALSE)</f>
        <v>CC</v>
      </c>
      <c r="S146" s="75" t="str">
        <f>VLOOKUP($X146,LOV!$F:$L,2,FALSE)</f>
        <v>WK2</v>
      </c>
      <c r="T146" s="88">
        <f>VLOOKUP($X146,LOV!$F:$L,7,FALSE)</f>
        <v>45922</v>
      </c>
      <c r="U146" s="53">
        <v>5</v>
      </c>
      <c r="V146" s="53">
        <v>1</v>
      </c>
      <c r="W146" s="65">
        <f t="shared" si="2"/>
        <v>0.5</v>
      </c>
      <c r="X146" s="53" t="s">
        <v>209</v>
      </c>
      <c r="Y146" s="67">
        <v>45925</v>
      </c>
    </row>
    <row r="147" spans="1:25" ht="28.9">
      <c r="A147" s="53">
        <v>1141</v>
      </c>
      <c r="B147" s="71" t="s">
        <v>449</v>
      </c>
      <c r="C147" s="45" t="s">
        <v>450</v>
      </c>
      <c r="D147" s="69" t="s">
        <v>609</v>
      </c>
      <c r="E147" s="45">
        <v>1</v>
      </c>
      <c r="F147" s="46">
        <v>74</v>
      </c>
      <c r="G147" s="47" t="s">
        <v>610</v>
      </c>
      <c r="H147" s="47" t="s">
        <v>282</v>
      </c>
      <c r="I147" s="45" t="s">
        <v>205</v>
      </c>
      <c r="L147" s="47" t="s">
        <v>611</v>
      </c>
      <c r="M147" s="68" t="s">
        <v>261</v>
      </c>
      <c r="N147" s="68"/>
      <c r="O147" s="45" t="s">
        <v>397</v>
      </c>
      <c r="P147" s="45" t="s">
        <v>458</v>
      </c>
      <c r="Q147" s="75">
        <f>VLOOKUP(B147,LOV!$B:$C,2,FALSE)</f>
        <v>100</v>
      </c>
      <c r="R147" s="75" t="str">
        <f>VLOOKUP(B147,LOV!$B:$D,3,FALSE)</f>
        <v>CC</v>
      </c>
      <c r="S147" s="75" t="str">
        <f>VLOOKUP($X147,LOV!$F:$L,2,FALSE)</f>
        <v>WK2</v>
      </c>
      <c r="T147" s="88">
        <f>VLOOKUP($X147,LOV!$F:$L,7,FALSE)</f>
        <v>45922</v>
      </c>
      <c r="U147" s="53">
        <v>5</v>
      </c>
      <c r="V147" s="53">
        <v>1</v>
      </c>
      <c r="W147" s="65">
        <f t="shared" si="2"/>
        <v>0.5</v>
      </c>
      <c r="X147" s="53" t="s">
        <v>209</v>
      </c>
      <c r="Y147" s="67">
        <v>45925</v>
      </c>
    </row>
    <row r="148" spans="1:25" ht="28.9">
      <c r="A148" s="53">
        <v>1142</v>
      </c>
      <c r="B148" s="71" t="s">
        <v>449</v>
      </c>
      <c r="C148" s="45" t="s">
        <v>450</v>
      </c>
      <c r="D148" s="69" t="s">
        <v>612</v>
      </c>
      <c r="E148" s="45">
        <v>1</v>
      </c>
      <c r="F148" s="46">
        <v>74</v>
      </c>
      <c r="G148" s="47" t="s">
        <v>613</v>
      </c>
      <c r="I148" s="45" t="s">
        <v>205</v>
      </c>
      <c r="M148" s="68" t="s">
        <v>261</v>
      </c>
      <c r="N148" s="68"/>
      <c r="O148" s="45" t="s">
        <v>397</v>
      </c>
      <c r="P148" s="45" t="s">
        <v>458</v>
      </c>
      <c r="Q148" s="75">
        <f>VLOOKUP(B148,LOV!$B:$C,2,FALSE)</f>
        <v>100</v>
      </c>
      <c r="R148" s="75" t="str">
        <f>VLOOKUP(B148,LOV!$B:$D,3,FALSE)</f>
        <v>CC</v>
      </c>
      <c r="S148" s="75" t="str">
        <f>VLOOKUP($X148,LOV!$F:$L,2,FALSE)</f>
        <v>WK2</v>
      </c>
      <c r="T148" s="88">
        <f>VLOOKUP($X148,LOV!$F:$L,7,FALSE)</f>
        <v>45922</v>
      </c>
      <c r="U148" s="53">
        <v>5</v>
      </c>
      <c r="V148" s="53">
        <v>1</v>
      </c>
      <c r="W148" s="65">
        <f t="shared" si="2"/>
        <v>0.5</v>
      </c>
      <c r="X148" s="53" t="s">
        <v>209</v>
      </c>
      <c r="Y148" s="67">
        <v>45925</v>
      </c>
    </row>
    <row r="149" spans="1:25" ht="28.9">
      <c r="A149" s="53">
        <v>1143</v>
      </c>
      <c r="B149" s="71" t="s">
        <v>449</v>
      </c>
      <c r="C149" s="45" t="s">
        <v>450</v>
      </c>
      <c r="D149" s="69" t="s">
        <v>614</v>
      </c>
      <c r="E149" s="45">
        <v>0</v>
      </c>
      <c r="F149" s="46">
        <v>74</v>
      </c>
      <c r="G149" s="47" t="s">
        <v>615</v>
      </c>
      <c r="I149" s="45" t="s">
        <v>205</v>
      </c>
      <c r="M149" s="68" t="s">
        <v>616</v>
      </c>
      <c r="N149" s="68"/>
      <c r="O149" s="45" t="s">
        <v>397</v>
      </c>
      <c r="P149" s="45" t="s">
        <v>458</v>
      </c>
      <c r="Q149" s="75">
        <f>VLOOKUP(B149,LOV!$B:$C,2,FALSE)</f>
        <v>100</v>
      </c>
      <c r="R149" s="75" t="str">
        <f>VLOOKUP(B149,LOV!$B:$D,3,FALSE)</f>
        <v>CC</v>
      </c>
      <c r="S149" s="75" t="str">
        <f>VLOOKUP($X149,LOV!$F:$L,2,FALSE)</f>
        <v>WK2</v>
      </c>
      <c r="T149" s="88">
        <f>VLOOKUP($X149,LOV!$F:$L,7,FALSE)</f>
        <v>45922</v>
      </c>
      <c r="U149" s="53">
        <v>5</v>
      </c>
      <c r="V149" s="53">
        <v>0</v>
      </c>
      <c r="W149" s="65">
        <f t="shared" si="2"/>
        <v>0</v>
      </c>
      <c r="X149" s="53" t="s">
        <v>209</v>
      </c>
      <c r="Y149" s="67">
        <v>45925</v>
      </c>
    </row>
    <row r="150" spans="1:25" ht="72">
      <c r="A150" s="53">
        <v>1144</v>
      </c>
      <c r="B150" s="71" t="s">
        <v>449</v>
      </c>
      <c r="C150" s="45" t="s">
        <v>450</v>
      </c>
      <c r="D150" s="69" t="s">
        <v>617</v>
      </c>
      <c r="E150" s="45">
        <v>1</v>
      </c>
      <c r="F150" s="46">
        <v>74</v>
      </c>
      <c r="G150" s="47" t="s">
        <v>618</v>
      </c>
      <c r="I150" s="45" t="s">
        <v>205</v>
      </c>
      <c r="L150" s="47" t="s">
        <v>619</v>
      </c>
      <c r="M150" s="68" t="s">
        <v>620</v>
      </c>
      <c r="N150" s="68"/>
      <c r="O150" s="79" t="s">
        <v>412</v>
      </c>
      <c r="P150" s="45" t="s">
        <v>458</v>
      </c>
      <c r="Q150" s="75">
        <f>VLOOKUP(B150,LOV!$B:$C,2,FALSE)</f>
        <v>100</v>
      </c>
      <c r="R150" s="75" t="str">
        <f>VLOOKUP(B150,LOV!$B:$D,3,FALSE)</f>
        <v>CC</v>
      </c>
      <c r="S150" s="75" t="str">
        <f>VLOOKUP($X150,LOV!$F:$L,2,FALSE)</f>
        <v>WK2</v>
      </c>
      <c r="T150" s="88">
        <f>VLOOKUP($X150,LOV!$F:$L,7,FALSE)</f>
        <v>45922</v>
      </c>
      <c r="U150" s="53">
        <v>5</v>
      </c>
      <c r="V150" s="53">
        <v>1</v>
      </c>
      <c r="W150" s="65">
        <f t="shared" si="2"/>
        <v>0.5</v>
      </c>
      <c r="X150" s="53" t="s">
        <v>209</v>
      </c>
      <c r="Y150" s="67">
        <v>45925</v>
      </c>
    </row>
    <row r="151" spans="1:25">
      <c r="A151" s="53">
        <v>1145</v>
      </c>
      <c r="B151" s="71" t="s">
        <v>449</v>
      </c>
      <c r="C151" s="45" t="s">
        <v>450</v>
      </c>
      <c r="D151" s="69" t="s">
        <v>621</v>
      </c>
      <c r="E151" s="45">
        <v>0</v>
      </c>
      <c r="F151" s="46">
        <v>74</v>
      </c>
      <c r="G151" s="47" t="s">
        <v>203</v>
      </c>
      <c r="I151" s="45" t="s">
        <v>205</v>
      </c>
      <c r="L151" s="47" t="s">
        <v>619</v>
      </c>
      <c r="M151" s="68" t="s">
        <v>622</v>
      </c>
      <c r="N151" s="68"/>
      <c r="O151" s="45" t="s">
        <v>397</v>
      </c>
      <c r="P151" s="45" t="s">
        <v>458</v>
      </c>
      <c r="Q151" s="75">
        <f>VLOOKUP(B151,LOV!$B:$C,2,FALSE)</f>
        <v>100</v>
      </c>
      <c r="R151" s="75" t="str">
        <f>VLOOKUP(B151,LOV!$B:$D,3,FALSE)</f>
        <v>CC</v>
      </c>
      <c r="S151" s="75" t="str">
        <f>VLOOKUP($X151,LOV!$F:$L,2,FALSE)</f>
        <v>WK2</v>
      </c>
      <c r="T151" s="88">
        <f>VLOOKUP($X151,LOV!$F:$L,7,FALSE)</f>
        <v>45922</v>
      </c>
      <c r="U151" s="53">
        <v>5</v>
      </c>
      <c r="V151" s="53">
        <v>0</v>
      </c>
      <c r="W151" s="65">
        <f t="shared" si="2"/>
        <v>0</v>
      </c>
      <c r="X151" s="53" t="s">
        <v>209</v>
      </c>
      <c r="Y151" s="67">
        <v>45925</v>
      </c>
    </row>
    <row r="152" spans="1:25" ht="115.15">
      <c r="A152" s="53">
        <v>1146</v>
      </c>
      <c r="B152" s="71" t="s">
        <v>449</v>
      </c>
      <c r="C152" s="45" t="s">
        <v>450</v>
      </c>
      <c r="D152" s="69" t="s">
        <v>623</v>
      </c>
      <c r="E152" s="45">
        <v>1</v>
      </c>
      <c r="F152" s="46" t="s">
        <v>624</v>
      </c>
      <c r="G152" s="47" t="s">
        <v>618</v>
      </c>
      <c r="I152" s="45" t="s">
        <v>205</v>
      </c>
      <c r="J152" s="45" t="s">
        <v>218</v>
      </c>
      <c r="L152" s="24" t="s">
        <v>625</v>
      </c>
      <c r="M152" s="78" t="s">
        <v>626</v>
      </c>
      <c r="N152" s="78"/>
      <c r="O152" s="79" t="s">
        <v>412</v>
      </c>
      <c r="P152" s="45" t="s">
        <v>458</v>
      </c>
      <c r="Q152" s="75">
        <f>VLOOKUP(B152,LOV!$B:$C,2,FALSE)</f>
        <v>100</v>
      </c>
      <c r="R152" s="75" t="str">
        <f>VLOOKUP(B152,LOV!$B:$D,3,FALSE)</f>
        <v>CC</v>
      </c>
      <c r="S152" s="75" t="str">
        <f>VLOOKUP($X152,LOV!$F:$L,2,FALSE)</f>
        <v>WK2</v>
      </c>
      <c r="T152" s="88">
        <f>VLOOKUP($X152,LOV!$F:$L,7,FALSE)</f>
        <v>45922</v>
      </c>
      <c r="U152" s="53">
        <v>5</v>
      </c>
      <c r="V152" s="53">
        <v>1</v>
      </c>
      <c r="W152" s="65">
        <f t="shared" si="2"/>
        <v>0.5</v>
      </c>
      <c r="X152" s="53" t="s">
        <v>209</v>
      </c>
      <c r="Y152" s="67">
        <v>45925</v>
      </c>
    </row>
    <row r="153" spans="1:25">
      <c r="A153" s="53">
        <v>1147</v>
      </c>
      <c r="B153" s="71" t="s">
        <v>449</v>
      </c>
      <c r="C153" s="45" t="s">
        <v>450</v>
      </c>
      <c r="D153" s="69" t="s">
        <v>627</v>
      </c>
      <c r="E153" s="45">
        <v>0</v>
      </c>
      <c r="F153" s="46">
        <v>74</v>
      </c>
      <c r="G153" s="47" t="s">
        <v>203</v>
      </c>
      <c r="I153" s="45" t="s">
        <v>205</v>
      </c>
      <c r="M153" s="68" t="s">
        <v>628</v>
      </c>
      <c r="N153" s="68"/>
      <c r="O153" s="45" t="s">
        <v>397</v>
      </c>
      <c r="P153" s="45" t="s">
        <v>458</v>
      </c>
      <c r="Q153" s="75">
        <f>VLOOKUP(B153,LOV!$B:$C,2,FALSE)</f>
        <v>100</v>
      </c>
      <c r="R153" s="75" t="str">
        <f>VLOOKUP(B153,LOV!$B:$D,3,FALSE)</f>
        <v>CC</v>
      </c>
      <c r="S153" s="75" t="str">
        <f>VLOOKUP($X153,LOV!$F:$L,2,FALSE)</f>
        <v>WK2</v>
      </c>
      <c r="T153" s="88">
        <f>VLOOKUP($X153,LOV!$F:$L,7,FALSE)</f>
        <v>45922</v>
      </c>
      <c r="U153" s="53">
        <v>5</v>
      </c>
      <c r="V153" s="53">
        <v>0</v>
      </c>
      <c r="W153" s="65">
        <f t="shared" si="2"/>
        <v>0</v>
      </c>
      <c r="X153" s="53" t="s">
        <v>209</v>
      </c>
      <c r="Y153" s="67">
        <v>45925</v>
      </c>
    </row>
    <row r="154" spans="1:25" ht="28.9">
      <c r="A154" s="53">
        <v>1148</v>
      </c>
      <c r="B154" s="71" t="s">
        <v>449</v>
      </c>
      <c r="C154" s="45" t="s">
        <v>450</v>
      </c>
      <c r="D154" s="69" t="s">
        <v>629</v>
      </c>
      <c r="E154" s="45">
        <v>1</v>
      </c>
      <c r="F154" s="46">
        <v>74</v>
      </c>
      <c r="G154" s="47" t="s">
        <v>630</v>
      </c>
      <c r="I154" s="45" t="s">
        <v>205</v>
      </c>
      <c r="M154" s="68" t="s">
        <v>261</v>
      </c>
      <c r="N154" s="68"/>
      <c r="O154" s="45" t="s">
        <v>397</v>
      </c>
      <c r="P154" s="45" t="s">
        <v>458</v>
      </c>
      <c r="Q154" s="75">
        <f>VLOOKUP(B154,LOV!$B:$C,2,FALSE)</f>
        <v>100</v>
      </c>
      <c r="R154" s="75" t="str">
        <f>VLOOKUP(B154,LOV!$B:$D,3,FALSE)</f>
        <v>CC</v>
      </c>
      <c r="S154" s="75" t="str">
        <f>VLOOKUP($X154,LOV!$F:$L,2,FALSE)</f>
        <v>WK2</v>
      </c>
      <c r="T154" s="88">
        <f>VLOOKUP($X154,LOV!$F:$L,7,FALSE)</f>
        <v>45922</v>
      </c>
      <c r="U154" s="53">
        <v>5</v>
      </c>
      <c r="V154" s="53">
        <v>1</v>
      </c>
      <c r="W154" s="65">
        <f t="shared" si="2"/>
        <v>0.5</v>
      </c>
      <c r="X154" s="53" t="s">
        <v>209</v>
      </c>
      <c r="Y154" s="67">
        <v>45925</v>
      </c>
    </row>
    <row r="155" spans="1:25">
      <c r="A155" s="53">
        <v>1149</v>
      </c>
      <c r="B155" s="71" t="s">
        <v>449</v>
      </c>
      <c r="C155" s="45" t="s">
        <v>450</v>
      </c>
      <c r="D155" s="69" t="s">
        <v>631</v>
      </c>
      <c r="E155" s="45">
        <v>0</v>
      </c>
      <c r="F155" s="46">
        <v>74</v>
      </c>
      <c r="G155" s="47" t="s">
        <v>203</v>
      </c>
      <c r="I155" s="45" t="s">
        <v>205</v>
      </c>
      <c r="M155" s="68" t="s">
        <v>632</v>
      </c>
      <c r="N155" s="68"/>
      <c r="O155" s="79" t="s">
        <v>412</v>
      </c>
      <c r="P155" s="45" t="s">
        <v>458</v>
      </c>
      <c r="Q155" s="75">
        <f>VLOOKUP(B155,LOV!$B:$C,2,FALSE)</f>
        <v>100</v>
      </c>
      <c r="R155" s="75" t="str">
        <f>VLOOKUP(B155,LOV!$B:$D,3,FALSE)</f>
        <v>CC</v>
      </c>
      <c r="S155" s="75" t="str">
        <f>VLOOKUP($X155,LOV!$F:$L,2,FALSE)</f>
        <v>WK2</v>
      </c>
      <c r="T155" s="88">
        <f>VLOOKUP($X155,LOV!$F:$L,7,FALSE)</f>
        <v>45922</v>
      </c>
      <c r="U155" s="53">
        <v>5</v>
      </c>
      <c r="V155" s="53">
        <v>0</v>
      </c>
      <c r="W155" s="65">
        <f t="shared" si="2"/>
        <v>0</v>
      </c>
      <c r="X155" s="53" t="s">
        <v>209</v>
      </c>
      <c r="Y155" s="67">
        <v>45925</v>
      </c>
    </row>
    <row r="156" spans="1:25" ht="43.15">
      <c r="A156" s="53">
        <v>1150</v>
      </c>
      <c r="B156" s="71" t="s">
        <v>449</v>
      </c>
      <c r="C156" s="45" t="s">
        <v>450</v>
      </c>
      <c r="D156" s="69" t="s">
        <v>633</v>
      </c>
      <c r="E156" s="45">
        <v>1</v>
      </c>
      <c r="F156" s="46" t="s">
        <v>624</v>
      </c>
      <c r="G156" s="47" t="s">
        <v>634</v>
      </c>
      <c r="I156" s="45" t="s">
        <v>205</v>
      </c>
      <c r="L156" s="78" t="s">
        <v>635</v>
      </c>
      <c r="M156" s="108" t="s">
        <v>636</v>
      </c>
      <c r="N156" s="108"/>
      <c r="O156" s="79" t="s">
        <v>412</v>
      </c>
      <c r="P156" s="45" t="s">
        <v>458</v>
      </c>
      <c r="Q156" s="75">
        <f>VLOOKUP(B156,LOV!$B:$C,2,FALSE)</f>
        <v>100</v>
      </c>
      <c r="R156" s="75" t="str">
        <f>VLOOKUP(B156,LOV!$B:$D,3,FALSE)</f>
        <v>CC</v>
      </c>
      <c r="S156" s="75" t="str">
        <f>VLOOKUP($X156,LOV!$F:$L,2,FALSE)</f>
        <v>WK2</v>
      </c>
      <c r="T156" s="88">
        <f>VLOOKUP($X156,LOV!$F:$L,7,FALSE)</f>
        <v>45922</v>
      </c>
      <c r="U156" s="53">
        <v>5</v>
      </c>
      <c r="V156" s="53">
        <v>1</v>
      </c>
      <c r="W156" s="65">
        <f t="shared" si="2"/>
        <v>0.5</v>
      </c>
      <c r="X156" s="53" t="s">
        <v>209</v>
      </c>
      <c r="Y156" s="67">
        <v>45925</v>
      </c>
    </row>
    <row r="157" spans="1:25" ht="172.9">
      <c r="A157" s="53">
        <v>1151</v>
      </c>
      <c r="B157" s="71" t="s">
        <v>449</v>
      </c>
      <c r="C157" s="45" t="s">
        <v>450</v>
      </c>
      <c r="D157" s="69" t="s">
        <v>637</v>
      </c>
      <c r="E157" s="45">
        <v>1</v>
      </c>
      <c r="F157" s="46">
        <v>74</v>
      </c>
      <c r="G157" s="47" t="s">
        <v>638</v>
      </c>
      <c r="I157" s="45" t="s">
        <v>205</v>
      </c>
      <c r="L157" s="118" t="s">
        <v>639</v>
      </c>
      <c r="M157" s="78" t="s">
        <v>640</v>
      </c>
      <c r="N157" s="78"/>
      <c r="O157" s="79" t="s">
        <v>412</v>
      </c>
      <c r="P157" s="45" t="s">
        <v>458</v>
      </c>
      <c r="Q157" s="75">
        <f>VLOOKUP(B157,LOV!$B:$C,2,FALSE)</f>
        <v>100</v>
      </c>
      <c r="R157" s="75" t="str">
        <f>VLOOKUP(B157,LOV!$B:$D,3,FALSE)</f>
        <v>CC</v>
      </c>
      <c r="S157" s="75" t="str">
        <f>VLOOKUP($X157,LOV!$F:$L,2,FALSE)</f>
        <v>WK2</v>
      </c>
      <c r="T157" s="88">
        <f>VLOOKUP($X157,LOV!$F:$L,7,FALSE)</f>
        <v>45922</v>
      </c>
      <c r="U157" s="53">
        <v>5</v>
      </c>
      <c r="V157" s="53">
        <v>1</v>
      </c>
      <c r="W157" s="65">
        <f t="shared" si="2"/>
        <v>0.5</v>
      </c>
      <c r="X157" s="53" t="s">
        <v>209</v>
      </c>
      <c r="Y157" s="67">
        <v>45922</v>
      </c>
    </row>
    <row r="158" spans="1:25">
      <c r="A158" s="53">
        <v>1152</v>
      </c>
      <c r="B158" s="71" t="s">
        <v>449</v>
      </c>
      <c r="C158" s="45" t="s">
        <v>450</v>
      </c>
      <c r="D158" s="69" t="s">
        <v>641</v>
      </c>
      <c r="E158" s="45">
        <v>1</v>
      </c>
      <c r="F158" s="46">
        <v>74</v>
      </c>
      <c r="G158" s="47" t="s">
        <v>642</v>
      </c>
      <c r="I158" s="45" t="s">
        <v>205</v>
      </c>
      <c r="M158" s="108" t="s">
        <v>643</v>
      </c>
      <c r="N158" s="108"/>
      <c r="O158" s="79" t="s">
        <v>412</v>
      </c>
      <c r="P158" s="45" t="s">
        <v>458</v>
      </c>
      <c r="Q158" s="75">
        <f>VLOOKUP(B158,LOV!$B:$C,2,FALSE)</f>
        <v>100</v>
      </c>
      <c r="R158" s="75" t="str">
        <f>VLOOKUP(B158,LOV!$B:$D,3,FALSE)</f>
        <v>CC</v>
      </c>
      <c r="S158" s="75" t="str">
        <f>VLOOKUP($X158,LOV!$F:$L,2,FALSE)</f>
        <v>WK2</v>
      </c>
      <c r="T158" s="88">
        <f>VLOOKUP($X158,LOV!$F:$L,7,FALSE)</f>
        <v>45922</v>
      </c>
      <c r="U158" s="53">
        <v>5</v>
      </c>
      <c r="V158" s="53">
        <v>1</v>
      </c>
      <c r="W158" s="65">
        <f t="shared" si="2"/>
        <v>0.5</v>
      </c>
      <c r="X158" s="53" t="s">
        <v>209</v>
      </c>
      <c r="Y158" s="67">
        <v>45925</v>
      </c>
    </row>
    <row r="159" spans="1:25" ht="43.15">
      <c r="A159" s="77">
        <v>1306</v>
      </c>
      <c r="B159" s="79" t="s">
        <v>449</v>
      </c>
      <c r="C159" s="79" t="s">
        <v>450</v>
      </c>
      <c r="D159" s="80" t="s">
        <v>644</v>
      </c>
      <c r="E159" s="45">
        <v>1</v>
      </c>
      <c r="F159" s="46">
        <v>0</v>
      </c>
      <c r="G159" s="47" t="s">
        <v>618</v>
      </c>
      <c r="H159" s="47" t="s">
        <v>282</v>
      </c>
      <c r="I159" s="45" t="s">
        <v>205</v>
      </c>
      <c r="L159" s="47" t="s">
        <v>645</v>
      </c>
      <c r="M159" s="78" t="s">
        <v>646</v>
      </c>
      <c r="N159" s="78"/>
      <c r="O159" s="79" t="s">
        <v>412</v>
      </c>
      <c r="P159" s="45" t="s">
        <v>458</v>
      </c>
      <c r="Q159" s="75">
        <f>VLOOKUP(B159,LOV!$B:$C,2,FALSE)</f>
        <v>100</v>
      </c>
      <c r="R159" s="75" t="str">
        <f>VLOOKUP(B159,LOV!$B:$D,3,FALSE)</f>
        <v>CC</v>
      </c>
      <c r="S159" s="75" t="str">
        <f>VLOOKUP($X159,LOV!$F:$L,2,FALSE)</f>
        <v>WK2</v>
      </c>
      <c r="T159" s="88">
        <f>VLOOKUP($X159,LOV!$F:$L,7,FALSE)</f>
        <v>45922</v>
      </c>
      <c r="V159" s="53">
        <v>2</v>
      </c>
      <c r="W159" s="65">
        <f t="shared" si="2"/>
        <v>1</v>
      </c>
      <c r="X159" s="77" t="s">
        <v>209</v>
      </c>
      <c r="Y159" s="67">
        <v>45925</v>
      </c>
    </row>
    <row r="160" spans="1:25" ht="29.45" customHeight="1">
      <c r="A160" s="53">
        <v>1153</v>
      </c>
      <c r="B160" s="71" t="s">
        <v>449</v>
      </c>
      <c r="C160" s="45" t="s">
        <v>450</v>
      </c>
      <c r="D160" s="69" t="s">
        <v>647</v>
      </c>
      <c r="E160" s="45">
        <v>1</v>
      </c>
      <c r="F160" s="46">
        <v>74</v>
      </c>
      <c r="G160" s="47" t="s">
        <v>618</v>
      </c>
      <c r="I160" s="45" t="s">
        <v>205</v>
      </c>
      <c r="L160" s="47" t="s">
        <v>648</v>
      </c>
      <c r="M160" s="78" t="s">
        <v>649</v>
      </c>
      <c r="N160" s="78"/>
      <c r="O160" s="79" t="s">
        <v>412</v>
      </c>
      <c r="P160" s="45" t="s">
        <v>458</v>
      </c>
      <c r="Q160" s="75">
        <f>VLOOKUP(B160,LOV!$B:$C,2,FALSE)</f>
        <v>100</v>
      </c>
      <c r="R160" s="75" t="str">
        <f>VLOOKUP(B160,LOV!$B:$D,3,FALSE)</f>
        <v>CC</v>
      </c>
      <c r="S160" s="75" t="str">
        <f>VLOOKUP($X160,LOV!$F:$L,2,FALSE)</f>
        <v>WK2</v>
      </c>
      <c r="T160" s="88">
        <f>VLOOKUP($X160,LOV!$F:$L,7,FALSE)</f>
        <v>45922</v>
      </c>
      <c r="U160" s="53">
        <v>5</v>
      </c>
      <c r="V160" s="53">
        <v>1</v>
      </c>
      <c r="W160" s="65">
        <f t="shared" si="2"/>
        <v>0.5</v>
      </c>
      <c r="X160" s="53" t="s">
        <v>209</v>
      </c>
      <c r="Y160" s="67">
        <v>45925</v>
      </c>
    </row>
    <row r="161" spans="1:25" ht="28.9">
      <c r="A161" s="53">
        <v>1154</v>
      </c>
      <c r="B161" s="71" t="s">
        <v>449</v>
      </c>
      <c r="C161" s="45" t="s">
        <v>450</v>
      </c>
      <c r="D161" s="69" t="s">
        <v>650</v>
      </c>
      <c r="E161" s="45">
        <v>0</v>
      </c>
      <c r="F161" s="46">
        <v>74</v>
      </c>
      <c r="G161" s="47" t="s">
        <v>203</v>
      </c>
      <c r="I161" s="45" t="s">
        <v>205</v>
      </c>
      <c r="M161" s="78" t="s">
        <v>651</v>
      </c>
      <c r="N161" s="78"/>
      <c r="O161" s="79" t="s">
        <v>412</v>
      </c>
      <c r="P161" s="45" t="s">
        <v>458</v>
      </c>
      <c r="Q161" s="75">
        <f>VLOOKUP(B161,LOV!$B:$C,2,FALSE)</f>
        <v>100</v>
      </c>
      <c r="R161" s="75" t="str">
        <f>VLOOKUP(B161,LOV!$B:$D,3,FALSE)</f>
        <v>CC</v>
      </c>
      <c r="S161" s="75" t="str">
        <f>VLOOKUP($X161,LOV!$F:$L,2,FALSE)</f>
        <v>WK2</v>
      </c>
      <c r="T161" s="88">
        <f>VLOOKUP($X161,LOV!$F:$L,7,FALSE)</f>
        <v>45922</v>
      </c>
      <c r="U161" s="53">
        <v>5</v>
      </c>
      <c r="V161" s="53">
        <v>0</v>
      </c>
      <c r="W161" s="65">
        <f t="shared" si="2"/>
        <v>0</v>
      </c>
      <c r="X161" s="53" t="s">
        <v>209</v>
      </c>
      <c r="Y161" s="67">
        <v>45925</v>
      </c>
    </row>
    <row r="162" spans="1:25">
      <c r="A162" s="53">
        <v>1156</v>
      </c>
      <c r="B162" s="71" t="s">
        <v>449</v>
      </c>
      <c r="C162" s="45" t="s">
        <v>450</v>
      </c>
      <c r="D162" s="69" t="s">
        <v>652</v>
      </c>
      <c r="E162" s="45">
        <v>1</v>
      </c>
      <c r="F162" s="46">
        <v>74</v>
      </c>
      <c r="G162" s="47" t="s">
        <v>242</v>
      </c>
      <c r="I162" s="45" t="s">
        <v>205</v>
      </c>
      <c r="M162" s="78" t="s">
        <v>653</v>
      </c>
      <c r="N162" s="78"/>
      <c r="O162" s="79" t="s">
        <v>412</v>
      </c>
      <c r="P162" s="45" t="s">
        <v>458</v>
      </c>
      <c r="Q162" s="75">
        <f>VLOOKUP(B162,LOV!$B:$C,2,FALSE)</f>
        <v>100</v>
      </c>
      <c r="R162" s="75" t="str">
        <f>VLOOKUP(B162,LOV!$B:$D,3,FALSE)</f>
        <v>CC</v>
      </c>
      <c r="S162" s="75" t="str">
        <f>VLOOKUP($X162,LOV!$F:$L,2,FALSE)</f>
        <v>WK2</v>
      </c>
      <c r="T162" s="88">
        <f>VLOOKUP($X162,LOV!$F:$L,7,FALSE)</f>
        <v>45922</v>
      </c>
      <c r="U162" s="53">
        <v>5</v>
      </c>
      <c r="V162" s="53">
        <v>1</v>
      </c>
      <c r="W162" s="65">
        <f t="shared" si="2"/>
        <v>0.5</v>
      </c>
      <c r="X162" s="53" t="s">
        <v>209</v>
      </c>
      <c r="Y162" s="67">
        <v>45925</v>
      </c>
    </row>
    <row r="163" spans="1:25">
      <c r="A163" s="53">
        <v>1157</v>
      </c>
      <c r="B163" s="71" t="s">
        <v>449</v>
      </c>
      <c r="C163" s="45" t="s">
        <v>450</v>
      </c>
      <c r="D163" s="69" t="s">
        <v>654</v>
      </c>
      <c r="E163" s="45">
        <v>1</v>
      </c>
      <c r="F163" s="46">
        <v>74</v>
      </c>
      <c r="G163" s="47" t="s">
        <v>46</v>
      </c>
      <c r="I163" s="45" t="s">
        <v>205</v>
      </c>
      <c r="L163" s="47" t="s">
        <v>655</v>
      </c>
      <c r="M163" s="68" t="s">
        <v>261</v>
      </c>
      <c r="N163" s="68"/>
      <c r="O163" s="45" t="s">
        <v>397</v>
      </c>
      <c r="P163" s="45" t="s">
        <v>458</v>
      </c>
      <c r="Q163" s="75">
        <f>VLOOKUP(B163,LOV!$B:$C,2,FALSE)</f>
        <v>100</v>
      </c>
      <c r="R163" s="75" t="str">
        <f>VLOOKUP(B163,LOV!$B:$D,3,FALSE)</f>
        <v>CC</v>
      </c>
      <c r="S163" s="75" t="str">
        <f>VLOOKUP($X163,LOV!$F:$L,2,FALSE)</f>
        <v>WK2</v>
      </c>
      <c r="T163" s="88">
        <f>VLOOKUP($X163,LOV!$F:$L,7,FALSE)</f>
        <v>45922</v>
      </c>
      <c r="U163" s="53">
        <v>5</v>
      </c>
      <c r="V163" s="53">
        <v>1</v>
      </c>
      <c r="W163" s="65">
        <f t="shared" si="2"/>
        <v>0.5</v>
      </c>
      <c r="X163" s="53" t="s">
        <v>209</v>
      </c>
      <c r="Y163" s="67">
        <v>45925</v>
      </c>
    </row>
    <row r="164" spans="1:25">
      <c r="A164" s="53">
        <v>1158</v>
      </c>
      <c r="B164" s="71" t="s">
        <v>449</v>
      </c>
      <c r="C164" s="45" t="s">
        <v>450</v>
      </c>
      <c r="D164" s="69" t="s">
        <v>656</v>
      </c>
      <c r="E164" s="45">
        <v>1</v>
      </c>
      <c r="F164" s="46">
        <v>74</v>
      </c>
      <c r="G164" s="47" t="s">
        <v>618</v>
      </c>
      <c r="I164" s="45" t="s">
        <v>205</v>
      </c>
      <c r="L164" s="47" t="s">
        <v>655</v>
      </c>
      <c r="M164" s="68" t="s">
        <v>261</v>
      </c>
      <c r="N164" s="68"/>
      <c r="O164" s="45" t="s">
        <v>397</v>
      </c>
      <c r="P164" s="45" t="s">
        <v>458</v>
      </c>
      <c r="Q164" s="75">
        <f>VLOOKUP(B164,LOV!$B:$C,2,FALSE)</f>
        <v>100</v>
      </c>
      <c r="R164" s="75" t="str">
        <f>VLOOKUP(B164,LOV!$B:$D,3,FALSE)</f>
        <v>CC</v>
      </c>
      <c r="S164" s="75" t="str">
        <f>VLOOKUP($X164,LOV!$F:$L,2,FALSE)</f>
        <v>WK2</v>
      </c>
      <c r="T164" s="88">
        <f>VLOOKUP($X164,LOV!$F:$L,7,FALSE)</f>
        <v>45922</v>
      </c>
      <c r="U164" s="53">
        <v>5</v>
      </c>
      <c r="V164" s="53">
        <v>1</v>
      </c>
      <c r="W164" s="65">
        <f t="shared" si="2"/>
        <v>0.5</v>
      </c>
      <c r="X164" s="53" t="s">
        <v>209</v>
      </c>
      <c r="Y164" s="67">
        <v>45925</v>
      </c>
    </row>
    <row r="165" spans="1:25" ht="28.9">
      <c r="A165" s="53">
        <v>1159</v>
      </c>
      <c r="B165" s="71" t="s">
        <v>449</v>
      </c>
      <c r="C165" s="45" t="s">
        <v>450</v>
      </c>
      <c r="D165" s="69" t="s">
        <v>657</v>
      </c>
      <c r="E165" s="45">
        <v>1</v>
      </c>
      <c r="F165" s="46">
        <v>74</v>
      </c>
      <c r="G165" s="47" t="s">
        <v>658</v>
      </c>
      <c r="I165" s="45" t="s">
        <v>205</v>
      </c>
      <c r="M165" s="68" t="s">
        <v>261</v>
      </c>
      <c r="N165" s="68"/>
      <c r="O165" s="45" t="s">
        <v>397</v>
      </c>
      <c r="P165" s="45" t="s">
        <v>458</v>
      </c>
      <c r="Q165" s="75">
        <f>VLOOKUP(B165,LOV!$B:$C,2,FALSE)</f>
        <v>100</v>
      </c>
      <c r="R165" s="75" t="str">
        <f>VLOOKUP(B165,LOV!$B:$D,3,FALSE)</f>
        <v>CC</v>
      </c>
      <c r="S165" s="75" t="str">
        <f>VLOOKUP($X165,LOV!$F:$L,2,FALSE)</f>
        <v>WK2</v>
      </c>
      <c r="T165" s="88">
        <f>VLOOKUP($X165,LOV!$F:$L,7,FALSE)</f>
        <v>45922</v>
      </c>
      <c r="U165" s="53">
        <v>5</v>
      </c>
      <c r="V165" s="53">
        <v>1</v>
      </c>
      <c r="W165" s="65">
        <f t="shared" si="2"/>
        <v>0.5</v>
      </c>
      <c r="X165" s="53" t="s">
        <v>209</v>
      </c>
      <c r="Y165" s="67">
        <v>45925</v>
      </c>
    </row>
    <row r="166" spans="1:25" ht="57.6">
      <c r="A166" s="53">
        <v>1160</v>
      </c>
      <c r="B166" s="71" t="s">
        <v>449</v>
      </c>
      <c r="C166" s="45" t="s">
        <v>450</v>
      </c>
      <c r="D166" s="69" t="s">
        <v>79</v>
      </c>
      <c r="E166" s="45">
        <v>1</v>
      </c>
      <c r="F166" s="46">
        <v>74</v>
      </c>
      <c r="G166" s="47" t="s">
        <v>242</v>
      </c>
      <c r="I166" s="45" t="s">
        <v>205</v>
      </c>
      <c r="M166" s="68" t="s">
        <v>659</v>
      </c>
      <c r="N166" s="68"/>
      <c r="O166" s="45" t="s">
        <v>397</v>
      </c>
      <c r="P166" s="45" t="s">
        <v>458</v>
      </c>
      <c r="Q166" s="75">
        <f>VLOOKUP(B166,LOV!$B:$C,2,FALSE)</f>
        <v>100</v>
      </c>
      <c r="R166" s="75" t="str">
        <f>VLOOKUP(B166,LOV!$B:$D,3,FALSE)</f>
        <v>CC</v>
      </c>
      <c r="S166" s="75" t="str">
        <f>VLOOKUP($X166,LOV!$F:$L,2,FALSE)</f>
        <v>WK2</v>
      </c>
      <c r="T166" s="88">
        <f>VLOOKUP($X166,LOV!$F:$L,7,FALSE)</f>
        <v>45922</v>
      </c>
      <c r="U166" s="53">
        <v>5</v>
      </c>
      <c r="V166" s="53">
        <v>1</v>
      </c>
      <c r="W166" s="65">
        <f t="shared" si="2"/>
        <v>0.5</v>
      </c>
      <c r="X166" s="53" t="s">
        <v>209</v>
      </c>
      <c r="Y166" s="67">
        <v>45925</v>
      </c>
    </row>
    <row r="167" spans="1:25" ht="57.6">
      <c r="A167" s="77">
        <v>1307</v>
      </c>
      <c r="B167" s="79" t="s">
        <v>449</v>
      </c>
      <c r="C167" s="79" t="s">
        <v>450</v>
      </c>
      <c r="D167" s="80" t="s">
        <v>660</v>
      </c>
      <c r="E167" s="45">
        <v>1</v>
      </c>
      <c r="F167" s="46">
        <v>0</v>
      </c>
      <c r="G167" s="47" t="s">
        <v>661</v>
      </c>
      <c r="I167" s="45" t="s">
        <v>205</v>
      </c>
      <c r="L167" s="47" t="s">
        <v>645</v>
      </c>
      <c r="M167" s="78" t="s">
        <v>662</v>
      </c>
      <c r="N167" s="78"/>
      <c r="O167" s="79" t="s">
        <v>412</v>
      </c>
      <c r="P167" s="45" t="s">
        <v>458</v>
      </c>
      <c r="Q167" s="75">
        <f>VLOOKUP(B167,LOV!$B:$C,2,FALSE)</f>
        <v>100</v>
      </c>
      <c r="R167" s="75" t="str">
        <f>VLOOKUP(B167,LOV!$B:$D,3,FALSE)</f>
        <v>CC</v>
      </c>
      <c r="S167" s="75" t="str">
        <f>VLOOKUP($X167,LOV!$F:$L,2,FALSE)</f>
        <v>WK2</v>
      </c>
      <c r="T167" s="88">
        <f>VLOOKUP($X167,LOV!$F:$L,7,FALSE)</f>
        <v>45922</v>
      </c>
      <c r="V167" s="53">
        <v>2</v>
      </c>
      <c r="W167" s="65">
        <f t="shared" si="2"/>
        <v>1</v>
      </c>
      <c r="X167" s="77" t="s">
        <v>209</v>
      </c>
      <c r="Y167" s="67">
        <v>45925</v>
      </c>
    </row>
    <row r="168" spans="1:25" ht="72">
      <c r="A168" s="53">
        <v>1161</v>
      </c>
      <c r="B168" s="71" t="s">
        <v>449</v>
      </c>
      <c r="C168" s="45" t="s">
        <v>450</v>
      </c>
      <c r="D168" s="69" t="s">
        <v>663</v>
      </c>
      <c r="E168" s="45">
        <v>1</v>
      </c>
      <c r="F168" s="46" t="s">
        <v>664</v>
      </c>
      <c r="G168" s="47" t="s">
        <v>46</v>
      </c>
      <c r="I168" s="45" t="s">
        <v>205</v>
      </c>
      <c r="J168" s="45" t="s">
        <v>387</v>
      </c>
      <c r="M168" s="78" t="s">
        <v>665</v>
      </c>
      <c r="N168" s="78"/>
      <c r="O168" s="79" t="s">
        <v>412</v>
      </c>
      <c r="P168" s="45" t="s">
        <v>458</v>
      </c>
      <c r="Q168" s="75">
        <f>VLOOKUP(B168,LOV!$B:$C,2,FALSE)</f>
        <v>100</v>
      </c>
      <c r="R168" s="75" t="str">
        <f>VLOOKUP(B168,LOV!$B:$D,3,FALSE)</f>
        <v>CC</v>
      </c>
      <c r="S168" s="75" t="str">
        <f>VLOOKUP($X168,LOV!$F:$L,2,FALSE)</f>
        <v>WK2</v>
      </c>
      <c r="T168" s="88">
        <f>VLOOKUP($X168,LOV!$F:$L,7,FALSE)</f>
        <v>45922</v>
      </c>
      <c r="U168" s="53">
        <v>5</v>
      </c>
      <c r="V168" s="53">
        <v>1</v>
      </c>
      <c r="W168" s="65">
        <f t="shared" si="2"/>
        <v>0.5</v>
      </c>
      <c r="X168" s="53" t="s">
        <v>209</v>
      </c>
      <c r="Y168" s="67">
        <v>45925</v>
      </c>
    </row>
    <row r="169" spans="1:25" ht="22.15">
      <c r="A169" s="53">
        <v>1162</v>
      </c>
      <c r="B169" s="71" t="s">
        <v>449</v>
      </c>
      <c r="C169" s="45" t="s">
        <v>503</v>
      </c>
      <c r="D169" s="69" t="s">
        <v>666</v>
      </c>
      <c r="E169" s="45">
        <v>1</v>
      </c>
      <c r="F169" s="46" t="s">
        <v>667</v>
      </c>
      <c r="G169" s="47" t="s">
        <v>242</v>
      </c>
      <c r="I169" s="45" t="s">
        <v>205</v>
      </c>
      <c r="J169" s="45" t="s">
        <v>248</v>
      </c>
      <c r="L169" s="47" t="s">
        <v>668</v>
      </c>
      <c r="M169" s="47" t="s">
        <v>669</v>
      </c>
      <c r="O169" s="45" t="s">
        <v>377</v>
      </c>
      <c r="P169" s="45" t="s">
        <v>378</v>
      </c>
      <c r="Q169" s="75">
        <f>VLOOKUP(B169,LOV!$B:$C,2,FALSE)</f>
        <v>100</v>
      </c>
      <c r="R169" s="75" t="str">
        <f>VLOOKUP(B169,LOV!$B:$D,3,FALSE)</f>
        <v>CC</v>
      </c>
      <c r="S169" s="75" t="str">
        <f>VLOOKUP($X169,LOV!$F:$L,2,FALSE)</f>
        <v>WK3</v>
      </c>
      <c r="T169" s="88">
        <f>VLOOKUP($X169,LOV!$F:$L,7,FALSE)</f>
        <v>45929</v>
      </c>
      <c r="U169" s="53">
        <v>5</v>
      </c>
      <c r="V169" s="53">
        <v>2</v>
      </c>
      <c r="W169" s="65">
        <f t="shared" si="2"/>
        <v>1</v>
      </c>
      <c r="X169" s="53" t="s">
        <v>379</v>
      </c>
      <c r="Y169" s="67">
        <v>45923</v>
      </c>
    </row>
    <row r="170" spans="1:25">
      <c r="A170" s="53">
        <v>1163</v>
      </c>
      <c r="B170" s="71" t="s">
        <v>449</v>
      </c>
      <c r="C170" s="45" t="s">
        <v>670</v>
      </c>
      <c r="D170" s="69" t="s">
        <v>671</v>
      </c>
      <c r="E170" s="45">
        <v>0</v>
      </c>
      <c r="F170" s="46" t="s">
        <v>672</v>
      </c>
      <c r="G170" s="47" t="s">
        <v>203</v>
      </c>
      <c r="I170" s="45" t="s">
        <v>205</v>
      </c>
      <c r="O170" s="45" t="s">
        <v>377</v>
      </c>
      <c r="P170" s="45" t="s">
        <v>378</v>
      </c>
      <c r="Q170" s="75">
        <f>VLOOKUP(B170,LOV!$B:$C,2,FALSE)</f>
        <v>100</v>
      </c>
      <c r="R170" s="75" t="str">
        <f>VLOOKUP(B170,LOV!$B:$D,3,FALSE)</f>
        <v>CC</v>
      </c>
      <c r="S170" s="75" t="str">
        <f>VLOOKUP($X170,LOV!$F:$L,2,FALSE)</f>
        <v>WK3</v>
      </c>
      <c r="T170" s="88">
        <f>VLOOKUP($X170,LOV!$F:$L,7,FALSE)</f>
        <v>45929</v>
      </c>
      <c r="U170" s="53">
        <v>5</v>
      </c>
      <c r="V170" s="53">
        <v>0</v>
      </c>
      <c r="W170" s="65">
        <f t="shared" si="2"/>
        <v>0</v>
      </c>
      <c r="X170" s="53" t="s">
        <v>379</v>
      </c>
    </row>
    <row r="171" spans="1:25">
      <c r="A171" s="53">
        <v>1164</v>
      </c>
      <c r="B171" s="71" t="s">
        <v>449</v>
      </c>
      <c r="C171" s="45" t="s">
        <v>670</v>
      </c>
      <c r="D171" s="69" t="s">
        <v>673</v>
      </c>
      <c r="E171" s="45">
        <v>0</v>
      </c>
      <c r="F171" s="46" t="s">
        <v>672</v>
      </c>
      <c r="G171" s="47" t="s">
        <v>203</v>
      </c>
      <c r="I171" s="45" t="s">
        <v>205</v>
      </c>
      <c r="O171" s="45" t="s">
        <v>377</v>
      </c>
      <c r="P171" s="45" t="s">
        <v>378</v>
      </c>
      <c r="Q171" s="75">
        <f>VLOOKUP(B171,LOV!$B:$C,2,FALSE)</f>
        <v>100</v>
      </c>
      <c r="R171" s="75" t="str">
        <f>VLOOKUP(B171,LOV!$B:$D,3,FALSE)</f>
        <v>CC</v>
      </c>
      <c r="S171" s="75" t="str">
        <f>VLOOKUP($X171,LOV!$F:$L,2,FALSE)</f>
        <v>WK3</v>
      </c>
      <c r="T171" s="88">
        <f>VLOOKUP($X171,LOV!$F:$L,7,FALSE)</f>
        <v>45929</v>
      </c>
      <c r="U171" s="53">
        <v>5</v>
      </c>
      <c r="V171" s="53">
        <v>0</v>
      </c>
      <c r="W171" s="65">
        <f t="shared" si="2"/>
        <v>0</v>
      </c>
      <c r="X171" s="53" t="s">
        <v>379</v>
      </c>
    </row>
    <row r="172" spans="1:25">
      <c r="A172" s="53">
        <v>1165</v>
      </c>
      <c r="B172" s="71" t="s">
        <v>449</v>
      </c>
      <c r="C172" s="45" t="s">
        <v>670</v>
      </c>
      <c r="D172" s="69" t="s">
        <v>674</v>
      </c>
      <c r="E172" s="45">
        <v>0</v>
      </c>
      <c r="F172" s="46" t="s">
        <v>672</v>
      </c>
      <c r="G172" s="47" t="s">
        <v>203</v>
      </c>
      <c r="I172" s="45" t="s">
        <v>205</v>
      </c>
      <c r="O172" s="45" t="s">
        <v>377</v>
      </c>
      <c r="P172" s="45" t="s">
        <v>378</v>
      </c>
      <c r="Q172" s="75">
        <f>VLOOKUP(B172,LOV!$B:$C,2,FALSE)</f>
        <v>100</v>
      </c>
      <c r="R172" s="75" t="str">
        <f>VLOOKUP(B172,LOV!$B:$D,3,FALSE)</f>
        <v>CC</v>
      </c>
      <c r="S172" s="75" t="str">
        <f>VLOOKUP($X172,LOV!$F:$L,2,FALSE)</f>
        <v>WK3</v>
      </c>
      <c r="T172" s="88">
        <f>VLOOKUP($X172,LOV!$F:$L,7,FALSE)</f>
        <v>45929</v>
      </c>
      <c r="U172" s="53">
        <v>5</v>
      </c>
      <c r="V172" s="53">
        <v>0</v>
      </c>
      <c r="W172" s="65">
        <f t="shared" si="2"/>
        <v>0</v>
      </c>
      <c r="X172" s="53" t="s">
        <v>379</v>
      </c>
    </row>
    <row r="173" spans="1:25" ht="28.9">
      <c r="A173" s="53">
        <v>1166</v>
      </c>
      <c r="B173" s="71" t="s">
        <v>449</v>
      </c>
      <c r="C173" s="45" t="s">
        <v>675</v>
      </c>
      <c r="D173" s="69" t="s">
        <v>676</v>
      </c>
      <c r="E173" s="45">
        <v>1</v>
      </c>
      <c r="F173" s="46">
        <v>76</v>
      </c>
      <c r="G173" s="47" t="s">
        <v>677</v>
      </c>
      <c r="I173" s="45" t="s">
        <v>205</v>
      </c>
      <c r="M173" s="47" t="s">
        <v>678</v>
      </c>
      <c r="O173" s="45" t="s">
        <v>412</v>
      </c>
      <c r="P173" s="45" t="s">
        <v>378</v>
      </c>
      <c r="Q173" s="75">
        <f>VLOOKUP(B173,LOV!$B:$C,2,FALSE)</f>
        <v>100</v>
      </c>
      <c r="R173" s="75" t="str">
        <f>VLOOKUP(B173,LOV!$B:$D,3,FALSE)</f>
        <v>CC</v>
      </c>
      <c r="S173" s="75" t="str">
        <f>VLOOKUP($X173,LOV!$F:$L,2,FALSE)</f>
        <v>WK3</v>
      </c>
      <c r="T173" s="88">
        <f>VLOOKUP($X173,LOV!$F:$L,7,FALSE)</f>
        <v>45929</v>
      </c>
      <c r="U173" s="53">
        <v>6</v>
      </c>
      <c r="V173" s="53">
        <v>2</v>
      </c>
      <c r="W173" s="65">
        <f t="shared" si="2"/>
        <v>1</v>
      </c>
      <c r="X173" s="53" t="s">
        <v>379</v>
      </c>
      <c r="Y173" s="67">
        <v>45922</v>
      </c>
    </row>
    <row r="174" spans="1:25" ht="22.15">
      <c r="A174" s="77">
        <v>1308</v>
      </c>
      <c r="B174" s="79" t="s">
        <v>449</v>
      </c>
      <c r="C174" s="79" t="s">
        <v>679</v>
      </c>
      <c r="D174" s="80" t="s">
        <v>680</v>
      </c>
      <c r="E174" s="45">
        <v>1</v>
      </c>
      <c r="F174" s="46">
        <v>0</v>
      </c>
      <c r="G174" s="47" t="s">
        <v>242</v>
      </c>
      <c r="I174" s="45" t="s">
        <v>205</v>
      </c>
      <c r="L174" s="47" t="s">
        <v>681</v>
      </c>
      <c r="O174" s="45" t="s">
        <v>377</v>
      </c>
      <c r="P174" s="45" t="s">
        <v>378</v>
      </c>
      <c r="Q174" s="75">
        <f>VLOOKUP(B174,LOV!$B:$C,2,FALSE)</f>
        <v>100</v>
      </c>
      <c r="R174" s="75" t="str">
        <f>VLOOKUP(B174,LOV!$B:$D,3,FALSE)</f>
        <v>CC</v>
      </c>
      <c r="S174" s="75" t="str">
        <f>VLOOKUP($X174,LOV!$F:$L,2,FALSE)</f>
        <v>WK3</v>
      </c>
      <c r="T174" s="88">
        <f>VLOOKUP($X174,LOV!$F:$L,7,FALSE)</f>
        <v>45929</v>
      </c>
      <c r="U174" s="53">
        <v>6</v>
      </c>
      <c r="V174" s="53">
        <v>0</v>
      </c>
      <c r="W174" s="65">
        <f t="shared" si="2"/>
        <v>0</v>
      </c>
      <c r="X174" s="53" t="s">
        <v>379</v>
      </c>
      <c r="Y174" s="67"/>
    </row>
    <row r="175" spans="1:25" ht="28.9">
      <c r="A175" s="53">
        <v>1167</v>
      </c>
      <c r="B175" s="71" t="s">
        <v>449</v>
      </c>
      <c r="C175" s="45" t="s">
        <v>679</v>
      </c>
      <c r="D175" s="69" t="s">
        <v>682</v>
      </c>
      <c r="E175" s="45">
        <v>1</v>
      </c>
      <c r="F175" s="46">
        <v>76</v>
      </c>
      <c r="G175" s="47" t="s">
        <v>683</v>
      </c>
      <c r="I175" s="45" t="s">
        <v>205</v>
      </c>
      <c r="O175" s="45" t="s">
        <v>377</v>
      </c>
      <c r="P175" s="45" t="s">
        <v>378</v>
      </c>
      <c r="Q175" s="75">
        <f>VLOOKUP(B175,LOV!$B:$C,2,FALSE)</f>
        <v>100</v>
      </c>
      <c r="R175" s="75" t="str">
        <f>VLOOKUP(B175,LOV!$B:$D,3,FALSE)</f>
        <v>CC</v>
      </c>
      <c r="S175" s="75" t="str">
        <f>VLOOKUP($X175,LOV!$F:$L,2,FALSE)</f>
        <v>WK3</v>
      </c>
      <c r="T175" s="88">
        <f>VLOOKUP($X175,LOV!$F:$L,7,FALSE)</f>
        <v>45929</v>
      </c>
      <c r="U175" s="53">
        <v>6</v>
      </c>
      <c r="V175" s="53">
        <v>1</v>
      </c>
      <c r="W175" s="65">
        <f t="shared" si="2"/>
        <v>0.5</v>
      </c>
      <c r="X175" s="53" t="s">
        <v>379</v>
      </c>
    </row>
    <row r="176" spans="1:25" ht="28.9">
      <c r="A176" s="53">
        <v>1168</v>
      </c>
      <c r="B176" s="71" t="s">
        <v>449</v>
      </c>
      <c r="C176" s="45" t="s">
        <v>679</v>
      </c>
      <c r="D176" s="69" t="s">
        <v>684</v>
      </c>
      <c r="E176" s="45">
        <v>0</v>
      </c>
      <c r="F176" s="46">
        <v>76</v>
      </c>
      <c r="G176" s="47" t="s">
        <v>683</v>
      </c>
      <c r="I176" s="45" t="s">
        <v>205</v>
      </c>
      <c r="O176" s="45" t="s">
        <v>377</v>
      </c>
      <c r="P176" s="45" t="s">
        <v>378</v>
      </c>
      <c r="Q176" s="75">
        <f>VLOOKUP(B176,LOV!$B:$C,2,FALSE)</f>
        <v>100</v>
      </c>
      <c r="R176" s="75" t="str">
        <f>VLOOKUP(B176,LOV!$B:$D,3,FALSE)</f>
        <v>CC</v>
      </c>
      <c r="S176" s="75" t="str">
        <f>VLOOKUP($X176,LOV!$F:$L,2,FALSE)</f>
        <v>WK3</v>
      </c>
      <c r="T176" s="88">
        <f>VLOOKUP($X176,LOV!$F:$L,7,FALSE)</f>
        <v>45929</v>
      </c>
      <c r="U176" s="53">
        <v>6</v>
      </c>
      <c r="V176" s="53">
        <v>0</v>
      </c>
      <c r="W176" s="65">
        <f t="shared" si="2"/>
        <v>0</v>
      </c>
      <c r="X176" s="53" t="s">
        <v>379</v>
      </c>
    </row>
    <row r="177" spans="1:25" ht="28.9">
      <c r="A177" s="53">
        <v>1169</v>
      </c>
      <c r="B177" s="71" t="s">
        <v>449</v>
      </c>
      <c r="C177" s="45" t="s">
        <v>679</v>
      </c>
      <c r="D177" s="69" t="s">
        <v>685</v>
      </c>
      <c r="E177" s="45">
        <v>0</v>
      </c>
      <c r="F177" s="46">
        <v>76</v>
      </c>
      <c r="G177" s="47" t="s">
        <v>686</v>
      </c>
      <c r="I177" s="45" t="s">
        <v>205</v>
      </c>
      <c r="O177" s="45" t="s">
        <v>377</v>
      </c>
      <c r="P177" s="45" t="s">
        <v>378</v>
      </c>
      <c r="Q177" s="75">
        <f>VLOOKUP(B177,LOV!$B:$C,2,FALSE)</f>
        <v>100</v>
      </c>
      <c r="R177" s="75" t="str">
        <f>VLOOKUP(B177,LOV!$B:$D,3,FALSE)</f>
        <v>CC</v>
      </c>
      <c r="S177" s="75" t="str">
        <f>VLOOKUP($X177,LOV!$F:$L,2,FALSE)</f>
        <v>WK3</v>
      </c>
      <c r="T177" s="88">
        <f>VLOOKUP($X177,LOV!$F:$L,7,FALSE)</f>
        <v>45929</v>
      </c>
      <c r="U177" s="53">
        <v>6</v>
      </c>
      <c r="V177" s="53">
        <v>0</v>
      </c>
      <c r="W177" s="65">
        <f t="shared" si="2"/>
        <v>0</v>
      </c>
      <c r="X177" s="53" t="s">
        <v>379</v>
      </c>
    </row>
    <row r="178" spans="1:25">
      <c r="A178" s="77">
        <v>1309</v>
      </c>
      <c r="B178" s="79" t="s">
        <v>449</v>
      </c>
      <c r="C178" s="79" t="s">
        <v>679</v>
      </c>
      <c r="D178" s="80" t="s">
        <v>687</v>
      </c>
      <c r="E178" s="45">
        <v>1</v>
      </c>
      <c r="F178" s="46">
        <v>0</v>
      </c>
      <c r="G178" s="47" t="s">
        <v>242</v>
      </c>
      <c r="I178" s="45" t="s">
        <v>205</v>
      </c>
      <c r="L178" s="47" t="s">
        <v>681</v>
      </c>
      <c r="O178" s="45" t="s">
        <v>377</v>
      </c>
      <c r="P178" s="45" t="s">
        <v>378</v>
      </c>
      <c r="Q178" s="75">
        <f>VLOOKUP(B178,LOV!$B:$C,2,FALSE)</f>
        <v>100</v>
      </c>
      <c r="R178" s="75" t="str">
        <f>VLOOKUP(B178,LOV!$B:$D,3,FALSE)</f>
        <v>CC</v>
      </c>
      <c r="S178" s="75" t="str">
        <f>VLOOKUP($X178,LOV!$F:$L,2,FALSE)</f>
        <v>WK3</v>
      </c>
      <c r="T178" s="88">
        <f>VLOOKUP($X178,LOV!$F:$L,7,FALSE)</f>
        <v>45929</v>
      </c>
      <c r="U178" s="53">
        <v>6</v>
      </c>
      <c r="V178" s="53">
        <v>0</v>
      </c>
      <c r="W178" s="65">
        <f t="shared" si="2"/>
        <v>0</v>
      </c>
      <c r="X178" s="53" t="s">
        <v>379</v>
      </c>
    </row>
    <row r="179" spans="1:25" ht="28.9">
      <c r="A179" s="99">
        <v>1170</v>
      </c>
      <c r="B179" s="71" t="s">
        <v>449</v>
      </c>
      <c r="C179" s="45" t="s">
        <v>679</v>
      </c>
      <c r="D179" s="101" t="s">
        <v>688</v>
      </c>
      <c r="E179" s="45">
        <v>1</v>
      </c>
      <c r="F179" s="46">
        <v>76</v>
      </c>
      <c r="G179" s="47" t="s">
        <v>689</v>
      </c>
      <c r="I179" s="45" t="s">
        <v>205</v>
      </c>
      <c r="L179" s="100" t="s">
        <v>690</v>
      </c>
      <c r="O179" s="45" t="s">
        <v>377</v>
      </c>
      <c r="P179" s="45" t="s">
        <v>378</v>
      </c>
      <c r="Q179" s="75">
        <f>VLOOKUP(B179,LOV!$B:$C,2,FALSE)</f>
        <v>100</v>
      </c>
      <c r="R179" s="75" t="str">
        <f>VLOOKUP(B179,LOV!$B:$D,3,FALSE)</f>
        <v>CC</v>
      </c>
      <c r="S179" s="75" t="str">
        <f>VLOOKUP($X179,LOV!$F:$L,2,FALSE)</f>
        <v>WK3</v>
      </c>
      <c r="T179" s="88">
        <f>VLOOKUP($X179,LOV!$F:$L,7,FALSE)</f>
        <v>45929</v>
      </c>
      <c r="U179" s="53">
        <v>6</v>
      </c>
      <c r="V179" s="53">
        <v>1</v>
      </c>
      <c r="W179" s="65">
        <f t="shared" si="2"/>
        <v>0.5</v>
      </c>
      <c r="X179" s="53" t="s">
        <v>379</v>
      </c>
    </row>
    <row r="180" spans="1:25" ht="28.9">
      <c r="A180" s="53">
        <v>1171</v>
      </c>
      <c r="B180" s="71" t="s">
        <v>449</v>
      </c>
      <c r="C180" s="45" t="s">
        <v>679</v>
      </c>
      <c r="D180" s="69" t="s">
        <v>691</v>
      </c>
      <c r="E180" s="45">
        <v>0</v>
      </c>
      <c r="F180" s="46">
        <v>76</v>
      </c>
      <c r="G180" s="47" t="s">
        <v>692</v>
      </c>
      <c r="I180" s="45" t="s">
        <v>205</v>
      </c>
      <c r="O180" s="45" t="s">
        <v>377</v>
      </c>
      <c r="P180" s="45" t="s">
        <v>378</v>
      </c>
      <c r="Q180" s="75">
        <f>VLOOKUP(B180,LOV!$B:$C,2,FALSE)</f>
        <v>100</v>
      </c>
      <c r="R180" s="75" t="str">
        <f>VLOOKUP(B180,LOV!$B:$D,3,FALSE)</f>
        <v>CC</v>
      </c>
      <c r="S180" s="75" t="str">
        <f>VLOOKUP($X180,LOV!$F:$L,2,FALSE)</f>
        <v>WK3</v>
      </c>
      <c r="T180" s="88">
        <f>VLOOKUP($X180,LOV!$F:$L,7,FALSE)</f>
        <v>45929</v>
      </c>
      <c r="U180" s="53">
        <v>6</v>
      </c>
      <c r="V180" s="53">
        <v>0</v>
      </c>
      <c r="W180" s="65">
        <f t="shared" si="2"/>
        <v>0</v>
      </c>
      <c r="X180" s="53" t="s">
        <v>379</v>
      </c>
    </row>
    <row r="181" spans="1:25" ht="28.9">
      <c r="A181" s="53">
        <v>1172</v>
      </c>
      <c r="B181" s="71" t="s">
        <v>449</v>
      </c>
      <c r="C181" s="45" t="s">
        <v>679</v>
      </c>
      <c r="D181" s="69" t="s">
        <v>693</v>
      </c>
      <c r="E181" s="45">
        <v>0</v>
      </c>
      <c r="F181" s="46">
        <v>76</v>
      </c>
      <c r="G181" s="47" t="s">
        <v>692</v>
      </c>
      <c r="I181" s="45" t="s">
        <v>205</v>
      </c>
      <c r="O181" s="45" t="s">
        <v>377</v>
      </c>
      <c r="P181" s="45" t="s">
        <v>378</v>
      </c>
      <c r="Q181" s="75">
        <f>VLOOKUP(B181,LOV!$B:$C,2,FALSE)</f>
        <v>100</v>
      </c>
      <c r="R181" s="75" t="str">
        <f>VLOOKUP(B181,LOV!$B:$D,3,FALSE)</f>
        <v>CC</v>
      </c>
      <c r="S181" s="75" t="str">
        <f>VLOOKUP($X181,LOV!$F:$L,2,FALSE)</f>
        <v>WK3</v>
      </c>
      <c r="T181" s="88">
        <f>VLOOKUP($X181,LOV!$F:$L,7,FALSE)</f>
        <v>45929</v>
      </c>
      <c r="U181" s="53">
        <v>6</v>
      </c>
      <c r="V181" s="53">
        <v>0</v>
      </c>
      <c r="W181" s="65">
        <f t="shared" si="2"/>
        <v>0</v>
      </c>
      <c r="X181" s="53" t="s">
        <v>379</v>
      </c>
    </row>
    <row r="182" spans="1:25">
      <c r="A182" s="53">
        <v>1173</v>
      </c>
      <c r="B182" s="71" t="s">
        <v>449</v>
      </c>
      <c r="C182" s="45" t="s">
        <v>694</v>
      </c>
      <c r="D182" s="69" t="s">
        <v>695</v>
      </c>
      <c r="E182" s="45">
        <v>1</v>
      </c>
      <c r="F182" s="46" t="s">
        <v>696</v>
      </c>
      <c r="G182" s="47" t="s">
        <v>46</v>
      </c>
      <c r="I182" s="45" t="s">
        <v>205</v>
      </c>
      <c r="M182" s="68" t="s">
        <v>697</v>
      </c>
      <c r="N182" s="68"/>
      <c r="O182" s="45" t="s">
        <v>377</v>
      </c>
      <c r="P182" s="45" t="s">
        <v>378</v>
      </c>
      <c r="Q182" s="75">
        <f>VLOOKUP(B182,LOV!$B:$C,2,FALSE)</f>
        <v>100</v>
      </c>
      <c r="R182" s="75" t="str">
        <f>VLOOKUP(B182,LOV!$B:$D,3,FALSE)</f>
        <v>CC</v>
      </c>
      <c r="S182" s="75" t="str">
        <f>VLOOKUP($X182,LOV!$F:$L,2,FALSE)</f>
        <v>WK3</v>
      </c>
      <c r="T182" s="88">
        <f>VLOOKUP($X182,LOV!$F:$L,7,FALSE)</f>
        <v>45929</v>
      </c>
      <c r="U182" s="53">
        <v>6</v>
      </c>
      <c r="V182" s="53">
        <v>1</v>
      </c>
      <c r="W182" s="65">
        <f t="shared" si="2"/>
        <v>0.5</v>
      </c>
      <c r="X182" s="53" t="s">
        <v>379</v>
      </c>
    </row>
    <row r="183" spans="1:25" ht="28.9">
      <c r="A183" s="53">
        <v>1174</v>
      </c>
      <c r="B183" s="71" t="s">
        <v>449</v>
      </c>
      <c r="C183" s="45" t="s">
        <v>694</v>
      </c>
      <c r="D183" s="69" t="s">
        <v>698</v>
      </c>
      <c r="E183" s="45">
        <v>1</v>
      </c>
      <c r="F183" s="46" t="s">
        <v>696</v>
      </c>
      <c r="G183" s="47" t="s">
        <v>699</v>
      </c>
      <c r="I183" s="45" t="s">
        <v>205</v>
      </c>
      <c r="O183" s="45" t="s">
        <v>377</v>
      </c>
      <c r="P183" s="45" t="s">
        <v>378</v>
      </c>
      <c r="Q183" s="75">
        <f>VLOOKUP(B183,LOV!$B:$C,2,FALSE)</f>
        <v>100</v>
      </c>
      <c r="R183" s="75" t="str">
        <f>VLOOKUP(B183,LOV!$B:$D,3,FALSE)</f>
        <v>CC</v>
      </c>
      <c r="S183" s="75" t="str">
        <f>VLOOKUP($X183,LOV!$F:$L,2,FALSE)</f>
        <v>WK3</v>
      </c>
      <c r="T183" s="88">
        <f>VLOOKUP($X183,LOV!$F:$L,7,FALSE)</f>
        <v>45929</v>
      </c>
      <c r="U183" s="53">
        <v>6</v>
      </c>
      <c r="V183" s="53">
        <v>1</v>
      </c>
      <c r="W183" s="65">
        <f t="shared" si="2"/>
        <v>0.5</v>
      </c>
      <c r="X183" s="53" t="s">
        <v>379</v>
      </c>
    </row>
    <row r="184" spans="1:25" ht="43.15">
      <c r="A184" s="53">
        <v>1175</v>
      </c>
      <c r="B184" s="71" t="s">
        <v>449</v>
      </c>
      <c r="C184" s="45" t="s">
        <v>694</v>
      </c>
      <c r="D184" s="69" t="s">
        <v>700</v>
      </c>
      <c r="E184" s="45">
        <v>1</v>
      </c>
      <c r="F184" s="46" t="s">
        <v>696</v>
      </c>
      <c r="G184" s="47" t="s">
        <v>46</v>
      </c>
      <c r="I184" s="45" t="s">
        <v>205</v>
      </c>
      <c r="M184" s="47" t="s">
        <v>701</v>
      </c>
      <c r="O184" s="45" t="s">
        <v>412</v>
      </c>
      <c r="P184" s="45" t="s">
        <v>378</v>
      </c>
      <c r="Q184" s="75">
        <f>VLOOKUP(B184,LOV!$B:$C,2,FALSE)</f>
        <v>100</v>
      </c>
      <c r="R184" s="75" t="str">
        <f>VLOOKUP(B184,LOV!$B:$D,3,FALSE)</f>
        <v>CC</v>
      </c>
      <c r="S184" s="75" t="str">
        <f>VLOOKUP($X184,LOV!$F:$L,2,FALSE)</f>
        <v>WK3</v>
      </c>
      <c r="T184" s="88">
        <f>VLOOKUP($X184,LOV!$F:$L,7,FALSE)</f>
        <v>45929</v>
      </c>
      <c r="U184" s="53">
        <v>6</v>
      </c>
      <c r="V184" s="53">
        <v>1</v>
      </c>
      <c r="W184" s="65">
        <f t="shared" si="2"/>
        <v>0.5</v>
      </c>
      <c r="X184" s="53" t="s">
        <v>379</v>
      </c>
      <c r="Y184" s="67">
        <v>45919</v>
      </c>
    </row>
    <row r="185" spans="1:25">
      <c r="A185" s="53">
        <v>1176</v>
      </c>
      <c r="B185" s="71" t="s">
        <v>449</v>
      </c>
      <c r="C185" s="45" t="s">
        <v>702</v>
      </c>
      <c r="D185" s="69" t="s">
        <v>703</v>
      </c>
      <c r="E185" s="45">
        <v>1</v>
      </c>
      <c r="F185" s="46" t="s">
        <v>704</v>
      </c>
      <c r="G185" s="47" t="s">
        <v>46</v>
      </c>
      <c r="I185" s="45" t="s">
        <v>205</v>
      </c>
      <c r="J185" s="45" t="s">
        <v>248</v>
      </c>
      <c r="M185" s="47" t="s">
        <v>705</v>
      </c>
      <c r="O185" s="45" t="s">
        <v>412</v>
      </c>
      <c r="P185" s="45" t="s">
        <v>378</v>
      </c>
      <c r="Q185" s="75">
        <f>VLOOKUP(B185,LOV!$B:$C,2,FALSE)</f>
        <v>100</v>
      </c>
      <c r="R185" s="75" t="str">
        <f>VLOOKUP(B185,LOV!$B:$D,3,FALSE)</f>
        <v>CC</v>
      </c>
      <c r="S185" s="75" t="str">
        <f>VLOOKUP($X185,LOV!$F:$L,2,FALSE)</f>
        <v>WK3</v>
      </c>
      <c r="T185" s="88">
        <f>VLOOKUP($X185,LOV!$F:$L,7,FALSE)</f>
        <v>45929</v>
      </c>
      <c r="U185" s="53">
        <v>7</v>
      </c>
      <c r="V185" s="53">
        <v>1</v>
      </c>
      <c r="W185" s="65">
        <f t="shared" si="2"/>
        <v>0.5</v>
      </c>
      <c r="X185" s="53" t="s">
        <v>379</v>
      </c>
      <c r="Y185" s="67">
        <v>45922</v>
      </c>
    </row>
    <row r="186" spans="1:25">
      <c r="A186" s="53">
        <v>1177</v>
      </c>
      <c r="B186" s="71" t="s">
        <v>449</v>
      </c>
      <c r="C186" s="45" t="s">
        <v>702</v>
      </c>
      <c r="D186" s="72" t="s">
        <v>706</v>
      </c>
      <c r="E186" s="45">
        <v>0</v>
      </c>
      <c r="F186" s="46" t="s">
        <v>704</v>
      </c>
      <c r="G186" s="47" t="s">
        <v>203</v>
      </c>
      <c r="I186" s="45" t="s">
        <v>218</v>
      </c>
      <c r="J186" s="45" t="s">
        <v>567</v>
      </c>
      <c r="M186" s="47" t="s">
        <v>705</v>
      </c>
      <c r="O186" s="45" t="s">
        <v>412</v>
      </c>
      <c r="P186" s="45" t="s">
        <v>378</v>
      </c>
      <c r="Q186" s="75">
        <f>VLOOKUP(B186,LOV!$B:$C,2,FALSE)</f>
        <v>100</v>
      </c>
      <c r="R186" s="75" t="str">
        <f>VLOOKUP(B186,LOV!$B:$D,3,FALSE)</f>
        <v>CC</v>
      </c>
      <c r="S186" s="75" t="str">
        <f>VLOOKUP($X186,LOV!$F:$L,2,FALSE)</f>
        <v>WK3</v>
      </c>
      <c r="T186" s="88">
        <f>VLOOKUP($X186,LOV!$F:$L,7,FALSE)</f>
        <v>45929</v>
      </c>
      <c r="U186" s="53">
        <v>7</v>
      </c>
      <c r="V186" s="53">
        <v>0</v>
      </c>
      <c r="W186" s="65">
        <f t="shared" si="2"/>
        <v>0</v>
      </c>
      <c r="X186" s="53" t="s">
        <v>379</v>
      </c>
      <c r="Y186" s="67">
        <v>45922</v>
      </c>
    </row>
    <row r="187" spans="1:25">
      <c r="A187" s="53">
        <v>1178</v>
      </c>
      <c r="B187" s="71" t="s">
        <v>449</v>
      </c>
      <c r="C187" s="45" t="s">
        <v>702</v>
      </c>
      <c r="D187" s="69" t="s">
        <v>707</v>
      </c>
      <c r="E187" s="45">
        <v>1</v>
      </c>
      <c r="F187" s="46" t="s">
        <v>704</v>
      </c>
      <c r="G187" s="47" t="s">
        <v>46</v>
      </c>
      <c r="I187" s="45" t="s">
        <v>205</v>
      </c>
      <c r="J187" s="45" t="s">
        <v>248</v>
      </c>
      <c r="M187" s="47" t="s">
        <v>705</v>
      </c>
      <c r="O187" s="45" t="s">
        <v>412</v>
      </c>
      <c r="P187" s="45" t="s">
        <v>378</v>
      </c>
      <c r="Q187" s="75">
        <f>VLOOKUP(B187,LOV!$B:$C,2,FALSE)</f>
        <v>100</v>
      </c>
      <c r="R187" s="75" t="str">
        <f>VLOOKUP(B187,LOV!$B:$D,3,FALSE)</f>
        <v>CC</v>
      </c>
      <c r="S187" s="75" t="str">
        <f>VLOOKUP($X187,LOV!$F:$L,2,FALSE)</f>
        <v>WK3</v>
      </c>
      <c r="T187" s="88">
        <f>VLOOKUP($X187,LOV!$F:$L,7,FALSE)</f>
        <v>45929</v>
      </c>
      <c r="U187" s="53">
        <v>7</v>
      </c>
      <c r="V187" s="53">
        <v>1</v>
      </c>
      <c r="W187" s="65">
        <f t="shared" si="2"/>
        <v>0.5</v>
      </c>
      <c r="X187" s="53" t="s">
        <v>379</v>
      </c>
      <c r="Y187" s="67">
        <v>45922</v>
      </c>
    </row>
    <row r="188" spans="1:25">
      <c r="A188" s="53">
        <v>1179</v>
      </c>
      <c r="B188" s="71" t="s">
        <v>449</v>
      </c>
      <c r="C188" s="45" t="s">
        <v>702</v>
      </c>
      <c r="D188" s="69" t="s">
        <v>708</v>
      </c>
      <c r="E188" s="45">
        <v>1</v>
      </c>
      <c r="F188" s="46" t="s">
        <v>704</v>
      </c>
      <c r="G188" s="47" t="s">
        <v>46</v>
      </c>
      <c r="I188" s="45" t="s">
        <v>205</v>
      </c>
      <c r="J188" s="45" t="s">
        <v>248</v>
      </c>
      <c r="M188" s="47" t="s">
        <v>705</v>
      </c>
      <c r="O188" s="45" t="s">
        <v>412</v>
      </c>
      <c r="P188" s="45" t="s">
        <v>378</v>
      </c>
      <c r="Q188" s="75">
        <f>VLOOKUP(B188,LOV!$B:$C,2,FALSE)</f>
        <v>100</v>
      </c>
      <c r="R188" s="75" t="str">
        <f>VLOOKUP(B188,LOV!$B:$D,3,FALSE)</f>
        <v>CC</v>
      </c>
      <c r="S188" s="75" t="str">
        <f>VLOOKUP($X188,LOV!$F:$L,2,FALSE)</f>
        <v>WK3</v>
      </c>
      <c r="T188" s="88">
        <f>VLOOKUP($X188,LOV!$F:$L,7,FALSE)</f>
        <v>45929</v>
      </c>
      <c r="U188" s="53">
        <v>7</v>
      </c>
      <c r="V188" s="53">
        <v>1</v>
      </c>
      <c r="W188" s="65">
        <f t="shared" si="2"/>
        <v>0.5</v>
      </c>
      <c r="X188" s="53" t="s">
        <v>379</v>
      </c>
      <c r="Y188" s="67">
        <v>45922</v>
      </c>
    </row>
    <row r="189" spans="1:25">
      <c r="A189" s="53">
        <v>1180</v>
      </c>
      <c r="B189" s="71" t="s">
        <v>449</v>
      </c>
      <c r="C189" s="45" t="s">
        <v>702</v>
      </c>
      <c r="D189" s="69" t="s">
        <v>709</v>
      </c>
      <c r="E189" s="45">
        <v>1</v>
      </c>
      <c r="F189" s="46" t="s">
        <v>704</v>
      </c>
      <c r="G189" s="47" t="s">
        <v>46</v>
      </c>
      <c r="I189" s="45" t="s">
        <v>205</v>
      </c>
      <c r="J189" s="45" t="s">
        <v>248</v>
      </c>
      <c r="M189" s="47" t="s">
        <v>705</v>
      </c>
      <c r="O189" s="45" t="s">
        <v>412</v>
      </c>
      <c r="P189" s="45" t="s">
        <v>378</v>
      </c>
      <c r="Q189" s="75">
        <f>VLOOKUP(B189,LOV!$B:$C,2,FALSE)</f>
        <v>100</v>
      </c>
      <c r="R189" s="75" t="str">
        <f>VLOOKUP(B189,LOV!$B:$D,3,FALSE)</f>
        <v>CC</v>
      </c>
      <c r="S189" s="75" t="str">
        <f>VLOOKUP($X189,LOV!$F:$L,2,FALSE)</f>
        <v>WK3</v>
      </c>
      <c r="T189" s="88">
        <f>VLOOKUP($X189,LOV!$F:$L,7,FALSE)</f>
        <v>45929</v>
      </c>
      <c r="U189" s="53">
        <v>7</v>
      </c>
      <c r="V189" s="53">
        <v>1</v>
      </c>
      <c r="W189" s="65">
        <f t="shared" si="2"/>
        <v>0.5</v>
      </c>
      <c r="X189" s="53" t="s">
        <v>379</v>
      </c>
      <c r="Y189" s="67">
        <v>45922</v>
      </c>
    </row>
    <row r="190" spans="1:25">
      <c r="A190" s="53">
        <v>1181</v>
      </c>
      <c r="B190" s="71" t="s">
        <v>449</v>
      </c>
      <c r="C190" s="45" t="s">
        <v>702</v>
      </c>
      <c r="D190" s="69" t="s">
        <v>710</v>
      </c>
      <c r="E190" s="45">
        <v>1</v>
      </c>
      <c r="F190" s="46" t="s">
        <v>704</v>
      </c>
      <c r="G190" s="47" t="s">
        <v>711</v>
      </c>
      <c r="I190" s="45" t="s">
        <v>205</v>
      </c>
      <c r="J190" s="45" t="s">
        <v>248</v>
      </c>
      <c r="M190" s="47" t="s">
        <v>705</v>
      </c>
      <c r="O190" s="45" t="s">
        <v>412</v>
      </c>
      <c r="P190" s="45" t="s">
        <v>378</v>
      </c>
      <c r="Q190" s="75">
        <f>VLOOKUP(B190,LOV!$B:$C,2,FALSE)</f>
        <v>100</v>
      </c>
      <c r="R190" s="75" t="str">
        <f>VLOOKUP(B190,LOV!$B:$D,3,FALSE)</f>
        <v>CC</v>
      </c>
      <c r="S190" s="75" t="str">
        <f>VLOOKUP($X190,LOV!$F:$L,2,FALSE)</f>
        <v>WK3</v>
      </c>
      <c r="T190" s="88">
        <f>VLOOKUP($X190,LOV!$F:$L,7,FALSE)</f>
        <v>45929</v>
      </c>
      <c r="U190" s="53">
        <v>7</v>
      </c>
      <c r="V190" s="53">
        <v>1</v>
      </c>
      <c r="W190" s="65">
        <f t="shared" si="2"/>
        <v>0.5</v>
      </c>
      <c r="X190" s="53" t="s">
        <v>379</v>
      </c>
      <c r="Y190" s="67">
        <v>45922</v>
      </c>
    </row>
    <row r="191" spans="1:25">
      <c r="A191" s="53">
        <v>1182</v>
      </c>
      <c r="B191" s="71" t="s">
        <v>449</v>
      </c>
      <c r="C191" s="45" t="s">
        <v>702</v>
      </c>
      <c r="D191" s="69" t="s">
        <v>712</v>
      </c>
      <c r="E191" s="45">
        <v>1</v>
      </c>
      <c r="F191" s="46" t="s">
        <v>704</v>
      </c>
      <c r="G191" s="47" t="s">
        <v>46</v>
      </c>
      <c r="I191" s="45" t="s">
        <v>205</v>
      </c>
      <c r="J191" s="45" t="s">
        <v>248</v>
      </c>
      <c r="M191" s="47" t="s">
        <v>705</v>
      </c>
      <c r="O191" s="45" t="s">
        <v>412</v>
      </c>
      <c r="P191" s="45" t="s">
        <v>378</v>
      </c>
      <c r="Q191" s="75">
        <f>VLOOKUP(B191,LOV!$B:$C,2,FALSE)</f>
        <v>100</v>
      </c>
      <c r="R191" s="75" t="str">
        <f>VLOOKUP(B191,LOV!$B:$D,3,FALSE)</f>
        <v>CC</v>
      </c>
      <c r="S191" s="75" t="str">
        <f>VLOOKUP($X191,LOV!$F:$L,2,FALSE)</f>
        <v>WK3</v>
      </c>
      <c r="T191" s="88">
        <f>VLOOKUP($X191,LOV!$F:$L,7,FALSE)</f>
        <v>45929</v>
      </c>
      <c r="U191" s="53">
        <v>7</v>
      </c>
      <c r="V191" s="53">
        <v>1</v>
      </c>
      <c r="W191" s="65">
        <f t="shared" si="2"/>
        <v>0.5</v>
      </c>
      <c r="X191" s="53" t="s">
        <v>379</v>
      </c>
      <c r="Y191" s="67">
        <v>45922</v>
      </c>
    </row>
    <row r="192" spans="1:25">
      <c r="A192" s="53">
        <v>1183</v>
      </c>
      <c r="B192" s="71" t="s">
        <v>449</v>
      </c>
      <c r="C192" s="45" t="s">
        <v>702</v>
      </c>
      <c r="D192" s="69" t="s">
        <v>713</v>
      </c>
      <c r="E192" s="45">
        <v>1</v>
      </c>
      <c r="F192" s="46" t="s">
        <v>704</v>
      </c>
      <c r="G192" s="47" t="s">
        <v>711</v>
      </c>
      <c r="I192" s="45" t="s">
        <v>205</v>
      </c>
      <c r="J192" s="45" t="s">
        <v>248</v>
      </c>
      <c r="M192" s="47" t="s">
        <v>705</v>
      </c>
      <c r="O192" s="45" t="s">
        <v>412</v>
      </c>
      <c r="P192" s="45" t="s">
        <v>378</v>
      </c>
      <c r="Q192" s="75">
        <f>VLOOKUP(B192,LOV!$B:$C,2,FALSE)</f>
        <v>100</v>
      </c>
      <c r="R192" s="75" t="str">
        <f>VLOOKUP(B192,LOV!$B:$D,3,FALSE)</f>
        <v>CC</v>
      </c>
      <c r="S192" s="75" t="str">
        <f>VLOOKUP($X192,LOV!$F:$L,2,FALSE)</f>
        <v>WK3</v>
      </c>
      <c r="T192" s="88">
        <f>VLOOKUP($X192,LOV!$F:$L,7,FALSE)</f>
        <v>45929</v>
      </c>
      <c r="U192" s="53">
        <v>7</v>
      </c>
      <c r="V192" s="53">
        <v>1</v>
      </c>
      <c r="W192" s="65">
        <f t="shared" si="2"/>
        <v>0.5</v>
      </c>
      <c r="X192" s="53" t="s">
        <v>379</v>
      </c>
      <c r="Y192" s="67">
        <v>45922</v>
      </c>
    </row>
    <row r="193" spans="1:26">
      <c r="A193" s="53">
        <v>1184</v>
      </c>
      <c r="B193" s="71" t="s">
        <v>449</v>
      </c>
      <c r="C193" s="45" t="s">
        <v>702</v>
      </c>
      <c r="D193" s="69" t="s">
        <v>714</v>
      </c>
      <c r="E193" s="45">
        <v>1</v>
      </c>
      <c r="F193" s="46" t="s">
        <v>704</v>
      </c>
      <c r="G193" s="47" t="s">
        <v>46</v>
      </c>
      <c r="I193" s="45" t="s">
        <v>205</v>
      </c>
      <c r="J193" s="45" t="s">
        <v>248</v>
      </c>
      <c r="M193" s="47" t="s">
        <v>705</v>
      </c>
      <c r="O193" s="45" t="s">
        <v>412</v>
      </c>
      <c r="P193" s="45" t="s">
        <v>378</v>
      </c>
      <c r="Q193" s="75">
        <f>VLOOKUP(B193,LOV!$B:$C,2,FALSE)</f>
        <v>100</v>
      </c>
      <c r="R193" s="75" t="str">
        <f>VLOOKUP(B193,LOV!$B:$D,3,FALSE)</f>
        <v>CC</v>
      </c>
      <c r="S193" s="75" t="str">
        <f>VLOOKUP($X193,LOV!$F:$L,2,FALSE)</f>
        <v>WK3</v>
      </c>
      <c r="T193" s="88">
        <f>VLOOKUP($X193,LOV!$F:$L,7,FALSE)</f>
        <v>45929</v>
      </c>
      <c r="U193" s="53">
        <v>7</v>
      </c>
      <c r="V193" s="53">
        <v>1</v>
      </c>
      <c r="W193" s="65">
        <f t="shared" si="2"/>
        <v>0.5</v>
      </c>
      <c r="X193" s="53" t="s">
        <v>379</v>
      </c>
      <c r="Y193" s="67">
        <v>45922</v>
      </c>
    </row>
    <row r="194" spans="1:26">
      <c r="A194" s="53">
        <v>1185</v>
      </c>
      <c r="B194" s="71" t="s">
        <v>449</v>
      </c>
      <c r="C194" s="45" t="s">
        <v>702</v>
      </c>
      <c r="D194" s="69" t="s">
        <v>715</v>
      </c>
      <c r="E194" s="45">
        <v>1</v>
      </c>
      <c r="F194" s="46" t="s">
        <v>704</v>
      </c>
      <c r="G194" s="47" t="s">
        <v>46</v>
      </c>
      <c r="I194" s="45" t="s">
        <v>205</v>
      </c>
      <c r="J194" s="45" t="s">
        <v>248</v>
      </c>
      <c r="M194" s="47" t="s">
        <v>705</v>
      </c>
      <c r="O194" s="45" t="s">
        <v>412</v>
      </c>
      <c r="P194" s="45" t="s">
        <v>378</v>
      </c>
      <c r="Q194" s="75">
        <f>VLOOKUP(B194,LOV!$B:$C,2,FALSE)</f>
        <v>100</v>
      </c>
      <c r="R194" s="75" t="str">
        <f>VLOOKUP(B194,LOV!$B:$D,3,FALSE)</f>
        <v>CC</v>
      </c>
      <c r="S194" s="75" t="str">
        <f>VLOOKUP($X194,LOV!$F:$L,2,FALSE)</f>
        <v>WK3</v>
      </c>
      <c r="T194" s="88">
        <f>VLOOKUP($X194,LOV!$F:$L,7,FALSE)</f>
        <v>45929</v>
      </c>
      <c r="U194" s="53">
        <v>7</v>
      </c>
      <c r="V194" s="53">
        <v>1</v>
      </c>
      <c r="W194" s="65">
        <f t="shared" si="2"/>
        <v>0.5</v>
      </c>
      <c r="X194" s="53" t="s">
        <v>379</v>
      </c>
      <c r="Y194" s="67">
        <v>45922</v>
      </c>
    </row>
    <row r="195" spans="1:26">
      <c r="A195" s="53">
        <v>1186</v>
      </c>
      <c r="B195" s="71" t="s">
        <v>449</v>
      </c>
      <c r="C195" s="45" t="s">
        <v>702</v>
      </c>
      <c r="D195" s="69" t="s">
        <v>716</v>
      </c>
      <c r="E195" s="45">
        <v>1</v>
      </c>
      <c r="F195" s="46" t="s">
        <v>704</v>
      </c>
      <c r="G195" s="47" t="s">
        <v>46</v>
      </c>
      <c r="I195" s="45" t="s">
        <v>205</v>
      </c>
      <c r="J195" s="45" t="s">
        <v>248</v>
      </c>
      <c r="M195" s="47" t="s">
        <v>705</v>
      </c>
      <c r="O195" s="45" t="s">
        <v>412</v>
      </c>
      <c r="P195" s="45" t="s">
        <v>378</v>
      </c>
      <c r="Q195" s="75">
        <f>VLOOKUP(B195,LOV!$B:$C,2,FALSE)</f>
        <v>100</v>
      </c>
      <c r="R195" s="75" t="str">
        <f>VLOOKUP(B195,LOV!$B:$D,3,FALSE)</f>
        <v>CC</v>
      </c>
      <c r="S195" s="75" t="str">
        <f>VLOOKUP($X195,LOV!$F:$L,2,FALSE)</f>
        <v>WK3</v>
      </c>
      <c r="T195" s="88">
        <f>VLOOKUP($X195,LOV!$F:$L,7,FALSE)</f>
        <v>45929</v>
      </c>
      <c r="U195" s="53">
        <v>7</v>
      </c>
      <c r="V195" s="53">
        <v>1</v>
      </c>
      <c r="W195" s="65">
        <f t="shared" si="2"/>
        <v>0.5</v>
      </c>
      <c r="X195" s="53" t="s">
        <v>379</v>
      </c>
      <c r="Y195" s="67">
        <v>45922</v>
      </c>
    </row>
    <row r="196" spans="1:26">
      <c r="A196" s="53">
        <v>1187</v>
      </c>
      <c r="B196" s="71" t="s">
        <v>449</v>
      </c>
      <c r="C196" s="45" t="s">
        <v>702</v>
      </c>
      <c r="D196" s="69" t="s">
        <v>717</v>
      </c>
      <c r="E196" s="45">
        <v>1</v>
      </c>
      <c r="F196" s="46" t="s">
        <v>704</v>
      </c>
      <c r="G196" s="47" t="s">
        <v>242</v>
      </c>
      <c r="I196" s="45" t="s">
        <v>205</v>
      </c>
      <c r="J196" s="45" t="s">
        <v>248</v>
      </c>
      <c r="L196" s="47" t="s">
        <v>718</v>
      </c>
      <c r="M196" s="47" t="s">
        <v>705</v>
      </c>
      <c r="O196" s="45" t="s">
        <v>412</v>
      </c>
      <c r="P196" s="45" t="s">
        <v>378</v>
      </c>
      <c r="Q196" s="75">
        <f>VLOOKUP(B196,LOV!$B:$C,2,FALSE)</f>
        <v>100</v>
      </c>
      <c r="R196" s="75" t="str">
        <f>VLOOKUP(B196,LOV!$B:$D,3,FALSE)</f>
        <v>CC</v>
      </c>
      <c r="S196" s="75" t="str">
        <f>VLOOKUP($X196,LOV!$F:$L,2,FALSE)</f>
        <v>WK3</v>
      </c>
      <c r="T196" s="88">
        <f>VLOOKUP($X196,LOV!$F:$L,7,FALSE)</f>
        <v>45929</v>
      </c>
      <c r="U196" s="53">
        <v>7</v>
      </c>
      <c r="V196" s="53">
        <v>1</v>
      </c>
      <c r="W196" s="65">
        <f t="shared" ref="W196:W259" si="3">IF(ISNUMBER(V196),HLOOKUP(V196,$V$1:$AA$2,2,FALSE)*E196,"")</f>
        <v>0.5</v>
      </c>
      <c r="X196" s="53" t="s">
        <v>379</v>
      </c>
      <c r="Y196" s="67">
        <v>45922</v>
      </c>
    </row>
    <row r="197" spans="1:26" ht="22.15">
      <c r="A197" s="53">
        <v>1188</v>
      </c>
      <c r="B197" s="71" t="s">
        <v>449</v>
      </c>
      <c r="C197" s="45" t="s">
        <v>719</v>
      </c>
      <c r="D197" s="69" t="s">
        <v>720</v>
      </c>
      <c r="E197" s="45">
        <v>1</v>
      </c>
      <c r="F197" s="46" t="s">
        <v>704</v>
      </c>
      <c r="G197" s="47" t="s">
        <v>46</v>
      </c>
      <c r="I197" s="45" t="s">
        <v>205</v>
      </c>
      <c r="J197" s="45" t="s">
        <v>248</v>
      </c>
      <c r="M197" s="47" t="s">
        <v>721</v>
      </c>
      <c r="O197" s="45" t="s">
        <v>412</v>
      </c>
      <c r="P197" s="45" t="s">
        <v>378</v>
      </c>
      <c r="Q197" s="75">
        <f>VLOOKUP(B197,LOV!$B:$C,2,FALSE)</f>
        <v>100</v>
      </c>
      <c r="R197" s="75" t="str">
        <f>VLOOKUP(B197,LOV!$B:$D,3,FALSE)</f>
        <v>CC</v>
      </c>
      <c r="S197" s="75" t="str">
        <f>VLOOKUP($X197,LOV!$F:$L,2,FALSE)</f>
        <v>WK3</v>
      </c>
      <c r="T197" s="88">
        <f>VLOOKUP($X197,LOV!$F:$L,7,FALSE)</f>
        <v>45929</v>
      </c>
      <c r="U197" s="53">
        <v>7</v>
      </c>
      <c r="V197" s="53">
        <v>1</v>
      </c>
      <c r="W197" s="65">
        <f t="shared" si="3"/>
        <v>0.5</v>
      </c>
      <c r="X197" s="53" t="s">
        <v>379</v>
      </c>
      <c r="Y197" s="67">
        <v>45922</v>
      </c>
      <c r="Z197" s="67">
        <v>45923</v>
      </c>
    </row>
    <row r="198" spans="1:26" ht="22.15">
      <c r="A198" s="53">
        <v>1189</v>
      </c>
      <c r="B198" s="71" t="s">
        <v>449</v>
      </c>
      <c r="C198" s="45" t="s">
        <v>719</v>
      </c>
      <c r="D198" s="69" t="s">
        <v>722</v>
      </c>
      <c r="E198" s="45">
        <v>1</v>
      </c>
      <c r="F198" s="46" t="s">
        <v>704</v>
      </c>
      <c r="G198" s="47" t="s">
        <v>46</v>
      </c>
      <c r="I198" s="45" t="s">
        <v>205</v>
      </c>
      <c r="J198" s="45" t="s">
        <v>248</v>
      </c>
      <c r="M198" s="47" t="s">
        <v>721</v>
      </c>
      <c r="O198" s="45" t="s">
        <v>412</v>
      </c>
      <c r="P198" s="45" t="s">
        <v>378</v>
      </c>
      <c r="Q198" s="75">
        <f>VLOOKUP(B198,LOV!$B:$C,2,FALSE)</f>
        <v>100</v>
      </c>
      <c r="R198" s="75" t="str">
        <f>VLOOKUP(B198,LOV!$B:$D,3,FALSE)</f>
        <v>CC</v>
      </c>
      <c r="S198" s="75" t="str">
        <f>VLOOKUP($X198,LOV!$F:$L,2,FALSE)</f>
        <v>WK3</v>
      </c>
      <c r="T198" s="88">
        <f>VLOOKUP($X198,LOV!$F:$L,7,FALSE)</f>
        <v>45929</v>
      </c>
      <c r="U198" s="53">
        <v>7</v>
      </c>
      <c r="V198" s="53">
        <v>1</v>
      </c>
      <c r="W198" s="65">
        <f t="shared" si="3"/>
        <v>0.5</v>
      </c>
      <c r="X198" s="53" t="s">
        <v>379</v>
      </c>
      <c r="Y198" s="67">
        <v>45922</v>
      </c>
      <c r="Z198" s="67">
        <v>45923</v>
      </c>
    </row>
    <row r="199" spans="1:26" ht="22.15">
      <c r="A199" s="53">
        <v>1190</v>
      </c>
      <c r="B199" s="71" t="s">
        <v>449</v>
      </c>
      <c r="C199" s="45" t="s">
        <v>719</v>
      </c>
      <c r="D199" s="69" t="s">
        <v>723</v>
      </c>
      <c r="E199" s="45">
        <v>1</v>
      </c>
      <c r="F199" s="46" t="s">
        <v>704</v>
      </c>
      <c r="G199" s="47" t="s">
        <v>46</v>
      </c>
      <c r="I199" s="45" t="s">
        <v>205</v>
      </c>
      <c r="J199" s="45" t="s">
        <v>248</v>
      </c>
      <c r="M199" s="47" t="s">
        <v>721</v>
      </c>
      <c r="O199" s="45" t="s">
        <v>412</v>
      </c>
      <c r="P199" s="45" t="s">
        <v>378</v>
      </c>
      <c r="Q199" s="75">
        <f>VLOOKUP(B199,LOV!$B:$C,2,FALSE)</f>
        <v>100</v>
      </c>
      <c r="R199" s="75" t="str">
        <f>VLOOKUP(B199,LOV!$B:$D,3,FALSE)</f>
        <v>CC</v>
      </c>
      <c r="S199" s="75" t="str">
        <f>VLOOKUP($X199,LOV!$F:$L,2,FALSE)</f>
        <v>WK3</v>
      </c>
      <c r="T199" s="88">
        <f>VLOOKUP($X199,LOV!$F:$L,7,FALSE)</f>
        <v>45929</v>
      </c>
      <c r="U199" s="53">
        <v>7</v>
      </c>
      <c r="V199" s="53">
        <v>1</v>
      </c>
      <c r="W199" s="65">
        <f t="shared" si="3"/>
        <v>0.5</v>
      </c>
      <c r="X199" s="53" t="s">
        <v>379</v>
      </c>
      <c r="Y199" s="67">
        <v>45922</v>
      </c>
      <c r="Z199" s="67">
        <v>45923</v>
      </c>
    </row>
    <row r="200" spans="1:26" ht="22.15">
      <c r="A200" s="53">
        <v>1191</v>
      </c>
      <c r="B200" s="71" t="s">
        <v>449</v>
      </c>
      <c r="C200" s="45" t="s">
        <v>719</v>
      </c>
      <c r="D200" s="69" t="s">
        <v>724</v>
      </c>
      <c r="E200" s="45">
        <v>1</v>
      </c>
      <c r="F200" s="46" t="s">
        <v>704</v>
      </c>
      <c r="G200" s="47" t="s">
        <v>46</v>
      </c>
      <c r="I200" s="45" t="s">
        <v>205</v>
      </c>
      <c r="J200" s="45" t="s">
        <v>248</v>
      </c>
      <c r="M200" s="47" t="s">
        <v>721</v>
      </c>
      <c r="O200" s="45" t="s">
        <v>412</v>
      </c>
      <c r="P200" s="45" t="s">
        <v>378</v>
      </c>
      <c r="Q200" s="75">
        <f>VLOOKUP(B200,LOV!$B:$C,2,FALSE)</f>
        <v>100</v>
      </c>
      <c r="R200" s="75" t="str">
        <f>VLOOKUP(B200,LOV!$B:$D,3,FALSE)</f>
        <v>CC</v>
      </c>
      <c r="S200" s="75" t="str">
        <f>VLOOKUP($X200,LOV!$F:$L,2,FALSE)</f>
        <v>WK3</v>
      </c>
      <c r="T200" s="88">
        <f>VLOOKUP($X200,LOV!$F:$L,7,FALSE)</f>
        <v>45929</v>
      </c>
      <c r="U200" s="53">
        <v>7</v>
      </c>
      <c r="V200" s="53">
        <v>1</v>
      </c>
      <c r="W200" s="65">
        <f t="shared" si="3"/>
        <v>0.5</v>
      </c>
      <c r="X200" s="53" t="s">
        <v>379</v>
      </c>
      <c r="Y200" s="67">
        <v>45922</v>
      </c>
      <c r="Z200" s="67">
        <v>45923</v>
      </c>
    </row>
    <row r="201" spans="1:26">
      <c r="A201" s="53">
        <v>1192</v>
      </c>
      <c r="B201" s="71" t="s">
        <v>449</v>
      </c>
      <c r="C201" s="45" t="s">
        <v>719</v>
      </c>
      <c r="D201" s="69" t="s">
        <v>725</v>
      </c>
      <c r="E201" s="45">
        <v>1</v>
      </c>
      <c r="F201" s="46" t="s">
        <v>704</v>
      </c>
      <c r="G201" s="47" t="s">
        <v>203</v>
      </c>
      <c r="I201" s="45" t="s">
        <v>205</v>
      </c>
      <c r="J201" s="45" t="s">
        <v>248</v>
      </c>
      <c r="M201" s="47" t="s">
        <v>721</v>
      </c>
      <c r="O201" s="45" t="s">
        <v>412</v>
      </c>
      <c r="P201" s="45" t="s">
        <v>378</v>
      </c>
      <c r="Q201" s="75">
        <f>VLOOKUP(B201,LOV!$B:$C,2,FALSE)</f>
        <v>100</v>
      </c>
      <c r="R201" s="75" t="str">
        <f>VLOOKUP(B201,LOV!$B:$D,3,FALSE)</f>
        <v>CC</v>
      </c>
      <c r="S201" s="75" t="str">
        <f>VLOOKUP($X201,LOV!$F:$L,2,FALSE)</f>
        <v>WK3</v>
      </c>
      <c r="T201" s="88">
        <f>VLOOKUP($X201,LOV!$F:$L,7,FALSE)</f>
        <v>45929</v>
      </c>
      <c r="U201" s="53">
        <v>7</v>
      </c>
      <c r="V201" s="53">
        <v>1</v>
      </c>
      <c r="W201" s="65">
        <f t="shared" si="3"/>
        <v>0.5</v>
      </c>
      <c r="X201" s="53" t="s">
        <v>379</v>
      </c>
      <c r="Y201" s="67">
        <v>45922</v>
      </c>
      <c r="Z201" s="67">
        <v>45923</v>
      </c>
    </row>
    <row r="202" spans="1:26" ht="43.15" customHeight="1">
      <c r="A202" s="53">
        <v>1193</v>
      </c>
      <c r="B202" s="71" t="s">
        <v>726</v>
      </c>
      <c r="C202" s="45" t="s">
        <v>727</v>
      </c>
      <c r="D202" s="69" t="s">
        <v>728</v>
      </c>
      <c r="E202" s="45">
        <v>1</v>
      </c>
      <c r="F202" s="46">
        <v>80</v>
      </c>
      <c r="G202" s="47" t="s">
        <v>729</v>
      </c>
      <c r="I202" s="45" t="s">
        <v>218</v>
      </c>
      <c r="L202" s="78" t="s">
        <v>730</v>
      </c>
      <c r="M202" s="108" t="s">
        <v>643</v>
      </c>
      <c r="N202" s="108"/>
      <c r="O202" s="79" t="s">
        <v>412</v>
      </c>
      <c r="P202" s="45" t="s">
        <v>378</v>
      </c>
      <c r="Q202" s="75">
        <f>VLOOKUP(B202,LOV!$B:$C,2,FALSE)</f>
        <v>110</v>
      </c>
      <c r="R202" s="75" t="str">
        <f>VLOOKUP(B202,LOV!$B:$D,3,FALSE)</f>
        <v>DD</v>
      </c>
      <c r="S202" s="75" t="str">
        <f>VLOOKUP($X202,LOV!$F:$L,2,FALSE)</f>
        <v>WK3</v>
      </c>
      <c r="T202" s="88">
        <f>VLOOKUP($X202,LOV!$F:$L,7,FALSE)</f>
        <v>45929</v>
      </c>
      <c r="V202" s="53">
        <v>1</v>
      </c>
      <c r="W202" s="65">
        <f t="shared" si="3"/>
        <v>0.5</v>
      </c>
      <c r="X202" s="53" t="s">
        <v>379</v>
      </c>
    </row>
    <row r="203" spans="1:26" ht="43.15" customHeight="1">
      <c r="A203" s="77">
        <v>1310</v>
      </c>
      <c r="B203" s="79" t="s">
        <v>726</v>
      </c>
      <c r="C203" s="79" t="s">
        <v>727</v>
      </c>
      <c r="D203" s="80" t="s">
        <v>731</v>
      </c>
      <c r="E203" s="45">
        <v>1</v>
      </c>
      <c r="F203" s="46">
        <v>0</v>
      </c>
      <c r="G203" s="47" t="s">
        <v>732</v>
      </c>
      <c r="I203" s="45" t="s">
        <v>218</v>
      </c>
      <c r="L203" s="47" t="s">
        <v>733</v>
      </c>
      <c r="M203" s="58"/>
      <c r="N203" s="58"/>
      <c r="O203" s="45" t="s">
        <v>377</v>
      </c>
      <c r="P203" s="45" t="s">
        <v>378</v>
      </c>
      <c r="Q203" s="75">
        <f>VLOOKUP(B203,LOV!$B:$C,2,FALSE)</f>
        <v>110</v>
      </c>
      <c r="R203" s="75" t="str">
        <f>VLOOKUP(B203,LOV!$B:$D,3,FALSE)</f>
        <v>DD</v>
      </c>
      <c r="S203" s="75" t="str">
        <f>VLOOKUP($X203,LOV!$F:$L,2,FALSE)</f>
        <v>WK3</v>
      </c>
      <c r="T203" s="88">
        <f>VLOOKUP($X203,LOV!$F:$L,7,FALSE)</f>
        <v>45929</v>
      </c>
      <c r="V203" s="53">
        <v>1</v>
      </c>
      <c r="W203" s="65">
        <f t="shared" si="3"/>
        <v>0.5</v>
      </c>
      <c r="X203" s="53" t="s">
        <v>379</v>
      </c>
    </row>
    <row r="204" spans="1:26" ht="28.9">
      <c r="A204" s="53">
        <v>1194</v>
      </c>
      <c r="B204" s="71" t="s">
        <v>726</v>
      </c>
      <c r="C204" s="45" t="s">
        <v>727</v>
      </c>
      <c r="D204" s="69" t="s">
        <v>734</v>
      </c>
      <c r="E204" s="45">
        <v>1</v>
      </c>
      <c r="F204" s="46">
        <v>80</v>
      </c>
      <c r="G204" s="47" t="s">
        <v>203</v>
      </c>
      <c r="I204" s="45" t="s">
        <v>218</v>
      </c>
      <c r="L204" s="47" t="s">
        <v>735</v>
      </c>
      <c r="O204" s="45" t="s">
        <v>377</v>
      </c>
      <c r="P204" s="45" t="s">
        <v>378</v>
      </c>
      <c r="Q204" s="75">
        <f>VLOOKUP(B204,LOV!$B:$C,2,FALSE)</f>
        <v>110</v>
      </c>
      <c r="R204" s="75" t="str">
        <f>VLOOKUP(B204,LOV!$B:$D,3,FALSE)</f>
        <v>DD</v>
      </c>
      <c r="S204" s="75" t="str">
        <f>VLOOKUP($X204,LOV!$F:$L,2,FALSE)</f>
        <v>WK3</v>
      </c>
      <c r="T204" s="88">
        <f>VLOOKUP($X204,LOV!$F:$L,7,FALSE)</f>
        <v>45929</v>
      </c>
      <c r="V204" s="53">
        <v>1</v>
      </c>
      <c r="W204" s="65">
        <f t="shared" si="3"/>
        <v>0.5</v>
      </c>
      <c r="X204" s="53" t="s">
        <v>379</v>
      </c>
    </row>
    <row r="205" spans="1:26" ht="22.15">
      <c r="A205" s="53">
        <v>1195</v>
      </c>
      <c r="B205" s="71" t="s">
        <v>726</v>
      </c>
      <c r="C205" s="45" t="s">
        <v>727</v>
      </c>
      <c r="D205" s="69" t="s">
        <v>736</v>
      </c>
      <c r="E205" s="45">
        <v>1</v>
      </c>
      <c r="F205" s="46">
        <v>80</v>
      </c>
      <c r="G205" s="47" t="s">
        <v>242</v>
      </c>
      <c r="I205" s="45" t="s">
        <v>218</v>
      </c>
      <c r="O205" s="45" t="s">
        <v>377</v>
      </c>
      <c r="P205" s="45" t="s">
        <v>378</v>
      </c>
      <c r="Q205" s="75">
        <f>VLOOKUP(B205,LOV!$B:$C,2,FALSE)</f>
        <v>110</v>
      </c>
      <c r="R205" s="75" t="str">
        <f>VLOOKUP(B205,LOV!$B:$D,3,FALSE)</f>
        <v>DD</v>
      </c>
      <c r="S205" s="75" t="str">
        <f>VLOOKUP($X205,LOV!$F:$L,2,FALSE)</f>
        <v>WK3</v>
      </c>
      <c r="T205" s="88">
        <f>VLOOKUP($X205,LOV!$F:$L,7,FALSE)</f>
        <v>45929</v>
      </c>
      <c r="V205" s="53">
        <v>1</v>
      </c>
      <c r="W205" s="65">
        <f t="shared" si="3"/>
        <v>0.5</v>
      </c>
      <c r="X205" s="53" t="s">
        <v>379</v>
      </c>
    </row>
    <row r="206" spans="1:26">
      <c r="A206" s="53">
        <v>1196</v>
      </c>
      <c r="B206" s="71" t="s">
        <v>726</v>
      </c>
      <c r="C206" s="45" t="s">
        <v>727</v>
      </c>
      <c r="D206" s="69" t="s">
        <v>737</v>
      </c>
      <c r="E206" s="45">
        <v>0</v>
      </c>
      <c r="F206" s="46">
        <v>80</v>
      </c>
      <c r="G206" s="47" t="s">
        <v>203</v>
      </c>
      <c r="I206" s="45" t="s">
        <v>218</v>
      </c>
      <c r="O206" s="45" t="s">
        <v>377</v>
      </c>
      <c r="P206" s="45" t="s">
        <v>378</v>
      </c>
      <c r="Q206" s="75">
        <f>VLOOKUP(B206,LOV!$B:$C,2,FALSE)</f>
        <v>110</v>
      </c>
      <c r="R206" s="75" t="str">
        <f>VLOOKUP(B206,LOV!$B:$D,3,FALSE)</f>
        <v>DD</v>
      </c>
      <c r="S206" s="75" t="str">
        <f>VLOOKUP($X206,LOV!$F:$L,2,FALSE)</f>
        <v>WK3</v>
      </c>
      <c r="T206" s="88">
        <f>VLOOKUP($X206,LOV!$F:$L,7,FALSE)</f>
        <v>45929</v>
      </c>
      <c r="V206" s="53">
        <v>0</v>
      </c>
      <c r="W206" s="65">
        <f t="shared" si="3"/>
        <v>0</v>
      </c>
      <c r="X206" s="53" t="s">
        <v>379</v>
      </c>
    </row>
    <row r="207" spans="1:26">
      <c r="A207" s="53">
        <v>1197</v>
      </c>
      <c r="B207" s="71" t="s">
        <v>726</v>
      </c>
      <c r="C207" s="45" t="s">
        <v>727</v>
      </c>
      <c r="D207" s="69" t="s">
        <v>738</v>
      </c>
      <c r="E207" s="45">
        <v>0</v>
      </c>
      <c r="F207" s="46">
        <v>80</v>
      </c>
      <c r="G207" s="47" t="s">
        <v>203</v>
      </c>
      <c r="I207" s="45" t="s">
        <v>218</v>
      </c>
      <c r="O207" s="45" t="s">
        <v>377</v>
      </c>
      <c r="P207" s="45" t="s">
        <v>378</v>
      </c>
      <c r="Q207" s="75">
        <f>VLOOKUP(B207,LOV!$B:$C,2,FALSE)</f>
        <v>110</v>
      </c>
      <c r="R207" s="75" t="str">
        <f>VLOOKUP(B207,LOV!$B:$D,3,FALSE)</f>
        <v>DD</v>
      </c>
      <c r="S207" s="75" t="str">
        <f>VLOOKUP($X207,LOV!$F:$L,2,FALSE)</f>
        <v>WK3</v>
      </c>
      <c r="T207" s="88">
        <f>VLOOKUP($X207,LOV!$F:$L,7,FALSE)</f>
        <v>45929</v>
      </c>
      <c r="V207" s="53">
        <v>0</v>
      </c>
      <c r="W207" s="65">
        <f t="shared" si="3"/>
        <v>0</v>
      </c>
      <c r="X207" s="53" t="s">
        <v>379</v>
      </c>
    </row>
    <row r="208" spans="1:26">
      <c r="A208" s="53">
        <v>1198</v>
      </c>
      <c r="B208" s="71" t="s">
        <v>726</v>
      </c>
      <c r="C208" s="45" t="s">
        <v>727</v>
      </c>
      <c r="D208" s="69" t="s">
        <v>739</v>
      </c>
      <c r="E208" s="45">
        <v>0</v>
      </c>
      <c r="F208" s="46">
        <v>80</v>
      </c>
      <c r="G208" s="47" t="s">
        <v>203</v>
      </c>
      <c r="I208" s="45" t="s">
        <v>218</v>
      </c>
      <c r="O208" s="45" t="s">
        <v>377</v>
      </c>
      <c r="P208" s="45" t="s">
        <v>378</v>
      </c>
      <c r="Q208" s="75">
        <f>VLOOKUP(B208,LOV!$B:$C,2,FALSE)</f>
        <v>110</v>
      </c>
      <c r="R208" s="75" t="str">
        <f>VLOOKUP(B208,LOV!$B:$D,3,FALSE)</f>
        <v>DD</v>
      </c>
      <c r="S208" s="75" t="str">
        <f>VLOOKUP($X208,LOV!$F:$L,2,FALSE)</f>
        <v>WK3</v>
      </c>
      <c r="T208" s="88">
        <f>VLOOKUP($X208,LOV!$F:$L,7,FALSE)</f>
        <v>45929</v>
      </c>
      <c r="V208" s="53">
        <v>0</v>
      </c>
      <c r="W208" s="65">
        <f t="shared" si="3"/>
        <v>0</v>
      </c>
      <c r="X208" s="53" t="s">
        <v>379</v>
      </c>
    </row>
    <row r="209" spans="1:25">
      <c r="A209" s="53">
        <v>1199</v>
      </c>
      <c r="B209" s="71" t="s">
        <v>726</v>
      </c>
      <c r="C209" s="45" t="s">
        <v>727</v>
      </c>
      <c r="D209" s="69" t="s">
        <v>740</v>
      </c>
      <c r="E209" s="45">
        <v>0</v>
      </c>
      <c r="F209" s="46">
        <v>80</v>
      </c>
      <c r="G209" s="47" t="s">
        <v>203</v>
      </c>
      <c r="I209" s="45" t="s">
        <v>218</v>
      </c>
      <c r="O209" s="45" t="s">
        <v>377</v>
      </c>
      <c r="P209" s="45" t="s">
        <v>378</v>
      </c>
      <c r="Q209" s="75">
        <f>VLOOKUP(B209,LOV!$B:$C,2,FALSE)</f>
        <v>110</v>
      </c>
      <c r="R209" s="75" t="str">
        <f>VLOOKUP(B209,LOV!$B:$D,3,FALSE)</f>
        <v>DD</v>
      </c>
      <c r="S209" s="75" t="str">
        <f>VLOOKUP($X209,LOV!$F:$L,2,FALSE)</f>
        <v>WK3</v>
      </c>
      <c r="T209" s="88">
        <f>VLOOKUP($X209,LOV!$F:$L,7,FALSE)</f>
        <v>45929</v>
      </c>
      <c r="V209" s="53">
        <v>0</v>
      </c>
      <c r="W209" s="65">
        <f t="shared" si="3"/>
        <v>0</v>
      </c>
      <c r="X209" s="53" t="s">
        <v>379</v>
      </c>
    </row>
    <row r="210" spans="1:25" ht="28.9">
      <c r="A210" s="53">
        <v>1200</v>
      </c>
      <c r="B210" s="71" t="s">
        <v>726</v>
      </c>
      <c r="C210" s="45" t="s">
        <v>727</v>
      </c>
      <c r="D210" s="69" t="s">
        <v>741</v>
      </c>
      <c r="E210" s="45">
        <v>1</v>
      </c>
      <c r="F210" s="46">
        <v>80</v>
      </c>
      <c r="G210" s="47" t="s">
        <v>742</v>
      </c>
      <c r="I210" s="45" t="s">
        <v>218</v>
      </c>
      <c r="O210" s="45" t="s">
        <v>377</v>
      </c>
      <c r="P210" s="45" t="s">
        <v>378</v>
      </c>
      <c r="Q210" s="75">
        <f>VLOOKUP(B210,LOV!$B:$C,2,FALSE)</f>
        <v>110</v>
      </c>
      <c r="R210" s="75" t="str">
        <f>VLOOKUP(B210,LOV!$B:$D,3,FALSE)</f>
        <v>DD</v>
      </c>
      <c r="S210" s="75" t="str">
        <f>VLOOKUP($X210,LOV!$F:$L,2,FALSE)</f>
        <v>WK3</v>
      </c>
      <c r="T210" s="88">
        <f>VLOOKUP($X210,LOV!$F:$L,7,FALSE)</f>
        <v>45929</v>
      </c>
      <c r="V210" s="53">
        <v>1</v>
      </c>
      <c r="W210" s="65">
        <f t="shared" si="3"/>
        <v>0.5</v>
      </c>
      <c r="X210" s="53" t="s">
        <v>379</v>
      </c>
    </row>
    <row r="211" spans="1:25" ht="22.15">
      <c r="A211" s="53">
        <v>1201</v>
      </c>
      <c r="B211" s="71" t="s">
        <v>726</v>
      </c>
      <c r="C211" s="45" t="s">
        <v>743</v>
      </c>
      <c r="D211" s="69" t="s">
        <v>744</v>
      </c>
      <c r="E211" s="45">
        <v>1</v>
      </c>
      <c r="F211" s="46" t="s">
        <v>745</v>
      </c>
      <c r="G211" s="47" t="s">
        <v>242</v>
      </c>
      <c r="I211" s="45" t="s">
        <v>218</v>
      </c>
      <c r="O211" s="45" t="s">
        <v>377</v>
      </c>
      <c r="P211" s="45" t="s">
        <v>378</v>
      </c>
      <c r="Q211" s="75">
        <f>VLOOKUP(B211,LOV!$B:$C,2,FALSE)</f>
        <v>110</v>
      </c>
      <c r="R211" s="75" t="str">
        <f>VLOOKUP(B211,LOV!$B:$D,3,FALSE)</f>
        <v>DD</v>
      </c>
      <c r="S211" s="75" t="str">
        <f>VLOOKUP($X211,LOV!$F:$L,2,FALSE)</f>
        <v>WK3</v>
      </c>
      <c r="T211" s="88">
        <f>VLOOKUP($X211,LOV!$F:$L,7,FALSE)</f>
        <v>45929</v>
      </c>
      <c r="V211" s="53">
        <v>1</v>
      </c>
      <c r="W211" s="65">
        <f t="shared" si="3"/>
        <v>0.5</v>
      </c>
      <c r="X211" s="53" t="s">
        <v>379</v>
      </c>
    </row>
    <row r="212" spans="1:25">
      <c r="A212" s="53">
        <v>1202</v>
      </c>
      <c r="B212" s="71" t="s">
        <v>726</v>
      </c>
      <c r="C212" s="45" t="s">
        <v>398</v>
      </c>
      <c r="D212" s="69" t="s">
        <v>746</v>
      </c>
      <c r="E212" s="45">
        <v>1</v>
      </c>
      <c r="F212" s="46">
        <v>81</v>
      </c>
      <c r="G212" s="47" t="s">
        <v>46</v>
      </c>
      <c r="I212" s="45" t="s">
        <v>218</v>
      </c>
      <c r="O212" s="45" t="s">
        <v>377</v>
      </c>
      <c r="P212" s="45" t="s">
        <v>378</v>
      </c>
      <c r="Q212" s="75">
        <f>VLOOKUP(B212,LOV!$B:$C,2,FALSE)</f>
        <v>110</v>
      </c>
      <c r="R212" s="75" t="str">
        <f>VLOOKUP(B212,LOV!$B:$D,3,FALSE)</f>
        <v>DD</v>
      </c>
      <c r="S212" s="75" t="str">
        <f>VLOOKUP($X212,LOV!$F:$L,2,FALSE)</f>
        <v>WK3</v>
      </c>
      <c r="T212" s="88">
        <f>VLOOKUP($X212,LOV!$F:$L,7,FALSE)</f>
        <v>45929</v>
      </c>
      <c r="V212" s="53">
        <v>1</v>
      </c>
      <c r="W212" s="65">
        <f t="shared" si="3"/>
        <v>0.5</v>
      </c>
      <c r="X212" s="53" t="s">
        <v>379</v>
      </c>
    </row>
    <row r="213" spans="1:25" ht="28.9">
      <c r="A213" s="53">
        <v>1203</v>
      </c>
      <c r="B213" s="71" t="s">
        <v>726</v>
      </c>
      <c r="C213" s="45" t="s">
        <v>743</v>
      </c>
      <c r="D213" s="69" t="s">
        <v>747</v>
      </c>
      <c r="E213" s="45">
        <v>1</v>
      </c>
      <c r="F213" s="46">
        <v>82</v>
      </c>
      <c r="G213" s="47" t="s">
        <v>748</v>
      </c>
      <c r="I213" s="45" t="s">
        <v>218</v>
      </c>
      <c r="L213" s="47" t="s">
        <v>749</v>
      </c>
      <c r="O213" s="45" t="s">
        <v>377</v>
      </c>
      <c r="P213" s="45" t="s">
        <v>378</v>
      </c>
      <c r="Q213" s="75">
        <f>VLOOKUP(B213,LOV!$B:$C,2,FALSE)</f>
        <v>110</v>
      </c>
      <c r="R213" s="75" t="str">
        <f>VLOOKUP(B213,LOV!$B:$D,3,FALSE)</f>
        <v>DD</v>
      </c>
      <c r="S213" s="75" t="str">
        <f>VLOOKUP($X213,LOV!$F:$L,2,FALSE)</f>
        <v>WK3</v>
      </c>
      <c r="T213" s="88">
        <f>VLOOKUP($X213,LOV!$F:$L,7,FALSE)</f>
        <v>45929</v>
      </c>
      <c r="V213" s="53">
        <v>2</v>
      </c>
      <c r="W213" s="65">
        <f t="shared" si="3"/>
        <v>1</v>
      </c>
      <c r="X213" s="53" t="s">
        <v>379</v>
      </c>
    </row>
    <row r="214" spans="1:25" ht="28.9">
      <c r="A214" s="53">
        <v>1204</v>
      </c>
      <c r="B214" s="71" t="s">
        <v>449</v>
      </c>
      <c r="C214" s="45" t="s">
        <v>750</v>
      </c>
      <c r="D214" s="69" t="s">
        <v>751</v>
      </c>
      <c r="E214" s="45">
        <v>1</v>
      </c>
      <c r="F214" s="46">
        <v>84</v>
      </c>
      <c r="G214" s="47" t="s">
        <v>752</v>
      </c>
      <c r="I214" s="45" t="s">
        <v>384</v>
      </c>
      <c r="L214" s="100" t="s">
        <v>753</v>
      </c>
      <c r="O214" s="45" t="s">
        <v>377</v>
      </c>
      <c r="P214" s="45" t="s">
        <v>406</v>
      </c>
      <c r="Q214" s="75">
        <f>VLOOKUP(B214,LOV!$B:$C,2,FALSE)</f>
        <v>100</v>
      </c>
      <c r="R214" s="75" t="str">
        <f>VLOOKUP(B214,LOV!$B:$D,3,FALSE)</f>
        <v>CC</v>
      </c>
      <c r="S214" s="75" t="str">
        <f>VLOOKUP($X214,LOV!$F:$L,2,FALSE)</f>
        <v>WK5</v>
      </c>
      <c r="T214" s="88">
        <f>VLOOKUP($X214,LOV!$F:$L,7,FALSE)</f>
        <v>45943</v>
      </c>
      <c r="V214" s="53">
        <v>1</v>
      </c>
      <c r="W214" s="65">
        <f t="shared" si="3"/>
        <v>0.5</v>
      </c>
      <c r="X214" s="53" t="s">
        <v>407</v>
      </c>
    </row>
    <row r="215" spans="1:25">
      <c r="A215" s="53">
        <v>1205</v>
      </c>
      <c r="B215" s="122" t="s">
        <v>754</v>
      </c>
      <c r="C215" s="45" t="s">
        <v>398</v>
      </c>
      <c r="D215" s="69" t="s">
        <v>755</v>
      </c>
      <c r="E215" s="45">
        <v>1</v>
      </c>
      <c r="F215" s="46">
        <v>84</v>
      </c>
      <c r="G215" s="47" t="s">
        <v>46</v>
      </c>
      <c r="I215" s="45" t="s">
        <v>384</v>
      </c>
      <c r="L215" s="100" t="s">
        <v>756</v>
      </c>
      <c r="O215" s="45" t="s">
        <v>377</v>
      </c>
      <c r="P215" s="45" t="s">
        <v>406</v>
      </c>
      <c r="Q215" s="75">
        <f>VLOOKUP(B215,LOV!$B:$C,2,FALSE)</f>
        <v>120</v>
      </c>
      <c r="R215" s="75" t="str">
        <f>VLOOKUP(B215,LOV!$B:$D,3,FALSE)</f>
        <v>FF</v>
      </c>
      <c r="S215" s="75" t="str">
        <f>VLOOKUP($X215,LOV!$F:$L,2,FALSE)</f>
        <v>WK5</v>
      </c>
      <c r="T215" s="88">
        <f>VLOOKUP($X215,LOV!$F:$L,7,FALSE)</f>
        <v>45943</v>
      </c>
      <c r="V215" s="53">
        <v>1</v>
      </c>
      <c r="W215" s="65">
        <f t="shared" si="3"/>
        <v>0.5</v>
      </c>
      <c r="X215" s="53" t="s">
        <v>407</v>
      </c>
    </row>
    <row r="216" spans="1:25">
      <c r="A216" s="53">
        <v>1206</v>
      </c>
      <c r="B216" s="71" t="s">
        <v>757</v>
      </c>
      <c r="C216" s="45" t="s">
        <v>758</v>
      </c>
      <c r="D216" s="69" t="s">
        <v>759</v>
      </c>
      <c r="E216" s="45">
        <v>1</v>
      </c>
      <c r="F216" s="46">
        <v>86</v>
      </c>
      <c r="G216" s="47" t="s">
        <v>46</v>
      </c>
      <c r="I216" s="45" t="s">
        <v>385</v>
      </c>
      <c r="O216" s="45" t="s">
        <v>377</v>
      </c>
      <c r="P216" s="45" t="s">
        <v>406</v>
      </c>
      <c r="Q216" s="75">
        <f>VLOOKUP(B216,LOV!$B:$C,2,FALSE)</f>
        <v>130</v>
      </c>
      <c r="R216" s="75" t="str">
        <f>VLOOKUP(B216,LOV!$B:$D,3,FALSE)</f>
        <v>FF</v>
      </c>
      <c r="S216" s="75" t="str">
        <f>VLOOKUP($X216,LOV!$F:$L,2,FALSE)</f>
        <v>WK5</v>
      </c>
      <c r="T216" s="88">
        <f>VLOOKUP($X216,LOV!$F:$L,7,FALSE)</f>
        <v>45943</v>
      </c>
      <c r="V216" s="53">
        <v>1</v>
      </c>
      <c r="W216" s="65">
        <f t="shared" si="3"/>
        <v>0.5</v>
      </c>
      <c r="X216" s="53" t="s">
        <v>407</v>
      </c>
    </row>
    <row r="217" spans="1:25">
      <c r="A217" s="53">
        <v>1207</v>
      </c>
      <c r="B217" s="71" t="s">
        <v>760</v>
      </c>
      <c r="C217" s="45" t="s">
        <v>450</v>
      </c>
      <c r="D217" s="69" t="s">
        <v>761</v>
      </c>
      <c r="E217" s="45">
        <v>1</v>
      </c>
      <c r="F217" s="46">
        <v>88</v>
      </c>
      <c r="G217" s="47" t="s">
        <v>46</v>
      </c>
      <c r="I217" s="45" t="s">
        <v>387</v>
      </c>
      <c r="M217" s="108" t="s">
        <v>636</v>
      </c>
      <c r="N217" s="108"/>
      <c r="O217" s="79" t="s">
        <v>412</v>
      </c>
      <c r="P217" s="45" t="s">
        <v>406</v>
      </c>
      <c r="Q217" s="75">
        <f>VLOOKUP(B217,LOV!$B:$C,2,FALSE)</f>
        <v>140</v>
      </c>
      <c r="R217" s="75" t="str">
        <f>VLOOKUP(B217,LOV!$B:$D,3,FALSE)</f>
        <v>FF</v>
      </c>
      <c r="S217" s="75" t="str">
        <f>VLOOKUP($X217,LOV!$F:$L,2,FALSE)</f>
        <v>WK5</v>
      </c>
      <c r="T217" s="88">
        <f>VLOOKUP($X217,LOV!$F:$L,7,FALSE)</f>
        <v>45943</v>
      </c>
      <c r="V217" s="53">
        <v>1</v>
      </c>
      <c r="W217" s="65">
        <f t="shared" si="3"/>
        <v>0.5</v>
      </c>
      <c r="X217" s="53" t="s">
        <v>407</v>
      </c>
      <c r="Y217" s="67">
        <v>45925</v>
      </c>
    </row>
    <row r="218" spans="1:25">
      <c r="A218" s="53">
        <v>1208</v>
      </c>
      <c r="B218" s="71" t="s">
        <v>760</v>
      </c>
      <c r="C218" s="45" t="s">
        <v>762</v>
      </c>
      <c r="D218" s="69" t="s">
        <v>763</v>
      </c>
      <c r="E218" s="45">
        <v>1</v>
      </c>
      <c r="F218" s="46">
        <v>89</v>
      </c>
      <c r="G218" s="47" t="s">
        <v>242</v>
      </c>
      <c r="I218" s="45" t="s">
        <v>387</v>
      </c>
      <c r="O218" s="45" t="s">
        <v>377</v>
      </c>
      <c r="P218" s="45" t="s">
        <v>406</v>
      </c>
      <c r="Q218" s="75">
        <f>VLOOKUP(B218,LOV!$B:$C,2,FALSE)</f>
        <v>140</v>
      </c>
      <c r="R218" s="75" t="str">
        <f>VLOOKUP(B218,LOV!$B:$D,3,FALSE)</f>
        <v>FF</v>
      </c>
      <c r="S218" s="75" t="str">
        <f>VLOOKUP($X218,LOV!$F:$L,2,FALSE)</f>
        <v>WK5</v>
      </c>
      <c r="T218" s="88">
        <f>VLOOKUP($X218,LOV!$F:$L,7,FALSE)</f>
        <v>45943</v>
      </c>
      <c r="V218" s="53">
        <v>1</v>
      </c>
      <c r="W218" s="65">
        <f t="shared" si="3"/>
        <v>0.5</v>
      </c>
      <c r="X218" s="53" t="s">
        <v>407</v>
      </c>
    </row>
    <row r="219" spans="1:25" ht="28.9">
      <c r="A219" s="53">
        <v>1209</v>
      </c>
      <c r="B219" s="71" t="s">
        <v>760</v>
      </c>
      <c r="C219" s="45" t="s">
        <v>762</v>
      </c>
      <c r="D219" s="69" t="s">
        <v>764</v>
      </c>
      <c r="E219" s="45">
        <v>1</v>
      </c>
      <c r="F219" s="46">
        <v>89</v>
      </c>
      <c r="G219" s="47" t="s">
        <v>765</v>
      </c>
      <c r="I219" s="45" t="s">
        <v>387</v>
      </c>
      <c r="O219" s="45" t="s">
        <v>377</v>
      </c>
      <c r="P219" s="45" t="s">
        <v>406</v>
      </c>
      <c r="Q219" s="75">
        <f>VLOOKUP(B219,LOV!$B:$C,2,FALSE)</f>
        <v>140</v>
      </c>
      <c r="R219" s="75" t="str">
        <f>VLOOKUP(B219,LOV!$B:$D,3,FALSE)</f>
        <v>FF</v>
      </c>
      <c r="S219" s="75" t="str">
        <f>VLOOKUP($X219,LOV!$F:$L,2,FALSE)</f>
        <v>WK5</v>
      </c>
      <c r="T219" s="88">
        <f>VLOOKUP($X219,LOV!$F:$L,7,FALSE)</f>
        <v>45943</v>
      </c>
      <c r="V219" s="53">
        <v>1</v>
      </c>
      <c r="W219" s="65">
        <f t="shared" si="3"/>
        <v>0.5</v>
      </c>
      <c r="X219" s="53" t="s">
        <v>407</v>
      </c>
    </row>
    <row r="220" spans="1:25">
      <c r="A220" s="53">
        <v>1210</v>
      </c>
      <c r="B220" s="71" t="s">
        <v>760</v>
      </c>
      <c r="C220" s="45" t="s">
        <v>762</v>
      </c>
      <c r="D220" s="69" t="s">
        <v>766</v>
      </c>
      <c r="E220" s="45">
        <v>1</v>
      </c>
      <c r="F220" s="46">
        <v>89</v>
      </c>
      <c r="G220" s="47" t="s">
        <v>242</v>
      </c>
      <c r="I220" s="45" t="s">
        <v>387</v>
      </c>
      <c r="O220" s="45" t="s">
        <v>377</v>
      </c>
      <c r="P220" s="45" t="s">
        <v>406</v>
      </c>
      <c r="Q220" s="75">
        <f>VLOOKUP(B220,LOV!$B:$C,2,FALSE)</f>
        <v>140</v>
      </c>
      <c r="R220" s="75" t="str">
        <f>VLOOKUP(B220,LOV!$B:$D,3,FALSE)</f>
        <v>FF</v>
      </c>
      <c r="S220" s="75" t="str">
        <f>VLOOKUP($X220,LOV!$F:$L,2,FALSE)</f>
        <v>WK5</v>
      </c>
      <c r="T220" s="88">
        <f>VLOOKUP($X220,LOV!$F:$L,7,FALSE)</f>
        <v>45943</v>
      </c>
      <c r="V220" s="53">
        <v>1</v>
      </c>
      <c r="W220" s="65">
        <f t="shared" si="3"/>
        <v>0.5</v>
      </c>
      <c r="X220" s="53" t="s">
        <v>407</v>
      </c>
    </row>
    <row r="221" spans="1:25">
      <c r="A221" s="53">
        <v>1211</v>
      </c>
      <c r="B221" s="71" t="s">
        <v>767</v>
      </c>
      <c r="C221" s="45" t="s">
        <v>768</v>
      </c>
      <c r="D221" s="69" t="s">
        <v>769</v>
      </c>
      <c r="E221" s="45">
        <v>1</v>
      </c>
      <c r="F221" s="46">
        <v>94</v>
      </c>
      <c r="G221" s="47" t="s">
        <v>46</v>
      </c>
      <c r="I221" s="45" t="s">
        <v>388</v>
      </c>
      <c r="O221" s="45" t="s">
        <v>377</v>
      </c>
      <c r="P221" s="45" t="s">
        <v>406</v>
      </c>
      <c r="Q221" s="75">
        <f>VLOOKUP(B221,LOV!$B:$C,2,FALSE)</f>
        <v>150</v>
      </c>
      <c r="R221" s="75" t="str">
        <f>VLOOKUP(B221,LOV!$B:$D,3,FALSE)</f>
        <v>EE</v>
      </c>
      <c r="S221" s="75" t="str">
        <f>VLOOKUP($X221,LOV!$F:$L,2,FALSE)</f>
        <v>WK4</v>
      </c>
      <c r="T221" s="88">
        <f>VLOOKUP($X221,LOV!$F:$L,7,FALSE)</f>
        <v>45936</v>
      </c>
      <c r="V221" s="53">
        <v>1</v>
      </c>
      <c r="W221" s="65">
        <f t="shared" si="3"/>
        <v>0.5</v>
      </c>
      <c r="X221" s="53" t="s">
        <v>106</v>
      </c>
    </row>
    <row r="222" spans="1:25" ht="28.9">
      <c r="A222" s="53">
        <v>1212</v>
      </c>
      <c r="B222" s="71" t="s">
        <v>767</v>
      </c>
      <c r="C222" s="45" t="s">
        <v>768</v>
      </c>
      <c r="D222" s="69" t="s">
        <v>770</v>
      </c>
      <c r="E222" s="45">
        <v>1</v>
      </c>
      <c r="F222" s="46">
        <v>94</v>
      </c>
      <c r="G222" s="47" t="s">
        <v>771</v>
      </c>
      <c r="I222" s="45" t="s">
        <v>388</v>
      </c>
      <c r="O222" s="45" t="s">
        <v>377</v>
      </c>
      <c r="P222" s="45" t="s">
        <v>406</v>
      </c>
      <c r="Q222" s="75">
        <f>VLOOKUP(B222,LOV!$B:$C,2,FALSE)</f>
        <v>150</v>
      </c>
      <c r="R222" s="75" t="str">
        <f>VLOOKUP(B222,LOV!$B:$D,3,FALSE)</f>
        <v>EE</v>
      </c>
      <c r="S222" s="75" t="str">
        <f>VLOOKUP($X222,LOV!$F:$L,2,FALSE)</f>
        <v>WK4</v>
      </c>
      <c r="T222" s="88">
        <f>VLOOKUP($X222,LOV!$F:$L,7,FALSE)</f>
        <v>45936</v>
      </c>
      <c r="V222" s="53">
        <v>1</v>
      </c>
      <c r="W222" s="65">
        <f t="shared" si="3"/>
        <v>0.5</v>
      </c>
      <c r="X222" s="53" t="s">
        <v>106</v>
      </c>
    </row>
    <row r="223" spans="1:25">
      <c r="A223" s="53">
        <v>1213</v>
      </c>
      <c r="B223" s="71" t="s">
        <v>767</v>
      </c>
      <c r="C223" s="45" t="s">
        <v>768</v>
      </c>
      <c r="D223" s="69" t="s">
        <v>772</v>
      </c>
      <c r="E223" s="45">
        <v>1</v>
      </c>
      <c r="F223" s="46">
        <v>94</v>
      </c>
      <c r="G223" s="47" t="s">
        <v>46</v>
      </c>
      <c r="I223" s="45" t="s">
        <v>388</v>
      </c>
      <c r="L223" s="47" t="s">
        <v>773</v>
      </c>
      <c r="M223" s="47" t="s">
        <v>774</v>
      </c>
      <c r="O223" s="45" t="s">
        <v>377</v>
      </c>
      <c r="P223" s="45" t="s">
        <v>406</v>
      </c>
      <c r="Q223" s="75">
        <f>VLOOKUP(B223,LOV!$B:$C,2,FALSE)</f>
        <v>150</v>
      </c>
      <c r="R223" s="75" t="str">
        <f>VLOOKUP(B223,LOV!$B:$D,3,FALSE)</f>
        <v>EE</v>
      </c>
      <c r="S223" s="75" t="str">
        <f>VLOOKUP($X223,LOV!$F:$L,2,FALSE)</f>
        <v>WK4</v>
      </c>
      <c r="T223" s="88">
        <f>VLOOKUP($X223,LOV!$F:$L,7,FALSE)</f>
        <v>45936</v>
      </c>
      <c r="V223" s="53">
        <v>1</v>
      </c>
      <c r="W223" s="65">
        <f t="shared" si="3"/>
        <v>0.5</v>
      </c>
      <c r="X223" s="53" t="s">
        <v>106</v>
      </c>
    </row>
    <row r="224" spans="1:25">
      <c r="A224" s="53">
        <v>1214</v>
      </c>
      <c r="B224" s="71" t="s">
        <v>767</v>
      </c>
      <c r="C224" s="45" t="s">
        <v>768</v>
      </c>
      <c r="D224" s="69" t="s">
        <v>775</v>
      </c>
      <c r="E224" s="45">
        <v>0</v>
      </c>
      <c r="F224" s="46">
        <v>94</v>
      </c>
      <c r="G224" s="47" t="s">
        <v>203</v>
      </c>
      <c r="I224" s="45" t="s">
        <v>388</v>
      </c>
      <c r="L224" s="47" t="s">
        <v>773</v>
      </c>
      <c r="M224" s="47" t="s">
        <v>776</v>
      </c>
      <c r="O224" s="45" t="s">
        <v>377</v>
      </c>
      <c r="P224" s="45" t="s">
        <v>406</v>
      </c>
      <c r="Q224" s="75">
        <f>VLOOKUP(B224,LOV!$B:$C,2,FALSE)</f>
        <v>150</v>
      </c>
      <c r="R224" s="75" t="str">
        <f>VLOOKUP(B224,LOV!$B:$D,3,FALSE)</f>
        <v>EE</v>
      </c>
      <c r="S224" s="75" t="str">
        <f>VLOOKUP($X224,LOV!$F:$L,2,FALSE)</f>
        <v>WK4</v>
      </c>
      <c r="T224" s="88">
        <f>VLOOKUP($X224,LOV!$F:$L,7,FALSE)</f>
        <v>45936</v>
      </c>
      <c r="V224" s="53">
        <v>1</v>
      </c>
      <c r="W224" s="65">
        <f t="shared" si="3"/>
        <v>0</v>
      </c>
      <c r="X224" s="53" t="s">
        <v>106</v>
      </c>
    </row>
    <row r="225" spans="1:24" ht="28.9" customHeight="1">
      <c r="A225" s="53">
        <v>1215</v>
      </c>
      <c r="B225" s="71" t="s">
        <v>767</v>
      </c>
      <c r="C225" s="45" t="s">
        <v>768</v>
      </c>
      <c r="D225" s="69" t="s">
        <v>777</v>
      </c>
      <c r="E225" s="45">
        <v>1</v>
      </c>
      <c r="F225" s="46">
        <v>94</v>
      </c>
      <c r="G225" s="47" t="s">
        <v>46</v>
      </c>
      <c r="I225" s="45" t="s">
        <v>388</v>
      </c>
      <c r="L225" s="47" t="s">
        <v>773</v>
      </c>
      <c r="M225" s="47" t="s">
        <v>778</v>
      </c>
      <c r="O225" s="45" t="s">
        <v>377</v>
      </c>
      <c r="P225" s="45" t="s">
        <v>406</v>
      </c>
      <c r="Q225" s="75">
        <f>VLOOKUP(B225,LOV!$B:$C,2,FALSE)</f>
        <v>150</v>
      </c>
      <c r="R225" s="75" t="str">
        <f>VLOOKUP(B225,LOV!$B:$D,3,FALSE)</f>
        <v>EE</v>
      </c>
      <c r="S225" s="75" t="str">
        <f>VLOOKUP($X225,LOV!$F:$L,2,FALSE)</f>
        <v>WK4</v>
      </c>
      <c r="T225" s="88">
        <f>VLOOKUP($X225,LOV!$F:$L,7,FALSE)</f>
        <v>45936</v>
      </c>
      <c r="V225" s="53">
        <v>1</v>
      </c>
      <c r="W225" s="65">
        <f t="shared" si="3"/>
        <v>0.5</v>
      </c>
      <c r="X225" s="53" t="s">
        <v>106</v>
      </c>
    </row>
    <row r="226" spans="1:24">
      <c r="A226" s="53">
        <v>1216</v>
      </c>
      <c r="B226" s="71" t="s">
        <v>767</v>
      </c>
      <c r="C226" s="45" t="s">
        <v>768</v>
      </c>
      <c r="D226" s="69" t="s">
        <v>779</v>
      </c>
      <c r="E226" s="45">
        <v>0</v>
      </c>
      <c r="F226" s="46">
        <v>94</v>
      </c>
      <c r="G226" s="47" t="s">
        <v>203</v>
      </c>
      <c r="I226" s="45" t="s">
        <v>388</v>
      </c>
      <c r="L226" s="47" t="s">
        <v>773</v>
      </c>
      <c r="M226" s="47" t="s">
        <v>780</v>
      </c>
      <c r="O226" s="45" t="s">
        <v>377</v>
      </c>
      <c r="P226" s="45" t="s">
        <v>406</v>
      </c>
      <c r="Q226" s="75">
        <f>VLOOKUP(B226,LOV!$B:$C,2,FALSE)</f>
        <v>150</v>
      </c>
      <c r="R226" s="75" t="str">
        <f>VLOOKUP(B226,LOV!$B:$D,3,FALSE)</f>
        <v>EE</v>
      </c>
      <c r="S226" s="75" t="str">
        <f>VLOOKUP($X226,LOV!$F:$L,2,FALSE)</f>
        <v>WK4</v>
      </c>
      <c r="T226" s="88">
        <f>VLOOKUP($X226,LOV!$F:$L,7,FALSE)</f>
        <v>45936</v>
      </c>
      <c r="V226" s="53">
        <v>1</v>
      </c>
      <c r="W226" s="65">
        <f t="shared" si="3"/>
        <v>0</v>
      </c>
      <c r="X226" s="53" t="s">
        <v>106</v>
      </c>
    </row>
    <row r="227" spans="1:24" ht="43.15">
      <c r="A227" s="53">
        <v>1217</v>
      </c>
      <c r="B227" s="71" t="s">
        <v>767</v>
      </c>
      <c r="C227" s="45" t="s">
        <v>768</v>
      </c>
      <c r="D227" s="69" t="s">
        <v>781</v>
      </c>
      <c r="E227" s="45">
        <v>1</v>
      </c>
      <c r="F227" s="46">
        <v>94</v>
      </c>
      <c r="G227" s="47" t="s">
        <v>46</v>
      </c>
      <c r="I227" s="45" t="s">
        <v>388</v>
      </c>
      <c r="L227" s="47" t="s">
        <v>773</v>
      </c>
      <c r="M227" s="47" t="s">
        <v>782</v>
      </c>
      <c r="N227" s="47" t="s">
        <v>782</v>
      </c>
      <c r="O227" s="45" t="s">
        <v>377</v>
      </c>
      <c r="P227" s="45" t="s">
        <v>406</v>
      </c>
      <c r="Q227" s="75">
        <f>VLOOKUP(B227,LOV!$B:$C,2,FALSE)</f>
        <v>150</v>
      </c>
      <c r="R227" s="75" t="str">
        <f>VLOOKUP(B227,LOV!$B:$D,3,FALSE)</f>
        <v>EE</v>
      </c>
      <c r="S227" s="75" t="str">
        <f>VLOOKUP($X227,LOV!$F:$L,2,FALSE)</f>
        <v>WK4</v>
      </c>
      <c r="T227" s="88">
        <f>VLOOKUP($X227,LOV!$F:$L,7,FALSE)</f>
        <v>45936</v>
      </c>
      <c r="V227" s="53">
        <v>1</v>
      </c>
      <c r="W227" s="65">
        <f t="shared" si="3"/>
        <v>0.5</v>
      </c>
      <c r="X227" s="53" t="s">
        <v>106</v>
      </c>
    </row>
    <row r="228" spans="1:24">
      <c r="A228" s="53">
        <v>1218</v>
      </c>
      <c r="B228" s="71" t="s">
        <v>767</v>
      </c>
      <c r="C228" s="45" t="s">
        <v>768</v>
      </c>
      <c r="D228" s="69" t="s">
        <v>783</v>
      </c>
      <c r="E228" s="45">
        <v>1</v>
      </c>
      <c r="F228" s="46">
        <v>94</v>
      </c>
      <c r="G228" s="47" t="s">
        <v>46</v>
      </c>
      <c r="I228" s="45" t="s">
        <v>388</v>
      </c>
      <c r="L228" s="47" t="s">
        <v>784</v>
      </c>
      <c r="M228" s="47" t="s">
        <v>785</v>
      </c>
      <c r="O228" s="45" t="s">
        <v>377</v>
      </c>
      <c r="P228" s="45" t="s">
        <v>406</v>
      </c>
      <c r="Q228" s="75">
        <f>VLOOKUP(B228,LOV!$B:$C,2,FALSE)</f>
        <v>150</v>
      </c>
      <c r="R228" s="75" t="str">
        <f>VLOOKUP(B228,LOV!$B:$D,3,FALSE)</f>
        <v>EE</v>
      </c>
      <c r="S228" s="75" t="str">
        <f>VLOOKUP($X228,LOV!$F:$L,2,FALSE)</f>
        <v>WK4</v>
      </c>
      <c r="T228" s="88">
        <f>VLOOKUP($X228,LOV!$F:$L,7,FALSE)</f>
        <v>45936</v>
      </c>
      <c r="V228" s="53">
        <v>1</v>
      </c>
      <c r="W228" s="65">
        <f t="shared" si="3"/>
        <v>0.5</v>
      </c>
      <c r="X228" s="53" t="s">
        <v>106</v>
      </c>
    </row>
    <row r="229" spans="1:24">
      <c r="A229" s="53">
        <v>1219</v>
      </c>
      <c r="B229" s="71" t="s">
        <v>767</v>
      </c>
      <c r="C229" s="45" t="s">
        <v>768</v>
      </c>
      <c r="D229" s="69" t="s">
        <v>786</v>
      </c>
      <c r="E229" s="45">
        <v>0</v>
      </c>
      <c r="F229" s="46">
        <v>94</v>
      </c>
      <c r="G229" s="47" t="s">
        <v>203</v>
      </c>
      <c r="I229" s="45" t="s">
        <v>388</v>
      </c>
      <c r="L229" s="47" t="s">
        <v>784</v>
      </c>
      <c r="M229" s="47" t="s">
        <v>787</v>
      </c>
      <c r="O229" s="45" t="s">
        <v>377</v>
      </c>
      <c r="P229" s="45" t="s">
        <v>406</v>
      </c>
      <c r="Q229" s="75">
        <f>VLOOKUP(B229,LOV!$B:$C,2,FALSE)</f>
        <v>150</v>
      </c>
      <c r="R229" s="75" t="str">
        <f>VLOOKUP(B229,LOV!$B:$D,3,FALSE)</f>
        <v>EE</v>
      </c>
      <c r="S229" s="75" t="str">
        <f>VLOOKUP($X229,LOV!$F:$L,2,FALSE)</f>
        <v>WK4</v>
      </c>
      <c r="T229" s="88">
        <f>VLOOKUP($X229,LOV!$F:$L,7,FALSE)</f>
        <v>45936</v>
      </c>
      <c r="V229" s="53">
        <v>1</v>
      </c>
      <c r="W229" s="65">
        <f t="shared" si="3"/>
        <v>0</v>
      </c>
      <c r="X229" s="53" t="s">
        <v>106</v>
      </c>
    </row>
    <row r="230" spans="1:24">
      <c r="A230" s="53">
        <v>1220</v>
      </c>
      <c r="B230" s="71" t="s">
        <v>767</v>
      </c>
      <c r="C230" s="45" t="s">
        <v>768</v>
      </c>
      <c r="D230" s="69" t="s">
        <v>788</v>
      </c>
      <c r="E230" s="45">
        <v>1</v>
      </c>
      <c r="F230" s="46">
        <v>94</v>
      </c>
      <c r="G230" s="47" t="s">
        <v>46</v>
      </c>
      <c r="I230" s="45" t="s">
        <v>388</v>
      </c>
      <c r="L230" s="47" t="s">
        <v>784</v>
      </c>
      <c r="M230" s="47" t="s">
        <v>789</v>
      </c>
      <c r="O230" s="45" t="s">
        <v>377</v>
      </c>
      <c r="P230" s="45" t="s">
        <v>406</v>
      </c>
      <c r="Q230" s="75">
        <f>VLOOKUP(B230,LOV!$B:$C,2,FALSE)</f>
        <v>150</v>
      </c>
      <c r="R230" s="75" t="str">
        <f>VLOOKUP(B230,LOV!$B:$D,3,FALSE)</f>
        <v>EE</v>
      </c>
      <c r="S230" s="75" t="str">
        <f>VLOOKUP($X230,LOV!$F:$L,2,FALSE)</f>
        <v>WK4</v>
      </c>
      <c r="T230" s="88">
        <f>VLOOKUP($X230,LOV!$F:$L,7,FALSE)</f>
        <v>45936</v>
      </c>
      <c r="V230" s="53">
        <v>1</v>
      </c>
      <c r="W230" s="65">
        <f t="shared" si="3"/>
        <v>0.5</v>
      </c>
      <c r="X230" s="53" t="s">
        <v>106</v>
      </c>
    </row>
    <row r="231" spans="1:24">
      <c r="A231" s="53">
        <v>1221</v>
      </c>
      <c r="B231" s="71" t="s">
        <v>767</v>
      </c>
      <c r="C231" s="45" t="s">
        <v>768</v>
      </c>
      <c r="D231" s="69" t="s">
        <v>790</v>
      </c>
      <c r="E231" s="45">
        <v>1</v>
      </c>
      <c r="F231" s="46">
        <v>94</v>
      </c>
      <c r="G231" s="47" t="s">
        <v>791</v>
      </c>
      <c r="I231" s="45" t="s">
        <v>388</v>
      </c>
      <c r="L231" s="47" t="s">
        <v>784</v>
      </c>
      <c r="M231" s="47" t="s">
        <v>792</v>
      </c>
      <c r="O231" s="45" t="s">
        <v>377</v>
      </c>
      <c r="P231" s="45" t="s">
        <v>406</v>
      </c>
      <c r="Q231" s="75">
        <f>VLOOKUP(B231,LOV!$B:$C,2,FALSE)</f>
        <v>150</v>
      </c>
      <c r="R231" s="75" t="str">
        <f>VLOOKUP(B231,LOV!$B:$D,3,FALSE)</f>
        <v>EE</v>
      </c>
      <c r="S231" s="75" t="str">
        <f>VLOOKUP($X231,LOV!$F:$L,2,FALSE)</f>
        <v>WK4</v>
      </c>
      <c r="T231" s="88">
        <f>VLOOKUP($X231,LOV!$F:$L,7,FALSE)</f>
        <v>45936</v>
      </c>
      <c r="V231" s="53">
        <v>1</v>
      </c>
      <c r="W231" s="65">
        <f t="shared" si="3"/>
        <v>0.5</v>
      </c>
      <c r="X231" s="53" t="s">
        <v>106</v>
      </c>
    </row>
    <row r="232" spans="1:24" ht="43.15">
      <c r="A232" s="53">
        <v>1222</v>
      </c>
      <c r="B232" s="71" t="s">
        <v>767</v>
      </c>
      <c r="C232" s="45" t="s">
        <v>768</v>
      </c>
      <c r="D232" s="69" t="s">
        <v>793</v>
      </c>
      <c r="E232" s="45">
        <v>1</v>
      </c>
      <c r="F232" s="46">
        <v>94</v>
      </c>
      <c r="G232" s="47" t="s">
        <v>46</v>
      </c>
      <c r="I232" s="45" t="s">
        <v>388</v>
      </c>
      <c r="L232" s="47" t="s">
        <v>784</v>
      </c>
      <c r="M232" s="47" t="s">
        <v>794</v>
      </c>
      <c r="N232" s="47" t="s">
        <v>794</v>
      </c>
      <c r="O232" s="45" t="s">
        <v>377</v>
      </c>
      <c r="P232" s="45" t="s">
        <v>406</v>
      </c>
      <c r="Q232" s="75">
        <f>VLOOKUP(B232,LOV!$B:$C,2,FALSE)</f>
        <v>150</v>
      </c>
      <c r="R232" s="75" t="str">
        <f>VLOOKUP(B232,LOV!$B:$D,3,FALSE)</f>
        <v>EE</v>
      </c>
      <c r="S232" s="75" t="str">
        <f>VLOOKUP($X232,LOV!$F:$L,2,FALSE)</f>
        <v>WK4</v>
      </c>
      <c r="T232" s="88">
        <f>VLOOKUP($X232,LOV!$F:$L,7,FALSE)</f>
        <v>45936</v>
      </c>
      <c r="V232" s="53">
        <v>1</v>
      </c>
      <c r="W232" s="65">
        <f t="shared" si="3"/>
        <v>0.5</v>
      </c>
      <c r="X232" s="53" t="s">
        <v>106</v>
      </c>
    </row>
    <row r="233" spans="1:24">
      <c r="A233" s="53">
        <v>1223</v>
      </c>
      <c r="B233" s="71" t="s">
        <v>767</v>
      </c>
      <c r="C233" s="45" t="s">
        <v>795</v>
      </c>
      <c r="D233" s="69" t="s">
        <v>796</v>
      </c>
      <c r="E233" s="45">
        <v>1</v>
      </c>
      <c r="F233" s="46">
        <v>94</v>
      </c>
      <c r="G233" s="47" t="s">
        <v>797</v>
      </c>
      <c r="I233" s="45" t="s">
        <v>388</v>
      </c>
      <c r="L233" s="47" t="s">
        <v>798</v>
      </c>
      <c r="M233" s="47" t="s">
        <v>799</v>
      </c>
      <c r="O233" s="45" t="s">
        <v>377</v>
      </c>
      <c r="P233" s="45" t="s">
        <v>406</v>
      </c>
      <c r="Q233" s="75">
        <f>VLOOKUP(B233,LOV!$B:$C,2,FALSE)</f>
        <v>150</v>
      </c>
      <c r="R233" s="75" t="str">
        <f>VLOOKUP(B233,LOV!$B:$D,3,FALSE)</f>
        <v>EE</v>
      </c>
      <c r="S233" s="75" t="str">
        <f>VLOOKUP($X233,LOV!$F:$L,2,FALSE)</f>
        <v>WK4</v>
      </c>
      <c r="T233" s="88">
        <f>VLOOKUP($X233,LOV!$F:$L,7,FALSE)</f>
        <v>45936</v>
      </c>
      <c r="V233" s="53">
        <v>3</v>
      </c>
      <c r="W233" s="65">
        <f t="shared" si="3"/>
        <v>1.5</v>
      </c>
      <c r="X233" s="53" t="s">
        <v>106</v>
      </c>
    </row>
    <row r="234" spans="1:24">
      <c r="A234" s="53">
        <v>1224</v>
      </c>
      <c r="B234" s="71" t="s">
        <v>767</v>
      </c>
      <c r="C234" s="45" t="s">
        <v>795</v>
      </c>
      <c r="D234" s="69" t="s">
        <v>800</v>
      </c>
      <c r="E234" s="45">
        <v>1</v>
      </c>
      <c r="F234" s="46">
        <v>94</v>
      </c>
      <c r="G234" s="47" t="s">
        <v>797</v>
      </c>
      <c r="I234" s="45" t="s">
        <v>388</v>
      </c>
      <c r="L234" s="47" t="s">
        <v>798</v>
      </c>
      <c r="M234" s="47" t="s">
        <v>801</v>
      </c>
      <c r="O234" s="45" t="s">
        <v>377</v>
      </c>
      <c r="P234" s="45" t="s">
        <v>406</v>
      </c>
      <c r="Q234" s="75">
        <f>VLOOKUP(B234,LOV!$B:$C,2,FALSE)</f>
        <v>150</v>
      </c>
      <c r="R234" s="75" t="str">
        <f>VLOOKUP(B234,LOV!$B:$D,3,FALSE)</f>
        <v>EE</v>
      </c>
      <c r="S234" s="75" t="str">
        <f>VLOOKUP($X234,LOV!$F:$L,2,FALSE)</f>
        <v>WK4</v>
      </c>
      <c r="T234" s="88">
        <f>VLOOKUP($X234,LOV!$F:$L,7,FALSE)</f>
        <v>45936</v>
      </c>
      <c r="V234" s="53">
        <v>3</v>
      </c>
      <c r="W234" s="65">
        <f t="shared" si="3"/>
        <v>1.5</v>
      </c>
      <c r="X234" s="53" t="s">
        <v>106</v>
      </c>
    </row>
    <row r="235" spans="1:24">
      <c r="A235" s="53">
        <v>1225</v>
      </c>
      <c r="B235" s="71" t="s">
        <v>767</v>
      </c>
      <c r="C235" s="45" t="s">
        <v>795</v>
      </c>
      <c r="D235" s="69" t="s">
        <v>802</v>
      </c>
      <c r="E235" s="45">
        <v>1</v>
      </c>
      <c r="F235" s="46">
        <v>94</v>
      </c>
      <c r="G235" s="47" t="s">
        <v>797</v>
      </c>
      <c r="I235" s="45" t="s">
        <v>388</v>
      </c>
      <c r="L235" s="47" t="s">
        <v>798</v>
      </c>
      <c r="M235" s="47" t="s">
        <v>803</v>
      </c>
      <c r="O235" s="45" t="s">
        <v>377</v>
      </c>
      <c r="P235" s="45" t="s">
        <v>406</v>
      </c>
      <c r="Q235" s="75">
        <f>VLOOKUP(B235,LOV!$B:$C,2,FALSE)</f>
        <v>150</v>
      </c>
      <c r="R235" s="75" t="str">
        <f>VLOOKUP(B235,LOV!$B:$D,3,FALSE)</f>
        <v>EE</v>
      </c>
      <c r="S235" s="75" t="str">
        <f>VLOOKUP($X235,LOV!$F:$L,2,FALSE)</f>
        <v>WK4</v>
      </c>
      <c r="T235" s="88">
        <f>VLOOKUP($X235,LOV!$F:$L,7,FALSE)</f>
        <v>45936</v>
      </c>
      <c r="V235" s="53">
        <v>3</v>
      </c>
      <c r="W235" s="65">
        <f t="shared" si="3"/>
        <v>1.5</v>
      </c>
      <c r="X235" s="53" t="s">
        <v>106</v>
      </c>
    </row>
    <row r="236" spans="1:24">
      <c r="A236" s="53">
        <v>1226</v>
      </c>
      <c r="B236" s="71" t="s">
        <v>767</v>
      </c>
      <c r="C236" s="45" t="s">
        <v>795</v>
      </c>
      <c r="D236" s="69" t="s">
        <v>804</v>
      </c>
      <c r="E236" s="45">
        <v>1</v>
      </c>
      <c r="F236" s="46">
        <v>94</v>
      </c>
      <c r="G236" s="47" t="s">
        <v>797</v>
      </c>
      <c r="I236" s="45" t="s">
        <v>388</v>
      </c>
      <c r="L236" s="47" t="s">
        <v>798</v>
      </c>
      <c r="M236" s="47" t="s">
        <v>805</v>
      </c>
      <c r="O236" s="45" t="s">
        <v>377</v>
      </c>
      <c r="P236" s="45" t="s">
        <v>406</v>
      </c>
      <c r="Q236" s="75">
        <f>VLOOKUP(B236,LOV!$B:$C,2,FALSE)</f>
        <v>150</v>
      </c>
      <c r="R236" s="75" t="str">
        <f>VLOOKUP(B236,LOV!$B:$D,3,FALSE)</f>
        <v>EE</v>
      </c>
      <c r="S236" s="75" t="str">
        <f>VLOOKUP($X236,LOV!$F:$L,2,FALSE)</f>
        <v>WK4</v>
      </c>
      <c r="T236" s="88">
        <f>VLOOKUP($X236,LOV!$F:$L,7,FALSE)</f>
        <v>45936</v>
      </c>
      <c r="V236" s="53">
        <v>3</v>
      </c>
      <c r="W236" s="65">
        <f t="shared" si="3"/>
        <v>1.5</v>
      </c>
      <c r="X236" s="53" t="s">
        <v>106</v>
      </c>
    </row>
    <row r="237" spans="1:24">
      <c r="A237" s="53">
        <v>1227</v>
      </c>
      <c r="B237" s="71" t="s">
        <v>767</v>
      </c>
      <c r="C237" s="45" t="s">
        <v>806</v>
      </c>
      <c r="D237" s="69" t="s">
        <v>807</v>
      </c>
      <c r="E237" s="45">
        <v>1</v>
      </c>
      <c r="F237" s="46">
        <v>94</v>
      </c>
      <c r="G237" s="47" t="s">
        <v>46</v>
      </c>
      <c r="I237" s="45" t="s">
        <v>388</v>
      </c>
      <c r="L237" s="47" t="s">
        <v>808</v>
      </c>
      <c r="M237" s="47" t="s">
        <v>809</v>
      </c>
      <c r="O237" s="45" t="s">
        <v>377</v>
      </c>
      <c r="P237" s="45" t="s">
        <v>406</v>
      </c>
      <c r="Q237" s="75">
        <f>VLOOKUP(B237,LOV!$B:$C,2,FALSE)</f>
        <v>150</v>
      </c>
      <c r="R237" s="75" t="str">
        <f>VLOOKUP(B237,LOV!$B:$D,3,FALSE)</f>
        <v>EE</v>
      </c>
      <c r="S237" s="75" t="str">
        <f>VLOOKUP($X237,LOV!$F:$L,2,FALSE)</f>
        <v>WK4</v>
      </c>
      <c r="T237" s="88">
        <f>VLOOKUP($X237,LOV!$F:$L,7,FALSE)</f>
        <v>45936</v>
      </c>
      <c r="V237" s="53">
        <v>1</v>
      </c>
      <c r="W237" s="65">
        <f t="shared" si="3"/>
        <v>0.5</v>
      </c>
      <c r="X237" s="53" t="s">
        <v>106</v>
      </c>
    </row>
    <row r="238" spans="1:24">
      <c r="A238" s="53">
        <v>1228</v>
      </c>
      <c r="B238" s="71" t="s">
        <v>767</v>
      </c>
      <c r="C238" s="45" t="s">
        <v>806</v>
      </c>
      <c r="D238" s="69" t="s">
        <v>810</v>
      </c>
      <c r="E238" s="45">
        <v>1</v>
      </c>
      <c r="F238" s="46">
        <v>94</v>
      </c>
      <c r="G238" s="47" t="s">
        <v>46</v>
      </c>
      <c r="I238" s="45" t="s">
        <v>388</v>
      </c>
      <c r="L238" s="47" t="s">
        <v>808</v>
      </c>
      <c r="M238" s="47" t="s">
        <v>811</v>
      </c>
      <c r="O238" s="45" t="s">
        <v>377</v>
      </c>
      <c r="P238" s="45" t="s">
        <v>406</v>
      </c>
      <c r="Q238" s="75">
        <f>VLOOKUP(B238,LOV!$B:$C,2,FALSE)</f>
        <v>150</v>
      </c>
      <c r="R238" s="75" t="str">
        <f>VLOOKUP(B238,LOV!$B:$D,3,FALSE)</f>
        <v>EE</v>
      </c>
      <c r="S238" s="75" t="str">
        <f>VLOOKUP($X238,LOV!$F:$L,2,FALSE)</f>
        <v>WK4</v>
      </c>
      <c r="T238" s="88">
        <f>VLOOKUP($X238,LOV!$F:$L,7,FALSE)</f>
        <v>45936</v>
      </c>
      <c r="V238" s="53">
        <v>1</v>
      </c>
      <c r="W238" s="65">
        <f t="shared" si="3"/>
        <v>0.5</v>
      </c>
      <c r="X238" s="53" t="s">
        <v>106</v>
      </c>
    </row>
    <row r="239" spans="1:24">
      <c r="A239" s="53">
        <v>1229</v>
      </c>
      <c r="B239" s="71" t="s">
        <v>767</v>
      </c>
      <c r="C239" s="45" t="s">
        <v>806</v>
      </c>
      <c r="D239" s="69" t="s">
        <v>812</v>
      </c>
      <c r="E239" s="45">
        <v>1</v>
      </c>
      <c r="F239" s="46">
        <v>94</v>
      </c>
      <c r="G239" s="47" t="s">
        <v>46</v>
      </c>
      <c r="I239" s="45" t="s">
        <v>388</v>
      </c>
      <c r="L239" s="47" t="s">
        <v>808</v>
      </c>
      <c r="M239" s="47" t="s">
        <v>813</v>
      </c>
      <c r="O239" s="45" t="s">
        <v>377</v>
      </c>
      <c r="P239" s="45" t="s">
        <v>406</v>
      </c>
      <c r="Q239" s="75">
        <f>VLOOKUP(B239,LOV!$B:$C,2,FALSE)</f>
        <v>150</v>
      </c>
      <c r="R239" s="75" t="str">
        <f>VLOOKUP(B239,LOV!$B:$D,3,FALSE)</f>
        <v>EE</v>
      </c>
      <c r="S239" s="75" t="str">
        <f>VLOOKUP($X239,LOV!$F:$L,2,FALSE)</f>
        <v>WK4</v>
      </c>
      <c r="T239" s="88">
        <f>VLOOKUP($X239,LOV!$F:$L,7,FALSE)</f>
        <v>45936</v>
      </c>
      <c r="V239" s="53">
        <v>1</v>
      </c>
      <c r="W239" s="65">
        <f t="shared" si="3"/>
        <v>0.5</v>
      </c>
      <c r="X239" s="53" t="s">
        <v>106</v>
      </c>
    </row>
    <row r="240" spans="1:24">
      <c r="A240" s="53">
        <v>1230</v>
      </c>
      <c r="B240" s="71" t="s">
        <v>767</v>
      </c>
      <c r="C240" s="45" t="s">
        <v>814</v>
      </c>
      <c r="D240" s="69" t="s">
        <v>815</v>
      </c>
      <c r="E240" s="45">
        <v>1</v>
      </c>
      <c r="F240" s="46">
        <v>94</v>
      </c>
      <c r="G240" s="47" t="s">
        <v>816</v>
      </c>
      <c r="I240" s="45" t="s">
        <v>388</v>
      </c>
      <c r="L240" s="47" t="s">
        <v>817</v>
      </c>
      <c r="O240" s="45" t="s">
        <v>377</v>
      </c>
      <c r="P240" s="45" t="s">
        <v>406</v>
      </c>
      <c r="Q240" s="75">
        <f>VLOOKUP(B240,LOV!$B:$C,2,FALSE)</f>
        <v>150</v>
      </c>
      <c r="R240" s="75" t="str">
        <f>VLOOKUP(B240,LOV!$B:$D,3,FALSE)</f>
        <v>EE</v>
      </c>
      <c r="S240" s="75" t="str">
        <f>VLOOKUP($X240,LOV!$F:$L,2,FALSE)</f>
        <v>WK4</v>
      </c>
      <c r="T240" s="88">
        <f>VLOOKUP($X240,LOV!$F:$L,7,FALSE)</f>
        <v>45936</v>
      </c>
      <c r="V240" s="53">
        <v>1</v>
      </c>
      <c r="W240" s="65">
        <f t="shared" si="3"/>
        <v>0.5</v>
      </c>
      <c r="X240" s="53" t="s">
        <v>106</v>
      </c>
    </row>
    <row r="241" spans="1:25">
      <c r="A241" s="53">
        <v>1231</v>
      </c>
      <c r="B241" s="71" t="s">
        <v>767</v>
      </c>
      <c r="C241" s="45" t="s">
        <v>818</v>
      </c>
      <c r="D241" s="69" t="s">
        <v>141</v>
      </c>
      <c r="E241" s="45">
        <v>1</v>
      </c>
      <c r="F241" s="46">
        <v>94</v>
      </c>
      <c r="G241" s="47" t="s">
        <v>46</v>
      </c>
      <c r="I241" s="45" t="s">
        <v>388</v>
      </c>
      <c r="O241" s="45" t="s">
        <v>377</v>
      </c>
      <c r="P241" s="45" t="s">
        <v>406</v>
      </c>
      <c r="Q241" s="75">
        <f>VLOOKUP(B241,LOV!$B:$C,2,FALSE)</f>
        <v>150</v>
      </c>
      <c r="R241" s="75" t="str">
        <f>VLOOKUP(B241,LOV!$B:$D,3,FALSE)</f>
        <v>EE</v>
      </c>
      <c r="S241" s="75" t="str">
        <f>VLOOKUP($X241,LOV!$F:$L,2,FALSE)</f>
        <v>WK4</v>
      </c>
      <c r="T241" s="88">
        <f>VLOOKUP($X241,LOV!$F:$L,7,FALSE)</f>
        <v>45936</v>
      </c>
      <c r="V241" s="53">
        <v>1</v>
      </c>
      <c r="W241" s="65">
        <f t="shared" si="3"/>
        <v>0.5</v>
      </c>
      <c r="X241" s="53" t="s">
        <v>106</v>
      </c>
    </row>
    <row r="242" spans="1:25">
      <c r="A242" s="53">
        <v>1232</v>
      </c>
      <c r="B242" s="71" t="s">
        <v>767</v>
      </c>
      <c r="C242" s="45" t="s">
        <v>818</v>
      </c>
      <c r="D242" s="69" t="s">
        <v>99</v>
      </c>
      <c r="E242" s="45">
        <v>1</v>
      </c>
      <c r="F242" s="46">
        <v>94</v>
      </c>
      <c r="G242" s="47" t="s">
        <v>46</v>
      </c>
      <c r="I242" s="45" t="s">
        <v>388</v>
      </c>
      <c r="O242" s="45" t="s">
        <v>377</v>
      </c>
      <c r="P242" s="45" t="s">
        <v>406</v>
      </c>
      <c r="Q242" s="75">
        <f>VLOOKUP(B242,LOV!$B:$C,2,FALSE)</f>
        <v>150</v>
      </c>
      <c r="R242" s="75" t="str">
        <f>VLOOKUP(B242,LOV!$B:$D,3,FALSE)</f>
        <v>EE</v>
      </c>
      <c r="S242" s="75" t="str">
        <f>VLOOKUP($X242,LOV!$F:$L,2,FALSE)</f>
        <v>WK4</v>
      </c>
      <c r="T242" s="88">
        <f>VLOOKUP($X242,LOV!$F:$L,7,FALSE)</f>
        <v>45936</v>
      </c>
      <c r="V242" s="53">
        <v>1</v>
      </c>
      <c r="W242" s="65">
        <f t="shared" si="3"/>
        <v>0.5</v>
      </c>
      <c r="X242" s="53" t="s">
        <v>106</v>
      </c>
    </row>
    <row r="243" spans="1:25">
      <c r="A243" s="53">
        <v>1233</v>
      </c>
      <c r="B243" s="71" t="s">
        <v>767</v>
      </c>
      <c r="C243" s="45" t="s">
        <v>818</v>
      </c>
      <c r="D243" s="69" t="s">
        <v>20</v>
      </c>
      <c r="E243" s="45">
        <v>1</v>
      </c>
      <c r="F243" s="46">
        <v>94</v>
      </c>
      <c r="G243" s="47" t="s">
        <v>46</v>
      </c>
      <c r="I243" s="45" t="s">
        <v>388</v>
      </c>
      <c r="O243" s="45" t="s">
        <v>377</v>
      </c>
      <c r="P243" s="45" t="s">
        <v>406</v>
      </c>
      <c r="Q243" s="75">
        <f>VLOOKUP(B243,LOV!$B:$C,2,FALSE)</f>
        <v>150</v>
      </c>
      <c r="R243" s="75" t="str">
        <f>VLOOKUP(B243,LOV!$B:$D,3,FALSE)</f>
        <v>EE</v>
      </c>
      <c r="S243" s="75" t="str">
        <f>VLOOKUP($X243,LOV!$F:$L,2,FALSE)</f>
        <v>WK4</v>
      </c>
      <c r="T243" s="88">
        <f>VLOOKUP($X243,LOV!$F:$L,7,FALSE)</f>
        <v>45936</v>
      </c>
      <c r="V243" s="53">
        <v>1</v>
      </c>
      <c r="W243" s="65">
        <f t="shared" si="3"/>
        <v>0.5</v>
      </c>
      <c r="X243" s="53" t="s">
        <v>106</v>
      </c>
    </row>
    <row r="244" spans="1:25">
      <c r="A244" s="53">
        <v>1234</v>
      </c>
      <c r="B244" s="71" t="s">
        <v>767</v>
      </c>
      <c r="C244" s="45" t="s">
        <v>818</v>
      </c>
      <c r="D244" s="69" t="s">
        <v>819</v>
      </c>
      <c r="E244" s="45">
        <v>1</v>
      </c>
      <c r="F244" s="46">
        <v>94</v>
      </c>
      <c r="G244" s="47" t="s">
        <v>46</v>
      </c>
      <c r="I244" s="45" t="s">
        <v>388</v>
      </c>
      <c r="O244" s="45" t="s">
        <v>377</v>
      </c>
      <c r="P244" s="45" t="s">
        <v>406</v>
      </c>
      <c r="Q244" s="75">
        <f>VLOOKUP(B244,LOV!$B:$C,2,FALSE)</f>
        <v>150</v>
      </c>
      <c r="R244" s="75" t="str">
        <f>VLOOKUP(B244,LOV!$B:$D,3,FALSE)</f>
        <v>EE</v>
      </c>
      <c r="S244" s="75" t="str">
        <f>VLOOKUP($X244,LOV!$F:$L,2,FALSE)</f>
        <v>WK4</v>
      </c>
      <c r="T244" s="88">
        <f>VLOOKUP($X244,LOV!$F:$L,7,FALSE)</f>
        <v>45936</v>
      </c>
      <c r="V244" s="53">
        <v>1</v>
      </c>
      <c r="W244" s="65">
        <f t="shared" si="3"/>
        <v>0.5</v>
      </c>
      <c r="X244" s="53" t="s">
        <v>106</v>
      </c>
    </row>
    <row r="245" spans="1:25" ht="72">
      <c r="A245" s="53">
        <v>1235</v>
      </c>
      <c r="B245" s="71" t="s">
        <v>820</v>
      </c>
      <c r="C245" s="45" t="s">
        <v>821</v>
      </c>
      <c r="D245" s="69" t="s">
        <v>822</v>
      </c>
      <c r="E245" s="45">
        <v>0</v>
      </c>
      <c r="F245" s="46">
        <v>97</v>
      </c>
      <c r="G245" s="47" t="s">
        <v>203</v>
      </c>
      <c r="I245" s="45" t="s">
        <v>535</v>
      </c>
      <c r="L245" s="47" t="s">
        <v>823</v>
      </c>
      <c r="M245" s="47" t="s">
        <v>824</v>
      </c>
      <c r="O245" s="45" t="s">
        <v>412</v>
      </c>
      <c r="P245" s="45" t="s">
        <v>413</v>
      </c>
      <c r="Q245" s="75">
        <f>VLOOKUP(B245,LOV!$B:$C,2,FALSE)</f>
        <v>160</v>
      </c>
      <c r="R245" s="75" t="str">
        <f>VLOOKUP(B245,LOV!$B:$D,3,FALSE)</f>
        <v>EE</v>
      </c>
      <c r="S245" s="75" t="str">
        <f>VLOOKUP($X245,LOV!$F:$L,2,FALSE)</f>
        <v>WK4</v>
      </c>
      <c r="T245" s="88">
        <f>VLOOKUP($X245,LOV!$F:$L,7,FALSE)</f>
        <v>45936</v>
      </c>
      <c r="V245" s="53">
        <v>0</v>
      </c>
      <c r="W245" s="65">
        <f t="shared" si="3"/>
        <v>0</v>
      </c>
      <c r="X245" s="53" t="s">
        <v>106</v>
      </c>
      <c r="Y245" s="67">
        <v>45919</v>
      </c>
    </row>
    <row r="246" spans="1:25" ht="28.9">
      <c r="A246" s="53">
        <v>1236</v>
      </c>
      <c r="B246" s="71" t="s">
        <v>820</v>
      </c>
      <c r="C246" s="45" t="s">
        <v>821</v>
      </c>
      <c r="D246" s="69" t="s">
        <v>825</v>
      </c>
      <c r="E246" s="45">
        <v>1</v>
      </c>
      <c r="F246" s="46">
        <v>97</v>
      </c>
      <c r="G246" s="47" t="s">
        <v>826</v>
      </c>
      <c r="I246" s="45" t="s">
        <v>535</v>
      </c>
      <c r="O246" s="45" t="s">
        <v>377</v>
      </c>
      <c r="P246" s="45" t="s">
        <v>406</v>
      </c>
      <c r="Q246" s="75">
        <f>VLOOKUP(B246,LOV!$B:$C,2,FALSE)</f>
        <v>160</v>
      </c>
      <c r="R246" s="75" t="str">
        <f>VLOOKUP(B246,LOV!$B:$D,3,FALSE)</f>
        <v>EE</v>
      </c>
      <c r="S246" s="75" t="str">
        <f>VLOOKUP($X246,LOV!$F:$L,2,FALSE)</f>
        <v>WK4</v>
      </c>
      <c r="T246" s="88">
        <f>VLOOKUP($X246,LOV!$F:$L,7,FALSE)</f>
        <v>45936</v>
      </c>
      <c r="V246" s="53">
        <v>1</v>
      </c>
      <c r="W246" s="65">
        <f t="shared" si="3"/>
        <v>0.5</v>
      </c>
      <c r="X246" s="53" t="s">
        <v>106</v>
      </c>
    </row>
    <row r="247" spans="1:25" ht="28.9">
      <c r="A247" s="53">
        <v>1237</v>
      </c>
      <c r="B247" s="71" t="s">
        <v>820</v>
      </c>
      <c r="C247" s="45" t="s">
        <v>821</v>
      </c>
      <c r="D247" s="69" t="s">
        <v>827</v>
      </c>
      <c r="E247" s="45">
        <v>1</v>
      </c>
      <c r="F247" s="46">
        <v>97</v>
      </c>
      <c r="G247" s="47" t="s">
        <v>828</v>
      </c>
      <c r="I247" s="45" t="s">
        <v>535</v>
      </c>
      <c r="O247" s="45" t="s">
        <v>377</v>
      </c>
      <c r="P247" s="45" t="s">
        <v>406</v>
      </c>
      <c r="Q247" s="75">
        <f>VLOOKUP(B247,LOV!$B:$C,2,FALSE)</f>
        <v>160</v>
      </c>
      <c r="R247" s="75" t="str">
        <f>VLOOKUP(B247,LOV!$B:$D,3,FALSE)</f>
        <v>EE</v>
      </c>
      <c r="S247" s="75" t="str">
        <f>VLOOKUP($X247,LOV!$F:$L,2,FALSE)</f>
        <v>WK4</v>
      </c>
      <c r="T247" s="88">
        <f>VLOOKUP($X247,LOV!$F:$L,7,FALSE)</f>
        <v>45936</v>
      </c>
      <c r="V247" s="53">
        <v>1</v>
      </c>
      <c r="W247" s="65">
        <f t="shared" si="3"/>
        <v>0.5</v>
      </c>
      <c r="X247" s="53" t="s">
        <v>106</v>
      </c>
    </row>
    <row r="248" spans="1:25" ht="28.9">
      <c r="A248" s="53">
        <v>1238</v>
      </c>
      <c r="B248" s="71" t="s">
        <v>820</v>
      </c>
      <c r="C248" s="45" t="s">
        <v>821</v>
      </c>
      <c r="D248" s="69" t="s">
        <v>829</v>
      </c>
      <c r="E248" s="45">
        <v>1</v>
      </c>
      <c r="F248" s="46">
        <v>97</v>
      </c>
      <c r="G248" s="47" t="s">
        <v>830</v>
      </c>
      <c r="I248" s="45" t="s">
        <v>535</v>
      </c>
      <c r="O248" s="45" t="s">
        <v>377</v>
      </c>
      <c r="P248" s="45" t="s">
        <v>406</v>
      </c>
      <c r="Q248" s="75">
        <f>VLOOKUP(B248,LOV!$B:$C,2,FALSE)</f>
        <v>160</v>
      </c>
      <c r="R248" s="75" t="str">
        <f>VLOOKUP(B248,LOV!$B:$D,3,FALSE)</f>
        <v>EE</v>
      </c>
      <c r="S248" s="75" t="str">
        <f>VLOOKUP($X248,LOV!$F:$L,2,FALSE)</f>
        <v>WK4</v>
      </c>
      <c r="T248" s="88">
        <f>VLOOKUP($X248,LOV!$F:$L,7,FALSE)</f>
        <v>45936</v>
      </c>
      <c r="V248" s="53">
        <v>1</v>
      </c>
      <c r="W248" s="65">
        <f t="shared" si="3"/>
        <v>0.5</v>
      </c>
      <c r="X248" s="53" t="s">
        <v>106</v>
      </c>
    </row>
    <row r="249" spans="1:25" ht="72">
      <c r="A249" s="53">
        <v>1239</v>
      </c>
      <c r="B249" s="71" t="s">
        <v>820</v>
      </c>
      <c r="C249" s="45" t="s">
        <v>821</v>
      </c>
      <c r="D249" s="69" t="s">
        <v>831</v>
      </c>
      <c r="E249" s="45">
        <v>1</v>
      </c>
      <c r="F249" s="46">
        <v>97</v>
      </c>
      <c r="G249" s="47" t="s">
        <v>832</v>
      </c>
      <c r="I249" s="45" t="s">
        <v>535</v>
      </c>
      <c r="L249" s="47" t="s">
        <v>823</v>
      </c>
      <c r="M249" s="47" t="s">
        <v>833</v>
      </c>
      <c r="O249" s="45" t="s">
        <v>412</v>
      </c>
      <c r="P249" s="45" t="s">
        <v>413</v>
      </c>
      <c r="Q249" s="75">
        <f>VLOOKUP(B249,LOV!$B:$C,2,FALSE)</f>
        <v>160</v>
      </c>
      <c r="R249" s="75" t="str">
        <f>VLOOKUP(B249,LOV!$B:$D,3,FALSE)</f>
        <v>EE</v>
      </c>
      <c r="S249" s="75" t="str">
        <f>VLOOKUP($X249,LOV!$F:$L,2,FALSE)</f>
        <v>WK4</v>
      </c>
      <c r="T249" s="88">
        <f>VLOOKUP($X249,LOV!$F:$L,7,FALSE)</f>
        <v>45936</v>
      </c>
      <c r="V249" s="53">
        <v>1</v>
      </c>
      <c r="W249" s="65">
        <f t="shared" si="3"/>
        <v>0.5</v>
      </c>
      <c r="X249" s="53" t="s">
        <v>106</v>
      </c>
      <c r="Y249" s="67">
        <v>45919</v>
      </c>
    </row>
    <row r="250" spans="1:25" ht="28.9">
      <c r="A250" s="53">
        <v>1240</v>
      </c>
      <c r="B250" s="71" t="s">
        <v>820</v>
      </c>
      <c r="C250" s="45" t="s">
        <v>821</v>
      </c>
      <c r="D250" s="69" t="s">
        <v>834</v>
      </c>
      <c r="E250" s="45">
        <v>1</v>
      </c>
      <c r="F250" s="46">
        <v>97</v>
      </c>
      <c r="G250" s="47" t="s">
        <v>835</v>
      </c>
      <c r="I250" s="45" t="s">
        <v>535</v>
      </c>
      <c r="O250" s="45" t="s">
        <v>377</v>
      </c>
      <c r="P250" s="45" t="s">
        <v>406</v>
      </c>
      <c r="Q250" s="75">
        <f>VLOOKUP(B250,LOV!$B:$C,2,FALSE)</f>
        <v>160</v>
      </c>
      <c r="R250" s="75" t="str">
        <f>VLOOKUP(B250,LOV!$B:$D,3,FALSE)</f>
        <v>EE</v>
      </c>
      <c r="S250" s="75" t="str">
        <f>VLOOKUP($X250,LOV!$F:$L,2,FALSE)</f>
        <v>WK4</v>
      </c>
      <c r="T250" s="88">
        <f>VLOOKUP($X250,LOV!$F:$L,7,FALSE)</f>
        <v>45936</v>
      </c>
      <c r="V250" s="53">
        <v>1</v>
      </c>
      <c r="W250" s="65">
        <f t="shared" si="3"/>
        <v>0.5</v>
      </c>
      <c r="X250" s="53" t="s">
        <v>106</v>
      </c>
    </row>
    <row r="251" spans="1:25">
      <c r="A251" s="53">
        <v>1241</v>
      </c>
      <c r="B251" s="71" t="s">
        <v>820</v>
      </c>
      <c r="C251" s="45" t="s">
        <v>528</v>
      </c>
      <c r="D251" s="69" t="s">
        <v>836</v>
      </c>
      <c r="E251" s="45">
        <v>0</v>
      </c>
      <c r="F251" s="46">
        <v>98</v>
      </c>
      <c r="G251" s="47" t="s">
        <v>203</v>
      </c>
      <c r="I251" s="45" t="s">
        <v>535</v>
      </c>
      <c r="O251" s="45" t="s">
        <v>377</v>
      </c>
      <c r="P251" s="45" t="s">
        <v>406</v>
      </c>
      <c r="Q251" s="75">
        <f>VLOOKUP(B251,LOV!$B:$C,2,FALSE)</f>
        <v>160</v>
      </c>
      <c r="R251" s="75" t="str">
        <f>VLOOKUP(B251,LOV!$B:$D,3,FALSE)</f>
        <v>EE</v>
      </c>
      <c r="S251" s="75" t="str">
        <f>VLOOKUP($X251,LOV!$F:$L,2,FALSE)</f>
        <v>WK4</v>
      </c>
      <c r="T251" s="88">
        <f>VLOOKUP($X251,LOV!$F:$L,7,FALSE)</f>
        <v>45936</v>
      </c>
      <c r="V251" s="53">
        <v>0</v>
      </c>
      <c r="W251" s="65">
        <f t="shared" si="3"/>
        <v>0</v>
      </c>
      <c r="X251" s="53" t="s">
        <v>106</v>
      </c>
    </row>
    <row r="252" spans="1:25">
      <c r="A252" s="53">
        <v>1242</v>
      </c>
      <c r="B252" s="71" t="s">
        <v>820</v>
      </c>
      <c r="C252" s="45" t="s">
        <v>528</v>
      </c>
      <c r="D252" s="69" t="s">
        <v>837</v>
      </c>
      <c r="E252" s="45">
        <v>0</v>
      </c>
      <c r="F252" s="46">
        <v>98</v>
      </c>
      <c r="G252" s="47" t="s">
        <v>203</v>
      </c>
      <c r="I252" s="45" t="s">
        <v>535</v>
      </c>
      <c r="O252" s="45" t="s">
        <v>377</v>
      </c>
      <c r="P252" s="45" t="s">
        <v>406</v>
      </c>
      <c r="Q252" s="75">
        <f>VLOOKUP(B252,LOV!$B:$C,2,FALSE)</f>
        <v>160</v>
      </c>
      <c r="R252" s="75" t="str">
        <f>VLOOKUP(B252,LOV!$B:$D,3,FALSE)</f>
        <v>EE</v>
      </c>
      <c r="S252" s="75" t="str">
        <f>VLOOKUP($X252,LOV!$F:$L,2,FALSE)</f>
        <v>WK4</v>
      </c>
      <c r="T252" s="88">
        <f>VLOOKUP($X252,LOV!$F:$L,7,FALSE)</f>
        <v>45936</v>
      </c>
      <c r="V252" s="53">
        <v>0</v>
      </c>
      <c r="W252" s="65">
        <f t="shared" si="3"/>
        <v>0</v>
      </c>
      <c r="X252" s="53" t="s">
        <v>106</v>
      </c>
    </row>
    <row r="253" spans="1:25">
      <c r="A253" s="53">
        <v>1243</v>
      </c>
      <c r="B253" s="71" t="s">
        <v>820</v>
      </c>
      <c r="C253" s="45" t="s">
        <v>528</v>
      </c>
      <c r="D253" s="69" t="s">
        <v>838</v>
      </c>
      <c r="E253" s="45">
        <v>0</v>
      </c>
      <c r="F253" s="46">
        <v>98</v>
      </c>
      <c r="G253" s="47" t="s">
        <v>203</v>
      </c>
      <c r="I253" s="45" t="s">
        <v>535</v>
      </c>
      <c r="O253" s="45" t="s">
        <v>377</v>
      </c>
      <c r="P253" s="45" t="s">
        <v>406</v>
      </c>
      <c r="Q253" s="75">
        <f>VLOOKUP(B253,LOV!$B:$C,2,FALSE)</f>
        <v>160</v>
      </c>
      <c r="R253" s="75" t="str">
        <f>VLOOKUP(B253,LOV!$B:$D,3,FALSE)</f>
        <v>EE</v>
      </c>
      <c r="S253" s="75" t="str">
        <f>VLOOKUP($X253,LOV!$F:$L,2,FALSE)</f>
        <v>WK4</v>
      </c>
      <c r="T253" s="88">
        <f>VLOOKUP($X253,LOV!$F:$L,7,FALSE)</f>
        <v>45936</v>
      </c>
      <c r="V253" s="53">
        <v>0</v>
      </c>
      <c r="W253" s="65">
        <f t="shared" si="3"/>
        <v>0</v>
      </c>
      <c r="X253" s="53" t="s">
        <v>106</v>
      </c>
    </row>
    <row r="254" spans="1:25">
      <c r="A254" s="53">
        <v>1244</v>
      </c>
      <c r="B254" s="71" t="s">
        <v>820</v>
      </c>
      <c r="C254" s="45" t="s">
        <v>839</v>
      </c>
      <c r="D254" s="69" t="s">
        <v>840</v>
      </c>
      <c r="E254" s="45">
        <v>1</v>
      </c>
      <c r="F254" s="46" t="s">
        <v>841</v>
      </c>
      <c r="G254" s="47" t="s">
        <v>46</v>
      </c>
      <c r="I254" s="45" t="s">
        <v>535</v>
      </c>
      <c r="J254" s="45" t="s">
        <v>248</v>
      </c>
      <c r="O254" s="45" t="s">
        <v>377</v>
      </c>
      <c r="P254" s="45" t="s">
        <v>406</v>
      </c>
      <c r="Q254" s="75">
        <f>VLOOKUP(B254,LOV!$B:$C,2,FALSE)</f>
        <v>160</v>
      </c>
      <c r="R254" s="75" t="str">
        <f>VLOOKUP(B254,LOV!$B:$D,3,FALSE)</f>
        <v>EE</v>
      </c>
      <c r="S254" s="75" t="str">
        <f>VLOOKUP($X254,LOV!$F:$L,2,FALSE)</f>
        <v>WK4</v>
      </c>
      <c r="T254" s="88">
        <f>VLOOKUP($X254,LOV!$F:$L,7,FALSE)</f>
        <v>45936</v>
      </c>
      <c r="V254" s="53">
        <v>1</v>
      </c>
      <c r="W254" s="65">
        <f t="shared" si="3"/>
        <v>0.5</v>
      </c>
      <c r="X254" s="53" t="s">
        <v>106</v>
      </c>
    </row>
    <row r="255" spans="1:25">
      <c r="A255" s="53">
        <v>1245</v>
      </c>
      <c r="B255" s="71" t="s">
        <v>820</v>
      </c>
      <c r="C255" s="45" t="s">
        <v>839</v>
      </c>
      <c r="D255" s="69" t="s">
        <v>842</v>
      </c>
      <c r="E255" s="45">
        <v>1</v>
      </c>
      <c r="F255" s="46" t="s">
        <v>841</v>
      </c>
      <c r="G255" s="47" t="s">
        <v>46</v>
      </c>
      <c r="I255" s="45" t="s">
        <v>535</v>
      </c>
      <c r="J255" s="45" t="s">
        <v>248</v>
      </c>
      <c r="O255" s="45" t="s">
        <v>377</v>
      </c>
      <c r="P255" s="45" t="s">
        <v>406</v>
      </c>
      <c r="Q255" s="75">
        <f>VLOOKUP(B255,LOV!$B:$C,2,FALSE)</f>
        <v>160</v>
      </c>
      <c r="R255" s="75" t="str">
        <f>VLOOKUP(B255,LOV!$B:$D,3,FALSE)</f>
        <v>EE</v>
      </c>
      <c r="S255" s="75" t="str">
        <f>VLOOKUP($X255,LOV!$F:$L,2,FALSE)</f>
        <v>WK4</v>
      </c>
      <c r="T255" s="88">
        <f>VLOOKUP($X255,LOV!$F:$L,7,FALSE)</f>
        <v>45936</v>
      </c>
      <c r="V255" s="53">
        <v>1</v>
      </c>
      <c r="W255" s="65">
        <f t="shared" si="3"/>
        <v>0.5</v>
      </c>
      <c r="X255" s="53" t="s">
        <v>106</v>
      </c>
    </row>
    <row r="256" spans="1:25" ht="28.9">
      <c r="A256" s="53">
        <v>1246</v>
      </c>
      <c r="B256" s="71" t="s">
        <v>820</v>
      </c>
      <c r="C256" s="45" t="s">
        <v>839</v>
      </c>
      <c r="D256" s="69" t="s">
        <v>843</v>
      </c>
      <c r="E256" s="45">
        <v>1</v>
      </c>
      <c r="F256" s="46" t="s">
        <v>841</v>
      </c>
      <c r="G256" s="47" t="s">
        <v>844</v>
      </c>
      <c r="I256" s="45" t="s">
        <v>535</v>
      </c>
      <c r="J256" s="45" t="s">
        <v>248</v>
      </c>
      <c r="O256" s="45" t="s">
        <v>377</v>
      </c>
      <c r="P256" s="45" t="s">
        <v>406</v>
      </c>
      <c r="Q256" s="75">
        <f>VLOOKUP(B256,LOV!$B:$C,2,FALSE)</f>
        <v>160</v>
      </c>
      <c r="R256" s="75" t="str">
        <f>VLOOKUP(B256,LOV!$B:$D,3,FALSE)</f>
        <v>EE</v>
      </c>
      <c r="S256" s="75" t="str">
        <f>VLOOKUP($X256,LOV!$F:$L,2,FALSE)</f>
        <v>WK4</v>
      </c>
      <c r="T256" s="88">
        <f>VLOOKUP($X256,LOV!$F:$L,7,FALSE)</f>
        <v>45936</v>
      </c>
      <c r="V256" s="53">
        <v>1</v>
      </c>
      <c r="W256" s="65">
        <f t="shared" si="3"/>
        <v>0.5</v>
      </c>
      <c r="X256" s="53" t="s">
        <v>106</v>
      </c>
    </row>
    <row r="257" spans="1:24">
      <c r="A257" s="53">
        <v>1247</v>
      </c>
      <c r="B257" s="71" t="s">
        <v>820</v>
      </c>
      <c r="C257" s="45" t="s">
        <v>839</v>
      </c>
      <c r="D257" s="69" t="s">
        <v>845</v>
      </c>
      <c r="E257" s="45">
        <v>1</v>
      </c>
      <c r="F257" s="46" t="s">
        <v>841</v>
      </c>
      <c r="G257" s="47" t="s">
        <v>46</v>
      </c>
      <c r="I257" s="45" t="s">
        <v>535</v>
      </c>
      <c r="J257" s="45" t="s">
        <v>248</v>
      </c>
      <c r="O257" s="45" t="s">
        <v>377</v>
      </c>
      <c r="P257" s="45" t="s">
        <v>406</v>
      </c>
      <c r="Q257" s="75">
        <f>VLOOKUP(B257,LOV!$B:$C,2,FALSE)</f>
        <v>160</v>
      </c>
      <c r="R257" s="75" t="str">
        <f>VLOOKUP(B257,LOV!$B:$D,3,FALSE)</f>
        <v>EE</v>
      </c>
      <c r="S257" s="75" t="str">
        <f>VLOOKUP($X257,LOV!$F:$L,2,FALSE)</f>
        <v>WK4</v>
      </c>
      <c r="T257" s="88">
        <f>VLOOKUP($X257,LOV!$F:$L,7,FALSE)</f>
        <v>45936</v>
      </c>
      <c r="V257" s="53">
        <v>1</v>
      </c>
      <c r="W257" s="65">
        <f t="shared" si="3"/>
        <v>0.5</v>
      </c>
      <c r="X257" s="53" t="s">
        <v>106</v>
      </c>
    </row>
    <row r="258" spans="1:24">
      <c r="A258" s="53">
        <v>1248</v>
      </c>
      <c r="B258" s="71" t="s">
        <v>820</v>
      </c>
      <c r="C258" s="45" t="s">
        <v>839</v>
      </c>
      <c r="D258" s="69" t="s">
        <v>846</v>
      </c>
      <c r="E258" s="45">
        <v>1</v>
      </c>
      <c r="F258" s="46" t="s">
        <v>841</v>
      </c>
      <c r="G258" s="47" t="s">
        <v>46</v>
      </c>
      <c r="I258" s="45" t="s">
        <v>535</v>
      </c>
      <c r="J258" s="45" t="s">
        <v>248</v>
      </c>
      <c r="O258" s="45" t="s">
        <v>377</v>
      </c>
      <c r="P258" s="45" t="s">
        <v>406</v>
      </c>
      <c r="Q258" s="75">
        <f>VLOOKUP(B258,LOV!$B:$C,2,FALSE)</f>
        <v>160</v>
      </c>
      <c r="R258" s="75" t="str">
        <f>VLOOKUP(B258,LOV!$B:$D,3,FALSE)</f>
        <v>EE</v>
      </c>
      <c r="S258" s="75" t="str">
        <f>VLOOKUP($X258,LOV!$F:$L,2,FALSE)</f>
        <v>WK4</v>
      </c>
      <c r="T258" s="88">
        <f>VLOOKUP($X258,LOV!$F:$L,7,FALSE)</f>
        <v>45936</v>
      </c>
      <c r="V258" s="53">
        <v>1</v>
      </c>
      <c r="W258" s="65">
        <f t="shared" si="3"/>
        <v>0.5</v>
      </c>
      <c r="X258" s="53" t="s">
        <v>106</v>
      </c>
    </row>
    <row r="259" spans="1:24">
      <c r="A259" s="53">
        <v>1249</v>
      </c>
      <c r="B259" s="71" t="s">
        <v>820</v>
      </c>
      <c r="C259" s="45" t="s">
        <v>839</v>
      </c>
      <c r="D259" s="69" t="s">
        <v>847</v>
      </c>
      <c r="E259" s="45">
        <v>1</v>
      </c>
      <c r="F259" s="46" t="s">
        <v>841</v>
      </c>
      <c r="G259" s="47" t="s">
        <v>46</v>
      </c>
      <c r="I259" s="45" t="s">
        <v>535</v>
      </c>
      <c r="J259" s="45" t="s">
        <v>248</v>
      </c>
      <c r="O259" s="45" t="s">
        <v>377</v>
      </c>
      <c r="P259" s="45" t="s">
        <v>406</v>
      </c>
      <c r="Q259" s="75">
        <f>VLOOKUP(B259,LOV!$B:$C,2,FALSE)</f>
        <v>160</v>
      </c>
      <c r="R259" s="75" t="str">
        <f>VLOOKUP(B259,LOV!$B:$D,3,FALSE)</f>
        <v>EE</v>
      </c>
      <c r="S259" s="75" t="str">
        <f>VLOOKUP($X259,LOV!$F:$L,2,FALSE)</f>
        <v>WK4</v>
      </c>
      <c r="T259" s="88">
        <f>VLOOKUP($X259,LOV!$F:$L,7,FALSE)</f>
        <v>45936</v>
      </c>
      <c r="V259" s="53">
        <v>1</v>
      </c>
      <c r="W259" s="65">
        <f t="shared" si="3"/>
        <v>0.5</v>
      </c>
      <c r="X259" s="53" t="s">
        <v>106</v>
      </c>
    </row>
    <row r="260" spans="1:24">
      <c r="A260" s="53">
        <v>1250</v>
      </c>
      <c r="B260" s="71" t="s">
        <v>820</v>
      </c>
      <c r="C260" s="45" t="s">
        <v>839</v>
      </c>
      <c r="D260" s="69" t="s">
        <v>848</v>
      </c>
      <c r="E260" s="45">
        <v>1</v>
      </c>
      <c r="F260" s="46" t="s">
        <v>841</v>
      </c>
      <c r="G260" s="47" t="s">
        <v>242</v>
      </c>
      <c r="I260" s="45" t="s">
        <v>535</v>
      </c>
      <c r="J260" s="45" t="s">
        <v>248</v>
      </c>
      <c r="O260" s="45" t="s">
        <v>377</v>
      </c>
      <c r="P260" s="45" t="s">
        <v>406</v>
      </c>
      <c r="Q260" s="75">
        <f>VLOOKUP(B260,LOV!$B:$C,2,FALSE)</f>
        <v>160</v>
      </c>
      <c r="R260" s="75" t="str">
        <f>VLOOKUP(B260,LOV!$B:$D,3,FALSE)</f>
        <v>EE</v>
      </c>
      <c r="S260" s="75" t="str">
        <f>VLOOKUP($X260,LOV!$F:$L,2,FALSE)</f>
        <v>WK4</v>
      </c>
      <c r="T260" s="88">
        <f>VLOOKUP($X260,LOV!$F:$L,7,FALSE)</f>
        <v>45936</v>
      </c>
      <c r="V260" s="53">
        <v>1</v>
      </c>
      <c r="W260" s="65">
        <f t="shared" ref="W260:W315" si="4">IF(ISNUMBER(V260),HLOOKUP(V260,$V$1:$AA$2,2,FALSE)*E260,"")</f>
        <v>0.5</v>
      </c>
      <c r="X260" s="53" t="s">
        <v>106</v>
      </c>
    </row>
    <row r="261" spans="1:24">
      <c r="A261" s="53">
        <v>1251</v>
      </c>
      <c r="B261" s="71" t="s">
        <v>820</v>
      </c>
      <c r="C261" s="45" t="s">
        <v>839</v>
      </c>
      <c r="D261" s="69" t="s">
        <v>849</v>
      </c>
      <c r="E261" s="45">
        <v>1</v>
      </c>
      <c r="F261" s="46" t="s">
        <v>841</v>
      </c>
      <c r="G261" s="47" t="s">
        <v>242</v>
      </c>
      <c r="I261" s="45" t="s">
        <v>535</v>
      </c>
      <c r="J261" s="45" t="s">
        <v>248</v>
      </c>
      <c r="O261" s="45" t="s">
        <v>377</v>
      </c>
      <c r="P261" s="45" t="s">
        <v>406</v>
      </c>
      <c r="Q261" s="75">
        <f>VLOOKUP(B261,LOV!$B:$C,2,FALSE)</f>
        <v>160</v>
      </c>
      <c r="R261" s="75" t="str">
        <f>VLOOKUP(B261,LOV!$B:$D,3,FALSE)</f>
        <v>EE</v>
      </c>
      <c r="S261" s="75" t="str">
        <f>VLOOKUP($X261,LOV!$F:$L,2,FALSE)</f>
        <v>WK4</v>
      </c>
      <c r="T261" s="88">
        <f>VLOOKUP($X261,LOV!$F:$L,7,FALSE)</f>
        <v>45936</v>
      </c>
      <c r="V261" s="53">
        <v>1</v>
      </c>
      <c r="W261" s="65">
        <f t="shared" si="4"/>
        <v>0.5</v>
      </c>
      <c r="X261" s="53" t="s">
        <v>106</v>
      </c>
    </row>
    <row r="262" spans="1:24">
      <c r="A262" s="53">
        <v>1252</v>
      </c>
      <c r="B262" s="71" t="s">
        <v>820</v>
      </c>
      <c r="C262" s="45" t="s">
        <v>850</v>
      </c>
      <c r="D262" s="69" t="s">
        <v>851</v>
      </c>
      <c r="E262" s="45">
        <v>1</v>
      </c>
      <c r="F262" s="46">
        <v>99</v>
      </c>
      <c r="G262" s="47" t="s">
        <v>46</v>
      </c>
      <c r="I262" s="45" t="s">
        <v>535</v>
      </c>
      <c r="O262" s="45" t="s">
        <v>377</v>
      </c>
      <c r="P262" s="45" t="s">
        <v>406</v>
      </c>
      <c r="Q262" s="75">
        <f>VLOOKUP(B262,LOV!$B:$C,2,FALSE)</f>
        <v>160</v>
      </c>
      <c r="R262" s="75" t="str">
        <f>VLOOKUP(B262,LOV!$B:$D,3,FALSE)</f>
        <v>EE</v>
      </c>
      <c r="S262" s="75" t="str">
        <f>VLOOKUP($X262,LOV!$F:$L,2,FALSE)</f>
        <v>WK4</v>
      </c>
      <c r="T262" s="88">
        <f>VLOOKUP($X262,LOV!$F:$L,7,FALSE)</f>
        <v>45936</v>
      </c>
      <c r="V262" s="53">
        <v>1</v>
      </c>
      <c r="W262" s="65">
        <f t="shared" si="4"/>
        <v>0.5</v>
      </c>
      <c r="X262" s="53" t="s">
        <v>106</v>
      </c>
    </row>
    <row r="263" spans="1:24">
      <c r="A263" s="53">
        <v>1253</v>
      </c>
      <c r="B263" s="71" t="s">
        <v>820</v>
      </c>
      <c r="C263" s="45" t="s">
        <v>850</v>
      </c>
      <c r="D263" s="69" t="s">
        <v>852</v>
      </c>
      <c r="E263" s="45">
        <v>1</v>
      </c>
      <c r="F263" s="46">
        <v>99</v>
      </c>
      <c r="G263" s="47" t="s">
        <v>46</v>
      </c>
      <c r="I263" s="45" t="s">
        <v>535</v>
      </c>
      <c r="O263" s="45" t="s">
        <v>377</v>
      </c>
      <c r="P263" s="45" t="s">
        <v>406</v>
      </c>
      <c r="Q263" s="75">
        <f>VLOOKUP(B263,LOV!$B:$C,2,FALSE)</f>
        <v>160</v>
      </c>
      <c r="R263" s="75" t="str">
        <f>VLOOKUP(B263,LOV!$B:$D,3,FALSE)</f>
        <v>EE</v>
      </c>
      <c r="S263" s="75" t="str">
        <f>VLOOKUP($X263,LOV!$F:$L,2,FALSE)</f>
        <v>WK4</v>
      </c>
      <c r="T263" s="88">
        <f>VLOOKUP($X263,LOV!$F:$L,7,FALSE)</f>
        <v>45936</v>
      </c>
      <c r="V263" s="53">
        <v>1</v>
      </c>
      <c r="W263" s="65">
        <f t="shared" si="4"/>
        <v>0.5</v>
      </c>
      <c r="X263" s="53" t="s">
        <v>106</v>
      </c>
    </row>
    <row r="264" spans="1:24" ht="28.9">
      <c r="A264" s="53">
        <v>1254</v>
      </c>
      <c r="B264" s="71" t="s">
        <v>583</v>
      </c>
      <c r="C264" s="45" t="s">
        <v>853</v>
      </c>
      <c r="D264" s="69" t="s">
        <v>854</v>
      </c>
      <c r="E264" s="45">
        <v>1</v>
      </c>
      <c r="F264" s="46">
        <v>105</v>
      </c>
      <c r="G264" s="47" t="s">
        <v>855</v>
      </c>
      <c r="I264" s="45" t="s">
        <v>583</v>
      </c>
      <c r="O264" s="45" t="s">
        <v>377</v>
      </c>
      <c r="P264" s="45" t="s">
        <v>406</v>
      </c>
      <c r="Q264" s="75">
        <f>VLOOKUP(B264,LOV!$B:$C,2,FALSE)</f>
        <v>170</v>
      </c>
      <c r="R264" s="75" t="str">
        <f>VLOOKUP(B264,LOV!$B:$D,3,FALSE)</f>
        <v>FF</v>
      </c>
      <c r="S264" s="75" t="str">
        <f>VLOOKUP($X264,LOV!$F:$L,2,FALSE)</f>
        <v>WK5</v>
      </c>
      <c r="T264" s="88">
        <f>VLOOKUP($X264,LOV!$F:$L,7,FALSE)</f>
        <v>45943</v>
      </c>
      <c r="V264" s="53">
        <v>1</v>
      </c>
      <c r="W264" s="65">
        <f t="shared" si="4"/>
        <v>0.5</v>
      </c>
      <c r="X264" s="53" t="s">
        <v>407</v>
      </c>
    </row>
    <row r="265" spans="1:24">
      <c r="A265" s="53">
        <v>1255</v>
      </c>
      <c r="B265" s="71" t="s">
        <v>583</v>
      </c>
      <c r="C265" s="45" t="s">
        <v>853</v>
      </c>
      <c r="D265" s="69" t="s">
        <v>856</v>
      </c>
      <c r="E265" s="45">
        <v>1</v>
      </c>
      <c r="F265" s="46">
        <v>105</v>
      </c>
      <c r="G265" s="47" t="s">
        <v>46</v>
      </c>
      <c r="I265" s="45" t="s">
        <v>583</v>
      </c>
      <c r="L265" s="100" t="s">
        <v>756</v>
      </c>
      <c r="O265" s="45" t="s">
        <v>377</v>
      </c>
      <c r="P265" s="45" t="s">
        <v>406</v>
      </c>
      <c r="Q265" s="75">
        <f>VLOOKUP(B265,LOV!$B:$C,2,FALSE)</f>
        <v>170</v>
      </c>
      <c r="R265" s="75" t="str">
        <f>VLOOKUP(B265,LOV!$B:$D,3,FALSE)</f>
        <v>FF</v>
      </c>
      <c r="S265" s="75" t="str">
        <f>VLOOKUP($X265,LOV!$F:$L,2,FALSE)</f>
        <v>WK5</v>
      </c>
      <c r="T265" s="88">
        <f>VLOOKUP($X265,LOV!$F:$L,7,FALSE)</f>
        <v>45943</v>
      </c>
      <c r="V265" s="53">
        <v>1</v>
      </c>
      <c r="W265" s="65">
        <f t="shared" si="4"/>
        <v>0.5</v>
      </c>
      <c r="X265" s="53" t="s">
        <v>407</v>
      </c>
    </row>
    <row r="266" spans="1:24">
      <c r="A266" s="53">
        <v>1256</v>
      </c>
      <c r="B266" s="71" t="s">
        <v>857</v>
      </c>
      <c r="C266" s="45" t="s">
        <v>858</v>
      </c>
      <c r="D266" s="69" t="s">
        <v>859</v>
      </c>
      <c r="E266" s="45">
        <v>1</v>
      </c>
      <c r="F266" s="46">
        <v>107</v>
      </c>
      <c r="G266" s="47" t="s">
        <v>46</v>
      </c>
      <c r="I266" s="45" t="s">
        <v>390</v>
      </c>
      <c r="O266" s="45" t="s">
        <v>377</v>
      </c>
      <c r="P266" s="45" t="s">
        <v>406</v>
      </c>
      <c r="Q266" s="75">
        <f>VLOOKUP(B266,LOV!$B:$C,2,FALSE)</f>
        <v>180</v>
      </c>
      <c r="R266" s="75" t="str">
        <f>VLOOKUP(B266,LOV!$B:$D,3,FALSE)</f>
        <v>FF</v>
      </c>
      <c r="S266" s="75" t="str">
        <f>VLOOKUP($X266,LOV!$F:$L,2,FALSE)</f>
        <v>WK5</v>
      </c>
      <c r="T266" s="88">
        <f>VLOOKUP($X266,LOV!$F:$L,7,FALSE)</f>
        <v>45943</v>
      </c>
      <c r="V266" s="53">
        <v>1</v>
      </c>
      <c r="W266" s="65">
        <f t="shared" si="4"/>
        <v>0.5</v>
      </c>
      <c r="X266" s="53" t="s">
        <v>407</v>
      </c>
    </row>
    <row r="267" spans="1:24">
      <c r="A267" s="53">
        <v>1257</v>
      </c>
      <c r="B267" s="71" t="s">
        <v>860</v>
      </c>
      <c r="C267" s="45" t="s">
        <v>398</v>
      </c>
      <c r="D267" s="69" t="s">
        <v>861</v>
      </c>
      <c r="E267" s="45">
        <v>1</v>
      </c>
      <c r="F267" s="46">
        <v>110</v>
      </c>
      <c r="G267" s="47" t="s">
        <v>46</v>
      </c>
      <c r="I267" s="45" t="s">
        <v>385</v>
      </c>
      <c r="O267" s="45" t="s">
        <v>377</v>
      </c>
      <c r="P267" s="45" t="s">
        <v>406</v>
      </c>
      <c r="Q267" s="75">
        <f>VLOOKUP(B267,LOV!$B:$C,2,FALSE)</f>
        <v>190</v>
      </c>
      <c r="R267" s="75" t="str">
        <f>VLOOKUP(B267,LOV!$B:$D,3,FALSE)</f>
        <v>FF</v>
      </c>
      <c r="S267" s="75" t="str">
        <f>VLOOKUP($X267,LOV!$F:$L,2,FALSE)</f>
        <v>WK5</v>
      </c>
      <c r="T267" s="88">
        <f>VLOOKUP($X267,LOV!$F:$L,7,FALSE)</f>
        <v>45943</v>
      </c>
      <c r="V267" s="53">
        <v>1</v>
      </c>
      <c r="W267" s="65">
        <f t="shared" si="4"/>
        <v>0.5</v>
      </c>
      <c r="X267" s="53" t="s">
        <v>407</v>
      </c>
    </row>
    <row r="268" spans="1:24">
      <c r="A268" s="53">
        <v>1258</v>
      </c>
      <c r="B268" s="71" t="s">
        <v>862</v>
      </c>
      <c r="C268" s="45" t="s">
        <v>863</v>
      </c>
      <c r="D268" s="69" t="s">
        <v>864</v>
      </c>
      <c r="E268" s="45">
        <v>1</v>
      </c>
      <c r="F268" s="46" t="s">
        <v>865</v>
      </c>
      <c r="G268" s="47" t="s">
        <v>217</v>
      </c>
      <c r="I268" s="45" t="s">
        <v>218</v>
      </c>
      <c r="L268" s="47" t="s">
        <v>866</v>
      </c>
      <c r="O268" s="45" t="s">
        <v>377</v>
      </c>
      <c r="P268" s="45" t="s">
        <v>378</v>
      </c>
      <c r="Q268" s="75">
        <f>VLOOKUP(B268,LOV!$B:$C,2,FALSE)</f>
        <v>200</v>
      </c>
      <c r="R268" s="75" t="str">
        <f>VLOOKUP(B268,LOV!$B:$D,3,FALSE)</f>
        <v>DD</v>
      </c>
      <c r="S268" s="75" t="str">
        <f>VLOOKUP($X268,LOV!$F:$L,2,FALSE)</f>
        <v>WK3</v>
      </c>
      <c r="T268" s="88">
        <f>VLOOKUP($X268,LOV!$F:$L,7,FALSE)</f>
        <v>45929</v>
      </c>
      <c r="V268" s="53">
        <v>1</v>
      </c>
      <c r="W268" s="65">
        <f t="shared" si="4"/>
        <v>0.5</v>
      </c>
      <c r="X268" s="53" t="s">
        <v>379</v>
      </c>
    </row>
    <row r="269" spans="1:24">
      <c r="A269" s="53">
        <v>1259</v>
      </c>
      <c r="B269" s="71" t="s">
        <v>862</v>
      </c>
      <c r="C269" s="45" t="s">
        <v>863</v>
      </c>
      <c r="D269" s="69" t="s">
        <v>867</v>
      </c>
      <c r="E269" s="45">
        <v>1</v>
      </c>
      <c r="F269" s="46" t="s">
        <v>865</v>
      </c>
      <c r="G269" s="47" t="s">
        <v>46</v>
      </c>
      <c r="I269" s="45" t="s">
        <v>218</v>
      </c>
      <c r="L269" s="47" t="s">
        <v>868</v>
      </c>
      <c r="O269" s="45" t="s">
        <v>377</v>
      </c>
      <c r="P269" s="45" t="s">
        <v>378</v>
      </c>
      <c r="Q269" s="75">
        <f>VLOOKUP(B269,LOV!$B:$C,2,FALSE)</f>
        <v>200</v>
      </c>
      <c r="R269" s="75" t="str">
        <f>VLOOKUP(B269,LOV!$B:$D,3,FALSE)</f>
        <v>DD</v>
      </c>
      <c r="S269" s="75" t="str">
        <f>VLOOKUP($X269,LOV!$F:$L,2,FALSE)</f>
        <v>WK3</v>
      </c>
      <c r="T269" s="88">
        <f>VLOOKUP($X269,LOV!$F:$L,7,FALSE)</f>
        <v>45929</v>
      </c>
      <c r="V269" s="53">
        <v>1</v>
      </c>
      <c r="W269" s="65">
        <f t="shared" si="4"/>
        <v>0.5</v>
      </c>
      <c r="X269" s="53" t="s">
        <v>379</v>
      </c>
    </row>
    <row r="270" spans="1:24">
      <c r="A270" s="53">
        <v>1260</v>
      </c>
      <c r="B270" s="71" t="s">
        <v>869</v>
      </c>
      <c r="C270" s="45" t="s">
        <v>870</v>
      </c>
      <c r="D270" s="69" t="s">
        <v>871</v>
      </c>
      <c r="E270" s="45">
        <v>1</v>
      </c>
      <c r="F270" s="46">
        <v>114</v>
      </c>
      <c r="G270" s="47" t="s">
        <v>46</v>
      </c>
      <c r="I270" s="45" t="s">
        <v>248</v>
      </c>
      <c r="O270" s="45" t="s">
        <v>377</v>
      </c>
      <c r="P270" s="45" t="s">
        <v>406</v>
      </c>
      <c r="Q270" s="75">
        <f>VLOOKUP(B270,LOV!$B:$C,2,FALSE)</f>
        <v>210</v>
      </c>
      <c r="R270" s="75" t="str">
        <f>VLOOKUP(B270,LOV!$B:$D,3,FALSE)</f>
        <v>HH</v>
      </c>
      <c r="S270" s="75" t="str">
        <f>VLOOKUP($X270,LOV!$F:$L,2,FALSE)</f>
        <v>WK5</v>
      </c>
      <c r="T270" s="88">
        <f>VLOOKUP($X270,LOV!$F:$L,7,FALSE)</f>
        <v>45943</v>
      </c>
      <c r="V270" s="53">
        <v>1</v>
      </c>
      <c r="W270" s="65">
        <f t="shared" si="4"/>
        <v>0.5</v>
      </c>
      <c r="X270" s="53" t="s">
        <v>407</v>
      </c>
    </row>
    <row r="271" spans="1:24">
      <c r="A271" s="53">
        <v>1261</v>
      </c>
      <c r="B271" s="71" t="s">
        <v>869</v>
      </c>
      <c r="C271" s="45" t="s">
        <v>870</v>
      </c>
      <c r="D271" s="69" t="s">
        <v>872</v>
      </c>
      <c r="E271" s="45">
        <v>1</v>
      </c>
      <c r="F271" s="46">
        <v>114</v>
      </c>
      <c r="G271" s="47" t="s">
        <v>46</v>
      </c>
      <c r="I271" s="45" t="s">
        <v>248</v>
      </c>
      <c r="O271" s="45" t="s">
        <v>377</v>
      </c>
      <c r="P271" s="45" t="s">
        <v>406</v>
      </c>
      <c r="Q271" s="75">
        <f>VLOOKUP(B271,LOV!$B:$C,2,FALSE)</f>
        <v>210</v>
      </c>
      <c r="R271" s="75" t="str">
        <f>VLOOKUP(B271,LOV!$B:$D,3,FALSE)</f>
        <v>HH</v>
      </c>
      <c r="S271" s="75" t="str">
        <f>VLOOKUP($X271,LOV!$F:$L,2,FALSE)</f>
        <v>WK5</v>
      </c>
      <c r="T271" s="88">
        <f>VLOOKUP($X271,LOV!$F:$L,7,FALSE)</f>
        <v>45943</v>
      </c>
      <c r="V271" s="53">
        <v>1</v>
      </c>
      <c r="W271" s="65">
        <f t="shared" si="4"/>
        <v>0.5</v>
      </c>
      <c r="X271" s="53" t="s">
        <v>407</v>
      </c>
    </row>
    <row r="272" spans="1:24" ht="43.15">
      <c r="A272" s="53">
        <v>1262</v>
      </c>
      <c r="B272" s="71" t="s">
        <v>869</v>
      </c>
      <c r="C272" s="45" t="s">
        <v>873</v>
      </c>
      <c r="D272" s="69" t="s">
        <v>874</v>
      </c>
      <c r="E272" s="45">
        <v>1</v>
      </c>
      <c r="F272" s="46">
        <v>114</v>
      </c>
      <c r="G272" s="47" t="s">
        <v>875</v>
      </c>
      <c r="I272" s="45" t="s">
        <v>248</v>
      </c>
      <c r="O272" s="45" t="s">
        <v>377</v>
      </c>
      <c r="P272" s="45" t="s">
        <v>406</v>
      </c>
      <c r="Q272" s="75">
        <f>VLOOKUP(B272,LOV!$B:$C,2,FALSE)</f>
        <v>210</v>
      </c>
      <c r="R272" s="75" t="str">
        <f>VLOOKUP(B272,LOV!$B:$D,3,FALSE)</f>
        <v>HH</v>
      </c>
      <c r="S272" s="75" t="str">
        <f>VLOOKUP($X272,LOV!$F:$L,2,FALSE)</f>
        <v>WK5</v>
      </c>
      <c r="T272" s="88">
        <f>VLOOKUP($X272,LOV!$F:$L,7,FALSE)</f>
        <v>45943</v>
      </c>
      <c r="V272" s="53">
        <v>1</v>
      </c>
      <c r="W272" s="65">
        <f t="shared" si="4"/>
        <v>0.5</v>
      </c>
      <c r="X272" s="53" t="s">
        <v>407</v>
      </c>
    </row>
    <row r="273" spans="1:24">
      <c r="A273" s="53">
        <v>1263</v>
      </c>
      <c r="B273" s="71" t="s">
        <v>869</v>
      </c>
      <c r="C273" s="45" t="s">
        <v>876</v>
      </c>
      <c r="D273" s="69" t="s">
        <v>877</v>
      </c>
      <c r="E273" s="45">
        <v>0</v>
      </c>
      <c r="F273" s="46">
        <v>115</v>
      </c>
      <c r="G273" s="47" t="s">
        <v>203</v>
      </c>
      <c r="I273" s="45" t="s">
        <v>248</v>
      </c>
      <c r="O273" s="45" t="s">
        <v>377</v>
      </c>
      <c r="P273" s="45" t="s">
        <v>406</v>
      </c>
      <c r="Q273" s="75">
        <f>VLOOKUP(B273,LOV!$B:$C,2,FALSE)</f>
        <v>210</v>
      </c>
      <c r="R273" s="75" t="str">
        <f>VLOOKUP(B273,LOV!$B:$D,3,FALSE)</f>
        <v>HH</v>
      </c>
      <c r="S273" s="75" t="str">
        <f>VLOOKUP($X273,LOV!$F:$L,2,FALSE)</f>
        <v>WK5</v>
      </c>
      <c r="T273" s="88">
        <f>VLOOKUP($X273,LOV!$F:$L,7,FALSE)</f>
        <v>45943</v>
      </c>
      <c r="V273" s="53">
        <v>0</v>
      </c>
      <c r="W273" s="65">
        <f t="shared" si="4"/>
        <v>0</v>
      </c>
      <c r="X273" s="53" t="s">
        <v>407</v>
      </c>
    </row>
    <row r="274" spans="1:24">
      <c r="A274" s="53">
        <v>1264</v>
      </c>
      <c r="B274" s="71" t="s">
        <v>869</v>
      </c>
      <c r="C274" s="45" t="s">
        <v>876</v>
      </c>
      <c r="D274" s="69" t="s">
        <v>878</v>
      </c>
      <c r="E274" s="45">
        <v>0</v>
      </c>
      <c r="F274" s="46">
        <v>115</v>
      </c>
      <c r="G274" s="47" t="s">
        <v>203</v>
      </c>
      <c r="I274" s="45" t="s">
        <v>248</v>
      </c>
      <c r="O274" s="45" t="s">
        <v>377</v>
      </c>
      <c r="P274" s="45" t="s">
        <v>406</v>
      </c>
      <c r="Q274" s="75">
        <f>VLOOKUP(B274,LOV!$B:$C,2,FALSE)</f>
        <v>210</v>
      </c>
      <c r="R274" s="75" t="str">
        <f>VLOOKUP(B274,LOV!$B:$D,3,FALSE)</f>
        <v>HH</v>
      </c>
      <c r="S274" s="75" t="str">
        <f>VLOOKUP($X274,LOV!$F:$L,2,FALSE)</f>
        <v>WK5</v>
      </c>
      <c r="T274" s="88">
        <f>VLOOKUP($X274,LOV!$F:$L,7,FALSE)</f>
        <v>45943</v>
      </c>
      <c r="V274" s="53">
        <v>0</v>
      </c>
      <c r="W274" s="65">
        <f t="shared" si="4"/>
        <v>0</v>
      </c>
      <c r="X274" s="53" t="s">
        <v>407</v>
      </c>
    </row>
    <row r="275" spans="1:24">
      <c r="A275" s="53">
        <v>1265</v>
      </c>
      <c r="B275" s="71" t="s">
        <v>869</v>
      </c>
      <c r="C275" s="45" t="s">
        <v>876</v>
      </c>
      <c r="D275" s="69" t="s">
        <v>879</v>
      </c>
      <c r="E275" s="45">
        <v>0</v>
      </c>
      <c r="F275" s="46">
        <v>115</v>
      </c>
      <c r="G275" s="47" t="s">
        <v>203</v>
      </c>
      <c r="I275" s="45" t="s">
        <v>248</v>
      </c>
      <c r="O275" s="45" t="s">
        <v>377</v>
      </c>
      <c r="P275" s="45" t="s">
        <v>406</v>
      </c>
      <c r="Q275" s="75">
        <f>VLOOKUP(B275,LOV!$B:$C,2,FALSE)</f>
        <v>210</v>
      </c>
      <c r="R275" s="75" t="str">
        <f>VLOOKUP(B275,LOV!$B:$D,3,FALSE)</f>
        <v>HH</v>
      </c>
      <c r="S275" s="75" t="str">
        <f>VLOOKUP($X275,LOV!$F:$L,2,FALSE)</f>
        <v>WK5</v>
      </c>
      <c r="T275" s="88">
        <f>VLOOKUP($X275,LOV!$F:$L,7,FALSE)</f>
        <v>45943</v>
      </c>
      <c r="V275" s="53">
        <v>0</v>
      </c>
      <c r="W275" s="65">
        <f t="shared" si="4"/>
        <v>0</v>
      </c>
      <c r="X275" s="53" t="s">
        <v>407</v>
      </c>
    </row>
    <row r="276" spans="1:24" ht="43.15">
      <c r="A276" s="53">
        <v>1266</v>
      </c>
      <c r="B276" s="71" t="s">
        <v>869</v>
      </c>
      <c r="C276" s="45" t="s">
        <v>876</v>
      </c>
      <c r="D276" s="69" t="s">
        <v>880</v>
      </c>
      <c r="E276" s="45">
        <v>1</v>
      </c>
      <c r="F276" s="46">
        <v>115</v>
      </c>
      <c r="G276" s="47" t="s">
        <v>46</v>
      </c>
      <c r="I276" s="45" t="s">
        <v>248</v>
      </c>
      <c r="M276" s="47" t="s">
        <v>881</v>
      </c>
      <c r="O276" s="45" t="s">
        <v>377</v>
      </c>
      <c r="P276" s="45" t="s">
        <v>406</v>
      </c>
      <c r="Q276" s="75">
        <f>VLOOKUP(B276,LOV!$B:$C,2,FALSE)</f>
        <v>210</v>
      </c>
      <c r="R276" s="75" t="str">
        <f>VLOOKUP(B276,LOV!$B:$D,3,FALSE)</f>
        <v>HH</v>
      </c>
      <c r="S276" s="75" t="str">
        <f>VLOOKUP($X276,LOV!$F:$L,2,FALSE)</f>
        <v>WK5</v>
      </c>
      <c r="T276" s="88">
        <f>VLOOKUP($X276,LOV!$F:$L,7,FALSE)</f>
        <v>45943</v>
      </c>
      <c r="V276" s="53">
        <v>1</v>
      </c>
      <c r="W276" s="65">
        <f t="shared" si="4"/>
        <v>0.5</v>
      </c>
      <c r="X276" s="53" t="s">
        <v>407</v>
      </c>
    </row>
    <row r="277" spans="1:24">
      <c r="A277" s="77">
        <v>1311</v>
      </c>
      <c r="B277" s="79" t="s">
        <v>869</v>
      </c>
      <c r="C277" s="79" t="s">
        <v>876</v>
      </c>
      <c r="D277" s="80" t="s">
        <v>882</v>
      </c>
      <c r="E277" s="45">
        <v>1</v>
      </c>
      <c r="F277" s="46">
        <v>0</v>
      </c>
      <c r="G277" s="47" t="s">
        <v>203</v>
      </c>
      <c r="I277" s="45" t="s">
        <v>248</v>
      </c>
      <c r="O277" s="45" t="s">
        <v>377</v>
      </c>
      <c r="P277" s="45" t="s">
        <v>406</v>
      </c>
      <c r="Q277" s="75">
        <f>VLOOKUP(B277,LOV!$B:$C,2,FALSE)</f>
        <v>210</v>
      </c>
      <c r="R277" s="75" t="str">
        <f>VLOOKUP(B277,LOV!$B:$D,3,FALSE)</f>
        <v>HH</v>
      </c>
      <c r="S277" s="75" t="str">
        <f>VLOOKUP($X277,LOV!$F:$L,2,FALSE)</f>
        <v>WK5</v>
      </c>
      <c r="T277" s="88">
        <f>VLOOKUP($X277,LOV!$F:$L,7,FALSE)</f>
        <v>45943</v>
      </c>
      <c r="V277" s="53">
        <v>0</v>
      </c>
      <c r="W277" s="65">
        <f t="shared" si="4"/>
        <v>0</v>
      </c>
      <c r="X277" s="53" t="s">
        <v>407</v>
      </c>
    </row>
    <row r="278" spans="1:24">
      <c r="A278" s="77">
        <v>1312</v>
      </c>
      <c r="B278" s="79" t="s">
        <v>869</v>
      </c>
      <c r="C278" s="79" t="s">
        <v>876</v>
      </c>
      <c r="D278" s="80" t="s">
        <v>883</v>
      </c>
      <c r="E278" s="45">
        <v>1</v>
      </c>
      <c r="F278" s="46">
        <v>0</v>
      </c>
      <c r="G278" s="47" t="s">
        <v>203</v>
      </c>
      <c r="I278" s="45" t="s">
        <v>248</v>
      </c>
      <c r="O278" s="45" t="s">
        <v>377</v>
      </c>
      <c r="P278" s="45" t="s">
        <v>406</v>
      </c>
      <c r="Q278" s="75">
        <f>VLOOKUP(B278,LOV!$B:$C,2,FALSE)</f>
        <v>210</v>
      </c>
      <c r="R278" s="75" t="str">
        <f>VLOOKUP(B278,LOV!$B:$D,3,FALSE)</f>
        <v>HH</v>
      </c>
      <c r="S278" s="75" t="str">
        <f>VLOOKUP($X278,LOV!$F:$L,2,FALSE)</f>
        <v>WK5</v>
      </c>
      <c r="T278" s="88">
        <f>VLOOKUP($X278,LOV!$F:$L,7,FALSE)</f>
        <v>45943</v>
      </c>
      <c r="V278" s="53">
        <v>0</v>
      </c>
      <c r="W278" s="65">
        <f t="shared" si="4"/>
        <v>0</v>
      </c>
      <c r="X278" s="53" t="s">
        <v>407</v>
      </c>
    </row>
    <row r="279" spans="1:24">
      <c r="A279" s="53">
        <v>1267</v>
      </c>
      <c r="B279" s="71" t="s">
        <v>869</v>
      </c>
      <c r="C279" s="45" t="s">
        <v>884</v>
      </c>
      <c r="D279" s="69" t="s">
        <v>885</v>
      </c>
      <c r="E279" s="45">
        <v>1</v>
      </c>
      <c r="F279" s="46">
        <v>118</v>
      </c>
      <c r="G279" s="47" t="s">
        <v>816</v>
      </c>
      <c r="I279" s="45" t="s">
        <v>248</v>
      </c>
      <c r="O279" s="45" t="s">
        <v>377</v>
      </c>
      <c r="P279" s="45" t="s">
        <v>406</v>
      </c>
      <c r="Q279" s="75">
        <f>VLOOKUP(B279,LOV!$B:$C,2,FALSE)</f>
        <v>210</v>
      </c>
      <c r="R279" s="75" t="str">
        <f>VLOOKUP(B279,LOV!$B:$D,3,FALSE)</f>
        <v>HH</v>
      </c>
      <c r="S279" s="75" t="str">
        <f>VLOOKUP($X279,LOV!$F:$L,2,FALSE)</f>
        <v>WK5</v>
      </c>
      <c r="T279" s="88">
        <f>VLOOKUP($X279,LOV!$F:$L,7,FALSE)</f>
        <v>45943</v>
      </c>
      <c r="V279" s="53">
        <v>1</v>
      </c>
      <c r="W279" s="65">
        <f t="shared" si="4"/>
        <v>0.5</v>
      </c>
      <c r="X279" s="53" t="s">
        <v>407</v>
      </c>
    </row>
    <row r="280" spans="1:24">
      <c r="A280" s="53">
        <v>1268</v>
      </c>
      <c r="B280" s="71" t="s">
        <v>869</v>
      </c>
      <c r="C280" s="45" t="s">
        <v>884</v>
      </c>
      <c r="D280" s="69" t="s">
        <v>886</v>
      </c>
      <c r="E280" s="45">
        <v>1</v>
      </c>
      <c r="F280" s="46">
        <v>118</v>
      </c>
      <c r="G280" s="47" t="s">
        <v>46</v>
      </c>
      <c r="I280" s="45" t="s">
        <v>248</v>
      </c>
      <c r="O280" s="45" t="s">
        <v>377</v>
      </c>
      <c r="P280" s="45" t="s">
        <v>406</v>
      </c>
      <c r="Q280" s="75">
        <f>VLOOKUP(B280,LOV!$B:$C,2,FALSE)</f>
        <v>210</v>
      </c>
      <c r="R280" s="75" t="str">
        <f>VLOOKUP(B280,LOV!$B:$D,3,FALSE)</f>
        <v>HH</v>
      </c>
      <c r="S280" s="75" t="str">
        <f>VLOOKUP($X280,LOV!$F:$L,2,FALSE)</f>
        <v>WK5</v>
      </c>
      <c r="T280" s="88">
        <f>VLOOKUP($X280,LOV!$F:$L,7,FALSE)</f>
        <v>45943</v>
      </c>
      <c r="V280" s="53">
        <v>1</v>
      </c>
      <c r="W280" s="65">
        <f t="shared" si="4"/>
        <v>0.5</v>
      </c>
      <c r="X280" s="53" t="s">
        <v>407</v>
      </c>
    </row>
    <row r="281" spans="1:24">
      <c r="A281" s="53">
        <v>1269</v>
      </c>
      <c r="B281" s="71" t="s">
        <v>869</v>
      </c>
      <c r="C281" s="45" t="s">
        <v>884</v>
      </c>
      <c r="D281" s="69" t="s">
        <v>887</v>
      </c>
      <c r="E281" s="45">
        <v>1</v>
      </c>
      <c r="F281" s="46">
        <v>118</v>
      </c>
      <c r="G281" s="47" t="s">
        <v>816</v>
      </c>
      <c r="I281" s="45" t="s">
        <v>248</v>
      </c>
      <c r="O281" s="45" t="s">
        <v>377</v>
      </c>
      <c r="P281" s="45" t="s">
        <v>406</v>
      </c>
      <c r="Q281" s="75">
        <f>VLOOKUP(B281,LOV!$B:$C,2,FALSE)</f>
        <v>210</v>
      </c>
      <c r="R281" s="75" t="str">
        <f>VLOOKUP(B281,LOV!$B:$D,3,FALSE)</f>
        <v>HH</v>
      </c>
      <c r="S281" s="75" t="str">
        <f>VLOOKUP($X281,LOV!$F:$L,2,FALSE)</f>
        <v>WK5</v>
      </c>
      <c r="T281" s="88">
        <f>VLOOKUP($X281,LOV!$F:$L,7,FALSE)</f>
        <v>45943</v>
      </c>
      <c r="V281" s="53">
        <v>1</v>
      </c>
      <c r="W281" s="65">
        <f t="shared" si="4"/>
        <v>0.5</v>
      </c>
      <c r="X281" s="53" t="s">
        <v>407</v>
      </c>
    </row>
    <row r="282" spans="1:24">
      <c r="A282" s="53">
        <v>1270</v>
      </c>
      <c r="B282" s="71" t="s">
        <v>869</v>
      </c>
      <c r="C282" s="45" t="s">
        <v>884</v>
      </c>
      <c r="D282" s="69" t="s">
        <v>888</v>
      </c>
      <c r="E282" s="45">
        <v>1</v>
      </c>
      <c r="F282" s="46">
        <v>118</v>
      </c>
      <c r="G282" s="47" t="s">
        <v>46</v>
      </c>
      <c r="I282" s="45" t="s">
        <v>248</v>
      </c>
      <c r="O282" s="45" t="s">
        <v>377</v>
      </c>
      <c r="P282" s="45" t="s">
        <v>406</v>
      </c>
      <c r="Q282" s="75">
        <f>VLOOKUP(B282,LOV!$B:$C,2,FALSE)</f>
        <v>210</v>
      </c>
      <c r="R282" s="75" t="str">
        <f>VLOOKUP(B282,LOV!$B:$D,3,FALSE)</f>
        <v>HH</v>
      </c>
      <c r="S282" s="75" t="str">
        <f>VLOOKUP($X282,LOV!$F:$L,2,FALSE)</f>
        <v>WK5</v>
      </c>
      <c r="T282" s="88">
        <f>VLOOKUP($X282,LOV!$F:$L,7,FALSE)</f>
        <v>45943</v>
      </c>
      <c r="V282" s="53">
        <v>1</v>
      </c>
      <c r="W282" s="65">
        <f t="shared" si="4"/>
        <v>0.5</v>
      </c>
      <c r="X282" s="53" t="s">
        <v>407</v>
      </c>
    </row>
    <row r="283" spans="1:24">
      <c r="A283" s="53">
        <v>1271</v>
      </c>
      <c r="B283" s="71" t="s">
        <v>869</v>
      </c>
      <c r="C283" s="45" t="s">
        <v>884</v>
      </c>
      <c r="D283" s="69" t="s">
        <v>889</v>
      </c>
      <c r="E283" s="45">
        <v>1</v>
      </c>
      <c r="F283" s="46">
        <v>118</v>
      </c>
      <c r="G283" s="47" t="s">
        <v>816</v>
      </c>
      <c r="I283" s="45" t="s">
        <v>248</v>
      </c>
      <c r="O283" s="45" t="s">
        <v>377</v>
      </c>
      <c r="P283" s="45" t="s">
        <v>406</v>
      </c>
      <c r="Q283" s="75">
        <f>VLOOKUP(B283,LOV!$B:$C,2,FALSE)</f>
        <v>210</v>
      </c>
      <c r="R283" s="75" t="str">
        <f>VLOOKUP(B283,LOV!$B:$D,3,FALSE)</f>
        <v>HH</v>
      </c>
      <c r="S283" s="75" t="str">
        <f>VLOOKUP($X283,LOV!$F:$L,2,FALSE)</f>
        <v>WK5</v>
      </c>
      <c r="T283" s="88">
        <f>VLOOKUP($X283,LOV!$F:$L,7,FALSE)</f>
        <v>45943</v>
      </c>
      <c r="V283" s="53">
        <v>1</v>
      </c>
      <c r="W283" s="65">
        <f t="shared" si="4"/>
        <v>0.5</v>
      </c>
      <c r="X283" s="53" t="s">
        <v>407</v>
      </c>
    </row>
    <row r="284" spans="1:24">
      <c r="A284" s="53">
        <v>1272</v>
      </c>
      <c r="B284" s="71" t="s">
        <v>869</v>
      </c>
      <c r="C284" s="45" t="s">
        <v>884</v>
      </c>
      <c r="D284" s="69" t="s">
        <v>890</v>
      </c>
      <c r="E284" s="45">
        <v>1</v>
      </c>
      <c r="F284" s="46">
        <v>118</v>
      </c>
      <c r="G284" s="47" t="s">
        <v>46</v>
      </c>
      <c r="I284" s="45" t="s">
        <v>248</v>
      </c>
      <c r="O284" s="45" t="s">
        <v>377</v>
      </c>
      <c r="P284" s="45" t="s">
        <v>406</v>
      </c>
      <c r="Q284" s="75">
        <f>VLOOKUP(B284,LOV!$B:$C,2,FALSE)</f>
        <v>210</v>
      </c>
      <c r="R284" s="75" t="str">
        <f>VLOOKUP(B284,LOV!$B:$D,3,FALSE)</f>
        <v>HH</v>
      </c>
      <c r="S284" s="75" t="str">
        <f>VLOOKUP($X284,LOV!$F:$L,2,FALSE)</f>
        <v>WK5</v>
      </c>
      <c r="T284" s="88">
        <f>VLOOKUP($X284,LOV!$F:$L,7,FALSE)</f>
        <v>45943</v>
      </c>
      <c r="V284" s="53">
        <v>1</v>
      </c>
      <c r="W284" s="65">
        <f t="shared" si="4"/>
        <v>0.5</v>
      </c>
      <c r="X284" s="53" t="s">
        <v>407</v>
      </c>
    </row>
    <row r="285" spans="1:24">
      <c r="A285" s="53">
        <v>1273</v>
      </c>
      <c r="B285" s="71" t="s">
        <v>869</v>
      </c>
      <c r="C285" s="45" t="s">
        <v>884</v>
      </c>
      <c r="D285" s="69" t="s">
        <v>891</v>
      </c>
      <c r="E285" s="45">
        <v>1</v>
      </c>
      <c r="F285" s="46">
        <v>118</v>
      </c>
      <c r="G285" s="47" t="s">
        <v>816</v>
      </c>
      <c r="I285" s="45" t="s">
        <v>248</v>
      </c>
      <c r="O285" s="45" t="s">
        <v>377</v>
      </c>
      <c r="P285" s="45" t="s">
        <v>406</v>
      </c>
      <c r="Q285" s="75">
        <f>VLOOKUP(B285,LOV!$B:$C,2,FALSE)</f>
        <v>210</v>
      </c>
      <c r="R285" s="75" t="str">
        <f>VLOOKUP(B285,LOV!$B:$D,3,FALSE)</f>
        <v>HH</v>
      </c>
      <c r="S285" s="75" t="str">
        <f>VLOOKUP($X285,LOV!$F:$L,2,FALSE)</f>
        <v>WK5</v>
      </c>
      <c r="T285" s="88">
        <f>VLOOKUP($X285,LOV!$F:$L,7,FALSE)</f>
        <v>45943</v>
      </c>
      <c r="V285" s="53">
        <v>1</v>
      </c>
      <c r="W285" s="65">
        <f t="shared" si="4"/>
        <v>0.5</v>
      </c>
      <c r="X285" s="53" t="s">
        <v>407</v>
      </c>
    </row>
    <row r="286" spans="1:24">
      <c r="A286" s="53">
        <v>1274</v>
      </c>
      <c r="B286" s="71" t="s">
        <v>869</v>
      </c>
      <c r="C286" s="45" t="s">
        <v>884</v>
      </c>
      <c r="D286" s="69" t="s">
        <v>892</v>
      </c>
      <c r="E286" s="45">
        <v>1</v>
      </c>
      <c r="F286" s="46">
        <v>118</v>
      </c>
      <c r="G286" s="47" t="s">
        <v>46</v>
      </c>
      <c r="I286" s="45" t="s">
        <v>248</v>
      </c>
      <c r="O286" s="45" t="s">
        <v>377</v>
      </c>
      <c r="P286" s="45" t="s">
        <v>406</v>
      </c>
      <c r="Q286" s="75">
        <f>VLOOKUP(B286,LOV!$B:$C,2,FALSE)</f>
        <v>210</v>
      </c>
      <c r="R286" s="75" t="str">
        <f>VLOOKUP(B286,LOV!$B:$D,3,FALSE)</f>
        <v>HH</v>
      </c>
      <c r="S286" s="75" t="str">
        <f>VLOOKUP($X286,LOV!$F:$L,2,FALSE)</f>
        <v>WK5</v>
      </c>
      <c r="T286" s="88">
        <f>VLOOKUP($X286,LOV!$F:$L,7,FALSE)</f>
        <v>45943</v>
      </c>
      <c r="V286" s="53">
        <v>1</v>
      </c>
      <c r="W286" s="65">
        <f t="shared" si="4"/>
        <v>0.5</v>
      </c>
      <c r="X286" s="53" t="s">
        <v>407</v>
      </c>
    </row>
    <row r="287" spans="1:24">
      <c r="A287" s="53">
        <v>1275</v>
      </c>
      <c r="B287" s="71" t="s">
        <v>869</v>
      </c>
      <c r="C287" s="45" t="s">
        <v>884</v>
      </c>
      <c r="D287" s="69" t="s">
        <v>893</v>
      </c>
      <c r="E287" s="45">
        <v>1</v>
      </c>
      <c r="F287" s="46">
        <v>118</v>
      </c>
      <c r="G287" s="47" t="s">
        <v>816</v>
      </c>
      <c r="I287" s="45" t="s">
        <v>248</v>
      </c>
      <c r="O287" s="45" t="s">
        <v>377</v>
      </c>
      <c r="P287" s="45" t="s">
        <v>406</v>
      </c>
      <c r="Q287" s="75">
        <f>VLOOKUP(B287,LOV!$B:$C,2,FALSE)</f>
        <v>210</v>
      </c>
      <c r="R287" s="75" t="str">
        <f>VLOOKUP(B287,LOV!$B:$D,3,FALSE)</f>
        <v>HH</v>
      </c>
      <c r="S287" s="75" t="str">
        <f>VLOOKUP($X287,LOV!$F:$L,2,FALSE)</f>
        <v>WK5</v>
      </c>
      <c r="T287" s="88">
        <f>VLOOKUP($X287,LOV!$F:$L,7,FALSE)</f>
        <v>45943</v>
      </c>
      <c r="V287" s="53">
        <v>1</v>
      </c>
      <c r="W287" s="65">
        <f t="shared" si="4"/>
        <v>0.5</v>
      </c>
      <c r="X287" s="53" t="s">
        <v>407</v>
      </c>
    </row>
    <row r="288" spans="1:24">
      <c r="A288" s="53">
        <v>1276</v>
      </c>
      <c r="B288" s="71" t="s">
        <v>869</v>
      </c>
      <c r="C288" s="45" t="s">
        <v>884</v>
      </c>
      <c r="D288" s="69" t="s">
        <v>894</v>
      </c>
      <c r="E288" s="45">
        <v>1</v>
      </c>
      <c r="F288" s="46">
        <v>118</v>
      </c>
      <c r="G288" s="47" t="s">
        <v>46</v>
      </c>
      <c r="I288" s="45" t="s">
        <v>248</v>
      </c>
      <c r="O288" s="45" t="s">
        <v>377</v>
      </c>
      <c r="P288" s="45" t="s">
        <v>406</v>
      </c>
      <c r="Q288" s="75">
        <f>VLOOKUP(B288,LOV!$B:$C,2,FALSE)</f>
        <v>210</v>
      </c>
      <c r="R288" s="75" t="str">
        <f>VLOOKUP(B288,LOV!$B:$D,3,FALSE)</f>
        <v>HH</v>
      </c>
      <c r="S288" s="75" t="str">
        <f>VLOOKUP($X288,LOV!$F:$L,2,FALSE)</f>
        <v>WK5</v>
      </c>
      <c r="T288" s="88">
        <f>VLOOKUP($X288,LOV!$F:$L,7,FALSE)</f>
        <v>45943</v>
      </c>
      <c r="V288" s="53">
        <v>1</v>
      </c>
      <c r="W288" s="65">
        <f t="shared" si="4"/>
        <v>0.5</v>
      </c>
      <c r="X288" s="53" t="s">
        <v>407</v>
      </c>
    </row>
    <row r="289" spans="1:24">
      <c r="A289" s="53">
        <v>1277</v>
      </c>
      <c r="B289" s="71" t="s">
        <v>869</v>
      </c>
      <c r="C289" s="45" t="s">
        <v>884</v>
      </c>
      <c r="D289" s="69" t="s">
        <v>895</v>
      </c>
      <c r="E289" s="45">
        <v>1</v>
      </c>
      <c r="F289" s="46">
        <v>118</v>
      </c>
      <c r="G289" s="47" t="s">
        <v>572</v>
      </c>
      <c r="I289" s="45" t="s">
        <v>248</v>
      </c>
      <c r="O289" s="45" t="s">
        <v>377</v>
      </c>
      <c r="P289" s="45" t="s">
        <v>406</v>
      </c>
      <c r="Q289" s="75">
        <f>VLOOKUP(B289,LOV!$B:$C,2,FALSE)</f>
        <v>210</v>
      </c>
      <c r="R289" s="75" t="str">
        <f>VLOOKUP(B289,LOV!$B:$D,3,FALSE)</f>
        <v>HH</v>
      </c>
      <c r="S289" s="75" t="str">
        <f>VLOOKUP($X289,LOV!$F:$L,2,FALSE)</f>
        <v>WK5</v>
      </c>
      <c r="T289" s="88">
        <f>VLOOKUP($X289,LOV!$F:$L,7,FALSE)</f>
        <v>45943</v>
      </c>
      <c r="V289" s="53">
        <v>1</v>
      </c>
      <c r="W289" s="65">
        <f t="shared" si="4"/>
        <v>0.5</v>
      </c>
      <c r="X289" s="53" t="s">
        <v>407</v>
      </c>
    </row>
    <row r="290" spans="1:24">
      <c r="A290" s="53">
        <v>1278</v>
      </c>
      <c r="B290" s="71" t="s">
        <v>896</v>
      </c>
      <c r="C290" s="45" t="s">
        <v>897</v>
      </c>
      <c r="D290" s="69" t="s">
        <v>898</v>
      </c>
      <c r="E290" s="45">
        <v>1</v>
      </c>
      <c r="F290" s="46">
        <v>120</v>
      </c>
      <c r="G290" s="68" t="s">
        <v>899</v>
      </c>
      <c r="I290" s="45" t="s">
        <v>248</v>
      </c>
      <c r="M290" s="47" t="s">
        <v>900</v>
      </c>
      <c r="O290" s="45" t="s">
        <v>377</v>
      </c>
      <c r="P290" s="45" t="s">
        <v>406</v>
      </c>
      <c r="Q290" s="75">
        <f>VLOOKUP(B290,LOV!$B:$C,2,FALSE)</f>
        <v>220</v>
      </c>
      <c r="R290" s="75" t="str">
        <f>VLOOKUP(B290,LOV!$B:$D,3,FALSE)</f>
        <v>HH</v>
      </c>
      <c r="S290" s="75" t="str">
        <f>VLOOKUP($X290,LOV!$F:$L,2,FALSE)</f>
        <v>WK5</v>
      </c>
      <c r="T290" s="88">
        <f>VLOOKUP($X290,LOV!$F:$L,7,FALSE)</f>
        <v>45943</v>
      </c>
      <c r="V290" s="53">
        <v>1</v>
      </c>
      <c r="W290" s="65">
        <f t="shared" si="4"/>
        <v>0.5</v>
      </c>
      <c r="X290" s="53" t="s">
        <v>407</v>
      </c>
    </row>
    <row r="291" spans="1:24">
      <c r="A291" s="53">
        <v>1279</v>
      </c>
      <c r="B291" s="71" t="s">
        <v>896</v>
      </c>
      <c r="C291" s="45" t="s">
        <v>897</v>
      </c>
      <c r="D291" s="69" t="s">
        <v>901</v>
      </c>
      <c r="E291" s="45">
        <v>1</v>
      </c>
      <c r="F291" s="46">
        <v>120</v>
      </c>
      <c r="G291" s="78" t="s">
        <v>902</v>
      </c>
      <c r="I291" s="45" t="s">
        <v>248</v>
      </c>
      <c r="L291" s="68" t="s">
        <v>903</v>
      </c>
      <c r="M291" s="47" t="s">
        <v>900</v>
      </c>
      <c r="O291" s="45" t="s">
        <v>377</v>
      </c>
      <c r="P291" s="45" t="s">
        <v>406</v>
      </c>
      <c r="Q291" s="75">
        <f>VLOOKUP(B291,LOV!$B:$C,2,FALSE)</f>
        <v>220</v>
      </c>
      <c r="R291" s="75" t="str">
        <f>VLOOKUP(B291,LOV!$B:$D,3,FALSE)</f>
        <v>HH</v>
      </c>
      <c r="S291" s="75" t="str">
        <f>VLOOKUP($X291,LOV!$F:$L,2,FALSE)</f>
        <v>WK5</v>
      </c>
      <c r="T291" s="88">
        <f>VLOOKUP($X291,LOV!$F:$L,7,FALSE)</f>
        <v>45943</v>
      </c>
      <c r="V291" s="53">
        <v>1</v>
      </c>
      <c r="W291" s="65">
        <f t="shared" si="4"/>
        <v>0.5</v>
      </c>
      <c r="X291" s="53" t="s">
        <v>407</v>
      </c>
    </row>
    <row r="292" spans="1:24">
      <c r="A292" s="53">
        <v>1280</v>
      </c>
      <c r="B292" s="71" t="s">
        <v>896</v>
      </c>
      <c r="C292" s="45" t="s">
        <v>897</v>
      </c>
      <c r="D292" s="69" t="s">
        <v>904</v>
      </c>
      <c r="E292" s="45">
        <v>0</v>
      </c>
      <c r="F292" s="46">
        <v>120</v>
      </c>
      <c r="G292" s="47" t="s">
        <v>203</v>
      </c>
      <c r="I292" s="45" t="s">
        <v>248</v>
      </c>
      <c r="L292" s="47" t="s">
        <v>900</v>
      </c>
      <c r="O292" s="45" t="s">
        <v>377</v>
      </c>
      <c r="P292" s="45" t="s">
        <v>406</v>
      </c>
      <c r="Q292" s="75">
        <f>VLOOKUP(B292,LOV!$B:$C,2,FALSE)</f>
        <v>220</v>
      </c>
      <c r="R292" s="75" t="str">
        <f>VLOOKUP(B292,LOV!$B:$D,3,FALSE)</f>
        <v>HH</v>
      </c>
      <c r="S292" s="75" t="str">
        <f>VLOOKUP($X292,LOV!$F:$L,2,FALSE)</f>
        <v>WK5</v>
      </c>
      <c r="T292" s="88">
        <f>VLOOKUP($X292,LOV!$F:$L,7,FALSE)</f>
        <v>45943</v>
      </c>
      <c r="V292" s="53">
        <v>0</v>
      </c>
      <c r="W292" s="65">
        <f t="shared" si="4"/>
        <v>0</v>
      </c>
      <c r="X292" s="53" t="s">
        <v>407</v>
      </c>
    </row>
    <row r="293" spans="1:24">
      <c r="A293" s="53">
        <v>1281</v>
      </c>
      <c r="B293" s="71" t="s">
        <v>896</v>
      </c>
      <c r="C293" s="45" t="s">
        <v>905</v>
      </c>
      <c r="D293" s="69" t="s">
        <v>906</v>
      </c>
      <c r="E293" s="45">
        <v>1</v>
      </c>
      <c r="F293" s="46">
        <v>120</v>
      </c>
      <c r="G293" s="47" t="s">
        <v>816</v>
      </c>
      <c r="I293" s="45" t="s">
        <v>248</v>
      </c>
      <c r="O293" s="45" t="s">
        <v>377</v>
      </c>
      <c r="P293" s="45" t="s">
        <v>406</v>
      </c>
      <c r="Q293" s="75">
        <f>VLOOKUP(B293,LOV!$B:$C,2,FALSE)</f>
        <v>220</v>
      </c>
      <c r="R293" s="75" t="str">
        <f>VLOOKUP(B293,LOV!$B:$D,3,FALSE)</f>
        <v>HH</v>
      </c>
      <c r="S293" s="75" t="str">
        <f>VLOOKUP($X293,LOV!$F:$L,2,FALSE)</f>
        <v>WK5</v>
      </c>
      <c r="T293" s="88">
        <f>VLOOKUP($X293,LOV!$F:$L,7,FALSE)</f>
        <v>45943</v>
      </c>
      <c r="V293" s="53">
        <v>1</v>
      </c>
      <c r="W293" s="65">
        <f t="shared" si="4"/>
        <v>0.5</v>
      </c>
      <c r="X293" s="53" t="s">
        <v>407</v>
      </c>
    </row>
    <row r="294" spans="1:24">
      <c r="A294" s="53">
        <v>1282</v>
      </c>
      <c r="B294" s="71" t="s">
        <v>896</v>
      </c>
      <c r="C294" s="45" t="s">
        <v>905</v>
      </c>
      <c r="D294" s="69" t="s">
        <v>907</v>
      </c>
      <c r="E294" s="45">
        <v>1</v>
      </c>
      <c r="F294" s="46">
        <v>120</v>
      </c>
      <c r="G294" s="47" t="s">
        <v>46</v>
      </c>
      <c r="I294" s="45" t="s">
        <v>248</v>
      </c>
      <c r="O294" s="45" t="s">
        <v>377</v>
      </c>
      <c r="P294" s="45" t="s">
        <v>406</v>
      </c>
      <c r="Q294" s="75">
        <f>VLOOKUP(B294,LOV!$B:$C,2,FALSE)</f>
        <v>220</v>
      </c>
      <c r="R294" s="75" t="str">
        <f>VLOOKUP(B294,LOV!$B:$D,3,FALSE)</f>
        <v>HH</v>
      </c>
      <c r="S294" s="75" t="str">
        <f>VLOOKUP($X294,LOV!$F:$L,2,FALSE)</f>
        <v>WK5</v>
      </c>
      <c r="T294" s="88">
        <f>VLOOKUP($X294,LOV!$F:$L,7,FALSE)</f>
        <v>45943</v>
      </c>
      <c r="V294" s="53">
        <v>1</v>
      </c>
      <c r="W294" s="65">
        <f t="shared" si="4"/>
        <v>0.5</v>
      </c>
      <c r="X294" s="53" t="s">
        <v>407</v>
      </c>
    </row>
    <row r="295" spans="1:24">
      <c r="A295" s="53">
        <v>1283</v>
      </c>
      <c r="B295" s="71" t="s">
        <v>896</v>
      </c>
      <c r="C295" s="45" t="s">
        <v>905</v>
      </c>
      <c r="D295" s="69" t="s">
        <v>908</v>
      </c>
      <c r="E295" s="45">
        <v>1</v>
      </c>
      <c r="F295" s="46">
        <v>120</v>
      </c>
      <c r="G295" s="47" t="s">
        <v>46</v>
      </c>
      <c r="I295" s="45" t="s">
        <v>248</v>
      </c>
      <c r="O295" s="45" t="s">
        <v>377</v>
      </c>
      <c r="P295" s="45" t="s">
        <v>406</v>
      </c>
      <c r="Q295" s="75">
        <f>VLOOKUP(B295,LOV!$B:$C,2,FALSE)</f>
        <v>220</v>
      </c>
      <c r="R295" s="75" t="str">
        <f>VLOOKUP(B295,LOV!$B:$D,3,FALSE)</f>
        <v>HH</v>
      </c>
      <c r="S295" s="75" t="str">
        <f>VLOOKUP($X295,LOV!$F:$L,2,FALSE)</f>
        <v>WK5</v>
      </c>
      <c r="T295" s="88">
        <f>VLOOKUP($X295,LOV!$F:$L,7,FALSE)</f>
        <v>45943</v>
      </c>
      <c r="V295" s="53">
        <v>1</v>
      </c>
      <c r="W295" s="65">
        <f t="shared" si="4"/>
        <v>0.5</v>
      </c>
      <c r="X295" s="53" t="s">
        <v>407</v>
      </c>
    </row>
    <row r="296" spans="1:24">
      <c r="A296" s="53">
        <v>1284</v>
      </c>
      <c r="B296" s="71" t="s">
        <v>896</v>
      </c>
      <c r="C296" s="45" t="s">
        <v>909</v>
      </c>
      <c r="D296" s="69" t="s">
        <v>910</v>
      </c>
      <c r="E296" s="45">
        <v>1</v>
      </c>
      <c r="F296" s="46">
        <v>125</v>
      </c>
      <c r="G296" s="47" t="s">
        <v>46</v>
      </c>
      <c r="I296" s="45" t="s">
        <v>248</v>
      </c>
      <c r="L296" s="69"/>
      <c r="O296" s="45" t="s">
        <v>377</v>
      </c>
      <c r="P296" s="45" t="s">
        <v>406</v>
      </c>
      <c r="Q296" s="75">
        <f>VLOOKUP(B296,LOV!$B:$C,2,FALSE)</f>
        <v>220</v>
      </c>
      <c r="R296" s="75" t="str">
        <f>VLOOKUP(B296,LOV!$B:$D,3,FALSE)</f>
        <v>HH</v>
      </c>
      <c r="S296" s="75" t="str">
        <f>VLOOKUP($X296,LOV!$F:$L,2,FALSE)</f>
        <v>WK5</v>
      </c>
      <c r="T296" s="88">
        <f>VLOOKUP($X296,LOV!$F:$L,7,FALSE)</f>
        <v>45943</v>
      </c>
      <c r="V296" s="53">
        <v>1</v>
      </c>
      <c r="W296" s="65">
        <f t="shared" si="4"/>
        <v>0.5</v>
      </c>
      <c r="X296" s="53" t="s">
        <v>407</v>
      </c>
    </row>
    <row r="297" spans="1:24" ht="30" customHeight="1">
      <c r="A297" s="53">
        <v>1285</v>
      </c>
      <c r="B297" s="71" t="s">
        <v>896</v>
      </c>
      <c r="C297" s="45" t="s">
        <v>909</v>
      </c>
      <c r="D297" s="69" t="s">
        <v>911</v>
      </c>
      <c r="E297" s="45">
        <v>1</v>
      </c>
      <c r="F297" s="46">
        <v>125</v>
      </c>
      <c r="G297" s="47" t="s">
        <v>46</v>
      </c>
      <c r="I297" s="45" t="s">
        <v>248</v>
      </c>
      <c r="L297" s="69"/>
      <c r="O297" s="45" t="s">
        <v>377</v>
      </c>
      <c r="P297" s="45" t="s">
        <v>406</v>
      </c>
      <c r="Q297" s="75">
        <f>VLOOKUP(B297,LOV!$B:$C,2,FALSE)</f>
        <v>220</v>
      </c>
      <c r="R297" s="75" t="str">
        <f>VLOOKUP(B297,LOV!$B:$D,3,FALSE)</f>
        <v>HH</v>
      </c>
      <c r="S297" s="75" t="str">
        <f>VLOOKUP($X297,LOV!$F:$L,2,FALSE)</f>
        <v>WK5</v>
      </c>
      <c r="T297" s="88">
        <f>VLOOKUP($X297,LOV!$F:$L,7,FALSE)</f>
        <v>45943</v>
      </c>
      <c r="V297" s="53">
        <v>1</v>
      </c>
      <c r="W297" s="65">
        <f t="shared" si="4"/>
        <v>0.5</v>
      </c>
      <c r="X297" s="53" t="s">
        <v>407</v>
      </c>
    </row>
    <row r="298" spans="1:24">
      <c r="A298" s="53">
        <v>1286</v>
      </c>
      <c r="B298" s="71" t="s">
        <v>896</v>
      </c>
      <c r="C298" s="45" t="s">
        <v>909</v>
      </c>
      <c r="D298" s="69" t="s">
        <v>912</v>
      </c>
      <c r="E298" s="45">
        <v>1</v>
      </c>
      <c r="F298" s="46">
        <v>125</v>
      </c>
      <c r="G298" s="47" t="s">
        <v>46</v>
      </c>
      <c r="I298" s="45" t="s">
        <v>248</v>
      </c>
      <c r="L298" s="69"/>
      <c r="O298" s="45" t="s">
        <v>377</v>
      </c>
      <c r="P298" s="45" t="s">
        <v>406</v>
      </c>
      <c r="Q298" s="75">
        <f>VLOOKUP(B298,LOV!$B:$C,2,FALSE)</f>
        <v>220</v>
      </c>
      <c r="R298" s="75" t="str">
        <f>VLOOKUP(B298,LOV!$B:$D,3,FALSE)</f>
        <v>HH</v>
      </c>
      <c r="S298" s="75" t="str">
        <f>VLOOKUP($X298,LOV!$F:$L,2,FALSE)</f>
        <v>WK5</v>
      </c>
      <c r="T298" s="88">
        <f>VLOOKUP($X298,LOV!$F:$L,7,FALSE)</f>
        <v>45943</v>
      </c>
      <c r="V298" s="53">
        <v>1</v>
      </c>
      <c r="W298" s="65">
        <f t="shared" si="4"/>
        <v>0.5</v>
      </c>
      <c r="X298" s="53" t="s">
        <v>407</v>
      </c>
    </row>
    <row r="299" spans="1:24">
      <c r="A299" s="53">
        <v>1287</v>
      </c>
      <c r="B299" s="71" t="s">
        <v>896</v>
      </c>
      <c r="C299" s="45" t="s">
        <v>913</v>
      </c>
      <c r="D299" s="69" t="s">
        <v>914</v>
      </c>
      <c r="E299" s="45">
        <v>1</v>
      </c>
      <c r="F299" s="46">
        <v>125</v>
      </c>
      <c r="G299" s="47" t="s">
        <v>816</v>
      </c>
      <c r="I299" s="45" t="s">
        <v>248</v>
      </c>
      <c r="L299" s="69"/>
      <c r="O299" s="45" t="s">
        <v>377</v>
      </c>
      <c r="P299" s="45" t="s">
        <v>406</v>
      </c>
      <c r="Q299" s="75">
        <f>VLOOKUP(B299,LOV!$B:$C,2,FALSE)</f>
        <v>220</v>
      </c>
      <c r="R299" s="75" t="str">
        <f>VLOOKUP(B299,LOV!$B:$D,3,FALSE)</f>
        <v>HH</v>
      </c>
      <c r="S299" s="75" t="str">
        <f>VLOOKUP($X299,LOV!$F:$L,2,FALSE)</f>
        <v>WK5</v>
      </c>
      <c r="T299" s="88">
        <f>VLOOKUP($X299,LOV!$F:$L,7,FALSE)</f>
        <v>45943</v>
      </c>
      <c r="V299" s="53">
        <v>1</v>
      </c>
      <c r="W299" s="65">
        <f t="shared" si="4"/>
        <v>0.5</v>
      </c>
      <c r="X299" s="53" t="s">
        <v>407</v>
      </c>
    </row>
    <row r="300" spans="1:24">
      <c r="A300" s="53">
        <v>1288</v>
      </c>
      <c r="B300" s="71" t="s">
        <v>896</v>
      </c>
      <c r="C300" s="45" t="s">
        <v>913</v>
      </c>
      <c r="D300" s="69" t="s">
        <v>915</v>
      </c>
      <c r="E300" s="45">
        <v>1</v>
      </c>
      <c r="F300" s="46">
        <v>125</v>
      </c>
      <c r="G300" s="47" t="s">
        <v>46</v>
      </c>
      <c r="I300" s="45" t="s">
        <v>248</v>
      </c>
      <c r="L300" s="69"/>
      <c r="O300" s="45" t="s">
        <v>377</v>
      </c>
      <c r="P300" s="45" t="s">
        <v>406</v>
      </c>
      <c r="Q300" s="75">
        <f>VLOOKUP(B300,LOV!$B:$C,2,FALSE)</f>
        <v>220</v>
      </c>
      <c r="R300" s="75" t="str">
        <f>VLOOKUP(B300,LOV!$B:$D,3,FALSE)</f>
        <v>HH</v>
      </c>
      <c r="S300" s="75" t="str">
        <f>VLOOKUP($X300,LOV!$F:$L,2,FALSE)</f>
        <v>WK5</v>
      </c>
      <c r="T300" s="88">
        <f>VLOOKUP($X300,LOV!$F:$L,7,FALSE)</f>
        <v>45943</v>
      </c>
      <c r="V300" s="53">
        <v>1</v>
      </c>
      <c r="W300" s="65">
        <f t="shared" si="4"/>
        <v>0.5</v>
      </c>
      <c r="X300" s="53" t="s">
        <v>407</v>
      </c>
    </row>
    <row r="301" spans="1:24">
      <c r="A301" s="53">
        <v>1289</v>
      </c>
      <c r="B301" s="71" t="s">
        <v>896</v>
      </c>
      <c r="C301" s="45" t="s">
        <v>913</v>
      </c>
      <c r="D301" s="69" t="s">
        <v>916</v>
      </c>
      <c r="E301" s="45">
        <v>1</v>
      </c>
      <c r="F301" s="46">
        <v>125</v>
      </c>
      <c r="G301" s="47" t="s">
        <v>46</v>
      </c>
      <c r="I301" s="45" t="s">
        <v>248</v>
      </c>
      <c r="L301" s="69"/>
      <c r="O301" s="45" t="s">
        <v>377</v>
      </c>
      <c r="P301" s="45" t="s">
        <v>406</v>
      </c>
      <c r="Q301" s="75">
        <f>VLOOKUP(B301,LOV!$B:$C,2,FALSE)</f>
        <v>220</v>
      </c>
      <c r="R301" s="75" t="str">
        <f>VLOOKUP(B301,LOV!$B:$D,3,FALSE)</f>
        <v>HH</v>
      </c>
      <c r="S301" s="75" t="str">
        <f>VLOOKUP($X301,LOV!$F:$L,2,FALSE)</f>
        <v>WK5</v>
      </c>
      <c r="T301" s="88">
        <f>VLOOKUP($X301,LOV!$F:$L,7,FALSE)</f>
        <v>45943</v>
      </c>
      <c r="V301" s="53">
        <v>1</v>
      </c>
      <c r="W301" s="65">
        <f t="shared" si="4"/>
        <v>0.5</v>
      </c>
      <c r="X301" s="53" t="s">
        <v>407</v>
      </c>
    </row>
    <row r="302" spans="1:24">
      <c r="A302" s="53">
        <v>1290</v>
      </c>
      <c r="B302" s="71" t="s">
        <v>896</v>
      </c>
      <c r="C302" s="45" t="s">
        <v>913</v>
      </c>
      <c r="D302" s="69" t="s">
        <v>917</v>
      </c>
      <c r="E302" s="45">
        <v>1</v>
      </c>
      <c r="F302" s="46">
        <v>125</v>
      </c>
      <c r="G302" s="47" t="s">
        <v>46</v>
      </c>
      <c r="I302" s="45" t="s">
        <v>248</v>
      </c>
      <c r="L302" s="69"/>
      <c r="O302" s="45" t="s">
        <v>377</v>
      </c>
      <c r="P302" s="45" t="s">
        <v>406</v>
      </c>
      <c r="Q302" s="75">
        <f>VLOOKUP(B302,LOV!$B:$C,2,FALSE)</f>
        <v>220</v>
      </c>
      <c r="R302" s="75" t="str">
        <f>VLOOKUP(B302,LOV!$B:$D,3,FALSE)</f>
        <v>HH</v>
      </c>
      <c r="S302" s="75" t="str">
        <f>VLOOKUP($X302,LOV!$F:$L,2,FALSE)</f>
        <v>WK5</v>
      </c>
      <c r="T302" s="88">
        <f>VLOOKUP($X302,LOV!$F:$L,7,FALSE)</f>
        <v>45943</v>
      </c>
      <c r="V302" s="53">
        <v>1</v>
      </c>
      <c r="W302" s="65">
        <f t="shared" si="4"/>
        <v>0.5</v>
      </c>
      <c r="X302" s="53" t="s">
        <v>407</v>
      </c>
    </row>
    <row r="303" spans="1:24" ht="22.15">
      <c r="A303" s="53">
        <v>1291</v>
      </c>
      <c r="B303" s="71" t="s">
        <v>896</v>
      </c>
      <c r="C303" s="45" t="s">
        <v>918</v>
      </c>
      <c r="D303" s="69" t="s">
        <v>919</v>
      </c>
      <c r="E303" s="45">
        <v>1</v>
      </c>
      <c r="F303" s="46">
        <v>125</v>
      </c>
      <c r="G303" s="47" t="s">
        <v>242</v>
      </c>
      <c r="I303" s="45" t="s">
        <v>248</v>
      </c>
      <c r="L303" s="100" t="s">
        <v>920</v>
      </c>
      <c r="O303" s="45" t="s">
        <v>377</v>
      </c>
      <c r="P303" s="45" t="s">
        <v>406</v>
      </c>
      <c r="Q303" s="75">
        <f>VLOOKUP(B303,LOV!$B:$C,2,FALSE)</f>
        <v>220</v>
      </c>
      <c r="R303" s="75" t="str">
        <f>VLOOKUP(B303,LOV!$B:$D,3,FALSE)</f>
        <v>HH</v>
      </c>
      <c r="S303" s="75" t="str">
        <f>VLOOKUP($X303,LOV!$F:$L,2,FALSE)</f>
        <v>WK5</v>
      </c>
      <c r="T303" s="88">
        <f>VLOOKUP($X303,LOV!$F:$L,7,FALSE)</f>
        <v>45943</v>
      </c>
      <c r="V303" s="53">
        <v>1</v>
      </c>
      <c r="W303" s="65">
        <f t="shared" si="4"/>
        <v>0.5</v>
      </c>
      <c r="X303" s="53" t="s">
        <v>407</v>
      </c>
    </row>
    <row r="304" spans="1:24">
      <c r="A304" s="53">
        <v>1292</v>
      </c>
      <c r="B304" s="71" t="s">
        <v>896</v>
      </c>
      <c r="C304" s="45" t="s">
        <v>918</v>
      </c>
      <c r="D304" s="69" t="s">
        <v>921</v>
      </c>
      <c r="E304" s="45">
        <v>1</v>
      </c>
      <c r="F304" s="46">
        <v>125</v>
      </c>
      <c r="G304" s="47" t="s">
        <v>46</v>
      </c>
      <c r="I304" s="45" t="s">
        <v>248</v>
      </c>
      <c r="M304" s="47" t="s">
        <v>922</v>
      </c>
      <c r="O304" s="45" t="s">
        <v>377</v>
      </c>
      <c r="P304" s="45" t="s">
        <v>406</v>
      </c>
      <c r="Q304" s="75">
        <f>VLOOKUP(B304,LOV!$B:$C,2,FALSE)</f>
        <v>220</v>
      </c>
      <c r="R304" s="75" t="str">
        <f>VLOOKUP(B304,LOV!$B:$D,3,FALSE)</f>
        <v>HH</v>
      </c>
      <c r="S304" s="75" t="str">
        <f>VLOOKUP($X304,LOV!$F:$L,2,FALSE)</f>
        <v>WK5</v>
      </c>
      <c r="T304" s="88">
        <f>VLOOKUP($X304,LOV!$F:$L,7,FALSE)</f>
        <v>45943</v>
      </c>
      <c r="V304" s="53">
        <v>1</v>
      </c>
      <c r="W304" s="65">
        <f t="shared" si="4"/>
        <v>0.5</v>
      </c>
      <c r="X304" s="53" t="s">
        <v>407</v>
      </c>
    </row>
    <row r="305" spans="1:24">
      <c r="A305" s="53">
        <v>1293</v>
      </c>
      <c r="B305" s="71" t="s">
        <v>896</v>
      </c>
      <c r="C305" s="45" t="s">
        <v>923</v>
      </c>
      <c r="D305" s="69" t="s">
        <v>924</v>
      </c>
      <c r="E305" s="45">
        <v>1</v>
      </c>
      <c r="F305" s="46">
        <v>126</v>
      </c>
      <c r="G305" s="47" t="s">
        <v>816</v>
      </c>
      <c r="I305" s="45" t="s">
        <v>248</v>
      </c>
      <c r="L305" s="47" t="s">
        <v>925</v>
      </c>
      <c r="O305" s="45" t="s">
        <v>377</v>
      </c>
      <c r="P305" s="45" t="s">
        <v>406</v>
      </c>
      <c r="Q305" s="75">
        <f>VLOOKUP(B305,LOV!$B:$C,2,FALSE)</f>
        <v>220</v>
      </c>
      <c r="R305" s="75" t="str">
        <f>VLOOKUP(B305,LOV!$B:$D,3,FALSE)</f>
        <v>HH</v>
      </c>
      <c r="S305" s="75" t="str">
        <f>VLOOKUP($X305,LOV!$F:$L,2,FALSE)</f>
        <v>WK5</v>
      </c>
      <c r="T305" s="88">
        <f>VLOOKUP($X305,LOV!$F:$L,7,FALSE)</f>
        <v>45943</v>
      </c>
      <c r="V305" s="53">
        <v>0</v>
      </c>
      <c r="W305" s="65">
        <f t="shared" si="4"/>
        <v>0</v>
      </c>
      <c r="X305" s="53" t="s">
        <v>407</v>
      </c>
    </row>
    <row r="306" spans="1:24">
      <c r="A306" s="53">
        <v>1294</v>
      </c>
      <c r="B306" s="71" t="s">
        <v>896</v>
      </c>
      <c r="C306" s="45" t="s">
        <v>926</v>
      </c>
      <c r="D306" s="69" t="s">
        <v>927</v>
      </c>
      <c r="E306" s="45">
        <v>1</v>
      </c>
      <c r="F306" s="46">
        <v>126</v>
      </c>
      <c r="G306" s="47" t="s">
        <v>572</v>
      </c>
      <c r="I306" s="45" t="s">
        <v>248</v>
      </c>
      <c r="O306" s="45" t="s">
        <v>377</v>
      </c>
      <c r="P306" s="45" t="s">
        <v>406</v>
      </c>
      <c r="Q306" s="75">
        <f>VLOOKUP(B306,LOV!$B:$C,2,FALSE)</f>
        <v>220</v>
      </c>
      <c r="R306" s="75" t="str">
        <f>VLOOKUP(B306,LOV!$B:$D,3,FALSE)</f>
        <v>HH</v>
      </c>
      <c r="S306" s="75" t="str">
        <f>VLOOKUP($X306,LOV!$F:$L,2,FALSE)</f>
        <v>WK5</v>
      </c>
      <c r="T306" s="88">
        <f>VLOOKUP($X306,LOV!$F:$L,7,FALSE)</f>
        <v>45943</v>
      </c>
      <c r="V306" s="53">
        <v>1</v>
      </c>
      <c r="W306" s="65">
        <f t="shared" si="4"/>
        <v>0.5</v>
      </c>
      <c r="X306" s="53" t="s">
        <v>407</v>
      </c>
    </row>
    <row r="307" spans="1:24" ht="28.9">
      <c r="A307" s="53">
        <v>1295</v>
      </c>
      <c r="B307" s="71" t="s">
        <v>928</v>
      </c>
      <c r="C307" s="45" t="s">
        <v>929</v>
      </c>
      <c r="D307" s="69" t="s">
        <v>930</v>
      </c>
      <c r="E307" s="45">
        <v>1</v>
      </c>
      <c r="F307" s="46">
        <v>128</v>
      </c>
      <c r="G307" s="124" t="s">
        <v>473</v>
      </c>
      <c r="I307" s="45" t="s">
        <v>205</v>
      </c>
      <c r="O307" s="45" t="s">
        <v>377</v>
      </c>
      <c r="P307" s="45" t="s">
        <v>378</v>
      </c>
      <c r="Q307" s="75">
        <f>VLOOKUP(B307,LOV!$B:$C,2,FALSE)</f>
        <v>230</v>
      </c>
      <c r="R307" s="75" t="str">
        <f>VLOOKUP(B307,LOV!$B:$D,3,FALSE)</f>
        <v>CC</v>
      </c>
      <c r="S307" s="75" t="str">
        <f>VLOOKUP($X307,LOV!$F:$L,2,FALSE)</f>
        <v>WK3</v>
      </c>
      <c r="T307" s="88">
        <f>VLOOKUP($X307,LOV!$F:$L,7,FALSE)</f>
        <v>45929</v>
      </c>
      <c r="U307" s="53">
        <v>8</v>
      </c>
      <c r="V307" s="53">
        <v>1</v>
      </c>
      <c r="W307" s="65">
        <f t="shared" si="4"/>
        <v>0.5</v>
      </c>
      <c r="X307" s="53" t="s">
        <v>379</v>
      </c>
    </row>
    <row r="308" spans="1:24" ht="40.15">
      <c r="A308" s="53">
        <v>1296</v>
      </c>
      <c r="B308" s="71" t="s">
        <v>928</v>
      </c>
      <c r="C308" s="45" t="s">
        <v>929</v>
      </c>
      <c r="D308" s="69" t="s">
        <v>931</v>
      </c>
      <c r="E308" s="45">
        <v>1</v>
      </c>
      <c r="F308" s="46">
        <v>128</v>
      </c>
      <c r="G308" s="47" t="s">
        <v>46</v>
      </c>
      <c r="I308" s="45" t="s">
        <v>205</v>
      </c>
      <c r="L308" s="143" t="s">
        <v>932</v>
      </c>
      <c r="O308" s="45" t="s">
        <v>377</v>
      </c>
      <c r="P308" s="45" t="s">
        <v>378</v>
      </c>
      <c r="Q308" s="75">
        <f>VLOOKUP(B308,LOV!$B:$C,2,FALSE)</f>
        <v>230</v>
      </c>
      <c r="R308" s="75" t="str">
        <f>VLOOKUP(B308,LOV!$B:$D,3,FALSE)</f>
        <v>CC</v>
      </c>
      <c r="S308" s="75" t="str">
        <f>VLOOKUP($X308,LOV!$F:$L,2,FALSE)</f>
        <v>WK3</v>
      </c>
      <c r="T308" s="88">
        <f>VLOOKUP($X308,LOV!$F:$L,7,FALSE)</f>
        <v>45929</v>
      </c>
      <c r="U308" s="53">
        <v>8</v>
      </c>
      <c r="V308" s="53">
        <v>1</v>
      </c>
      <c r="W308" s="65">
        <f t="shared" si="4"/>
        <v>0.5</v>
      </c>
      <c r="X308" s="53" t="s">
        <v>379</v>
      </c>
    </row>
    <row r="309" spans="1:24" ht="40.15">
      <c r="A309" s="53">
        <v>1297</v>
      </c>
      <c r="B309" s="71" t="s">
        <v>928</v>
      </c>
      <c r="C309" s="45" t="s">
        <v>929</v>
      </c>
      <c r="D309" s="69" t="s">
        <v>933</v>
      </c>
      <c r="E309" s="45">
        <v>0</v>
      </c>
      <c r="F309" s="46">
        <v>128</v>
      </c>
      <c r="G309" s="47" t="s">
        <v>934</v>
      </c>
      <c r="I309" s="45" t="s">
        <v>205</v>
      </c>
      <c r="L309" s="143" t="s">
        <v>932</v>
      </c>
      <c r="O309" s="45" t="s">
        <v>377</v>
      </c>
      <c r="P309" s="45" t="s">
        <v>378</v>
      </c>
      <c r="Q309" s="75">
        <f>VLOOKUP(B309,LOV!$B:$C,2,FALSE)</f>
        <v>230</v>
      </c>
      <c r="R309" s="75" t="str">
        <f>VLOOKUP(B309,LOV!$B:$D,3,FALSE)</f>
        <v>CC</v>
      </c>
      <c r="S309" s="75" t="str">
        <f>VLOOKUP($X309,LOV!$F:$L,2,FALSE)</f>
        <v>WK3</v>
      </c>
      <c r="T309" s="88">
        <f>VLOOKUP($X309,LOV!$F:$L,7,FALSE)</f>
        <v>45929</v>
      </c>
      <c r="U309" s="53">
        <v>8</v>
      </c>
      <c r="V309" s="53">
        <v>3</v>
      </c>
      <c r="W309" s="65">
        <f t="shared" si="4"/>
        <v>0</v>
      </c>
      <c r="X309" s="53" t="s">
        <v>379</v>
      </c>
    </row>
    <row r="310" spans="1:24" ht="40.15">
      <c r="A310" s="53">
        <v>1298</v>
      </c>
      <c r="B310" s="71" t="s">
        <v>928</v>
      </c>
      <c r="C310" s="45" t="s">
        <v>929</v>
      </c>
      <c r="D310" s="69" t="s">
        <v>935</v>
      </c>
      <c r="E310" s="45">
        <v>0</v>
      </c>
      <c r="F310" s="46">
        <v>129</v>
      </c>
      <c r="G310" s="47" t="s">
        <v>934</v>
      </c>
      <c r="I310" s="45" t="s">
        <v>205</v>
      </c>
      <c r="L310" s="143" t="s">
        <v>932</v>
      </c>
      <c r="O310" s="45" t="s">
        <v>377</v>
      </c>
      <c r="P310" s="45" t="s">
        <v>378</v>
      </c>
      <c r="Q310" s="75">
        <f>VLOOKUP(B310,LOV!$B:$C,2,FALSE)</f>
        <v>230</v>
      </c>
      <c r="R310" s="75" t="str">
        <f>VLOOKUP(B310,LOV!$B:$D,3,FALSE)</f>
        <v>CC</v>
      </c>
      <c r="S310" s="75" t="str">
        <f>VLOOKUP($X310,LOV!$F:$L,2,FALSE)</f>
        <v>WK3</v>
      </c>
      <c r="T310" s="88">
        <f>VLOOKUP($X310,LOV!$F:$L,7,FALSE)</f>
        <v>45929</v>
      </c>
      <c r="U310" s="53">
        <v>8</v>
      </c>
      <c r="V310" s="53">
        <v>3</v>
      </c>
      <c r="W310" s="65">
        <f t="shared" si="4"/>
        <v>0</v>
      </c>
      <c r="X310" s="53" t="s">
        <v>379</v>
      </c>
    </row>
    <row r="311" spans="1:24" ht="40.15">
      <c r="A311" s="53">
        <v>1299</v>
      </c>
      <c r="B311" s="71" t="s">
        <v>928</v>
      </c>
      <c r="C311" s="45" t="s">
        <v>929</v>
      </c>
      <c r="D311" s="69" t="s">
        <v>936</v>
      </c>
      <c r="E311" s="45">
        <v>0</v>
      </c>
      <c r="F311" s="46">
        <v>130</v>
      </c>
      <c r="G311" s="47" t="s">
        <v>934</v>
      </c>
      <c r="I311" s="45" t="s">
        <v>205</v>
      </c>
      <c r="L311" s="143" t="s">
        <v>932</v>
      </c>
      <c r="O311" s="45" t="s">
        <v>377</v>
      </c>
      <c r="P311" s="45" t="s">
        <v>378</v>
      </c>
      <c r="Q311" s="75">
        <f>VLOOKUP(B311,LOV!$B:$C,2,FALSE)</f>
        <v>230</v>
      </c>
      <c r="R311" s="75" t="str">
        <f>VLOOKUP(B311,LOV!$B:$D,3,FALSE)</f>
        <v>CC</v>
      </c>
      <c r="S311" s="75" t="str">
        <f>VLOOKUP($X311,LOV!$F:$L,2,FALSE)</f>
        <v>WK3</v>
      </c>
      <c r="T311" s="88">
        <f>VLOOKUP($X311,LOV!$F:$L,7,FALSE)</f>
        <v>45929</v>
      </c>
      <c r="U311" s="53">
        <v>8</v>
      </c>
      <c r="V311" s="53">
        <v>3</v>
      </c>
      <c r="W311" s="65">
        <f t="shared" si="4"/>
        <v>0</v>
      </c>
      <c r="X311" s="53" t="s">
        <v>379</v>
      </c>
    </row>
    <row r="312" spans="1:24" ht="40.15">
      <c r="A312" s="53">
        <v>1300</v>
      </c>
      <c r="B312" s="71" t="s">
        <v>928</v>
      </c>
      <c r="C312" s="45" t="s">
        <v>937</v>
      </c>
      <c r="D312" s="69" t="s">
        <v>938</v>
      </c>
      <c r="E312" s="45">
        <v>1</v>
      </c>
      <c r="F312" s="46">
        <v>130</v>
      </c>
      <c r="G312" s="47" t="s">
        <v>939</v>
      </c>
      <c r="I312" s="45" t="s">
        <v>205</v>
      </c>
      <c r="L312" s="143" t="s">
        <v>932</v>
      </c>
      <c r="O312" s="45" t="s">
        <v>377</v>
      </c>
      <c r="P312" s="45" t="s">
        <v>378</v>
      </c>
      <c r="Q312" s="75">
        <f>VLOOKUP(B312,LOV!$B:$C,2,FALSE)</f>
        <v>230</v>
      </c>
      <c r="R312" s="75" t="str">
        <f>VLOOKUP(B312,LOV!$B:$D,3,FALSE)</f>
        <v>CC</v>
      </c>
      <c r="S312" s="75" t="str">
        <f>VLOOKUP($X312,LOV!$F:$L,2,FALSE)</f>
        <v>WK3</v>
      </c>
      <c r="T312" s="88">
        <f>VLOOKUP($X312,LOV!$F:$L,7,FALSE)</f>
        <v>45929</v>
      </c>
      <c r="U312" s="53">
        <v>8</v>
      </c>
      <c r="V312" s="53">
        <v>2</v>
      </c>
      <c r="W312" s="65">
        <f t="shared" si="4"/>
        <v>1</v>
      </c>
      <c r="X312" s="53" t="s">
        <v>379</v>
      </c>
    </row>
    <row r="313" spans="1:24" ht="40.15">
      <c r="A313" s="53">
        <v>1301</v>
      </c>
      <c r="B313" s="71" t="s">
        <v>928</v>
      </c>
      <c r="C313" s="45" t="s">
        <v>940</v>
      </c>
      <c r="D313" s="69" t="s">
        <v>941</v>
      </c>
      <c r="E313" s="45">
        <v>1</v>
      </c>
      <c r="F313" s="46">
        <v>130</v>
      </c>
      <c r="G313" s="47" t="s">
        <v>242</v>
      </c>
      <c r="I313" s="45" t="s">
        <v>205</v>
      </c>
      <c r="L313" s="143" t="s">
        <v>932</v>
      </c>
      <c r="M313" s="47" t="s">
        <v>942</v>
      </c>
      <c r="O313" s="45" t="s">
        <v>377</v>
      </c>
      <c r="P313" s="45" t="s">
        <v>378</v>
      </c>
      <c r="Q313" s="75">
        <f>VLOOKUP(B313,LOV!$B:$C,2,FALSE)</f>
        <v>230</v>
      </c>
      <c r="R313" s="75" t="str">
        <f>VLOOKUP(B313,LOV!$B:$D,3,FALSE)</f>
        <v>CC</v>
      </c>
      <c r="S313" s="75" t="str">
        <f>VLOOKUP($X313,LOV!$F:$L,2,FALSE)</f>
        <v>WK3</v>
      </c>
      <c r="T313" s="88">
        <f>VLOOKUP($X313,LOV!$F:$L,7,FALSE)</f>
        <v>45929</v>
      </c>
      <c r="U313" s="53">
        <v>8</v>
      </c>
      <c r="V313" s="53">
        <v>1</v>
      </c>
      <c r="W313" s="65">
        <f t="shared" si="4"/>
        <v>0.5</v>
      </c>
      <c r="X313" s="53" t="s">
        <v>379</v>
      </c>
    </row>
    <row r="314" spans="1:24" ht="40.15">
      <c r="A314" s="53">
        <v>1302</v>
      </c>
      <c r="B314" s="71" t="s">
        <v>928</v>
      </c>
      <c r="C314" s="45" t="s">
        <v>940</v>
      </c>
      <c r="D314" s="69" t="s">
        <v>943</v>
      </c>
      <c r="E314" s="45">
        <v>0</v>
      </c>
      <c r="F314" s="46">
        <v>130</v>
      </c>
      <c r="G314" s="47" t="s">
        <v>934</v>
      </c>
      <c r="I314" s="45" t="s">
        <v>205</v>
      </c>
      <c r="L314" s="143" t="s">
        <v>932</v>
      </c>
      <c r="M314" s="47" t="s">
        <v>944</v>
      </c>
      <c r="O314" s="45" t="s">
        <v>377</v>
      </c>
      <c r="P314" s="45" t="s">
        <v>378</v>
      </c>
      <c r="Q314" s="75">
        <f>VLOOKUP(B314,LOV!$B:$C,2,FALSE)</f>
        <v>230</v>
      </c>
      <c r="R314" s="75" t="str">
        <f>VLOOKUP(B314,LOV!$B:$D,3,FALSE)</f>
        <v>CC</v>
      </c>
      <c r="S314" s="75" t="str">
        <f>VLOOKUP($X314,LOV!$F:$L,2,FALSE)</f>
        <v>WK3</v>
      </c>
      <c r="T314" s="88">
        <f>VLOOKUP($X314,LOV!$F:$L,7,FALSE)</f>
        <v>45929</v>
      </c>
      <c r="U314" s="53">
        <v>8</v>
      </c>
      <c r="V314" s="53">
        <v>3</v>
      </c>
      <c r="W314" s="65">
        <f t="shared" si="4"/>
        <v>0</v>
      </c>
      <c r="X314" s="53" t="s">
        <v>379</v>
      </c>
    </row>
    <row r="315" spans="1:24" ht="40.15">
      <c r="A315" s="53">
        <v>1303</v>
      </c>
      <c r="B315" s="71" t="s">
        <v>928</v>
      </c>
      <c r="C315" s="45" t="s">
        <v>940</v>
      </c>
      <c r="D315" s="69" t="s">
        <v>945</v>
      </c>
      <c r="E315" s="45">
        <v>0</v>
      </c>
      <c r="F315" s="46">
        <v>130</v>
      </c>
      <c r="G315" s="47" t="s">
        <v>934</v>
      </c>
      <c r="I315" s="45" t="s">
        <v>205</v>
      </c>
      <c r="L315" s="143" t="s">
        <v>932</v>
      </c>
      <c r="O315" s="45" t="s">
        <v>377</v>
      </c>
      <c r="P315" s="45" t="s">
        <v>378</v>
      </c>
      <c r="Q315" s="75">
        <f>VLOOKUP(B315,LOV!$B:$C,2,FALSE)</f>
        <v>230</v>
      </c>
      <c r="R315" s="75" t="str">
        <f>VLOOKUP(B315,LOV!$B:$D,3,FALSE)</f>
        <v>CC</v>
      </c>
      <c r="S315" s="75" t="str">
        <f>VLOOKUP($X315,LOV!$F:$L,2,FALSE)</f>
        <v>WK3</v>
      </c>
      <c r="T315" s="88">
        <f>VLOOKUP($X315,LOV!$F:$L,7,FALSE)</f>
        <v>45929</v>
      </c>
      <c r="U315" s="53">
        <v>8</v>
      </c>
      <c r="V315" s="53">
        <v>3</v>
      </c>
      <c r="W315" s="65">
        <f t="shared" si="4"/>
        <v>0</v>
      </c>
      <c r="X315" s="53" t="s">
        <v>379</v>
      </c>
    </row>
  </sheetData>
  <autoFilter ref="A3:AA315" xr:uid="{AE0CC317-0C6F-45F6-A039-10947180B1D2}"/>
  <sortState xmlns:xlrd2="http://schemas.microsoft.com/office/spreadsheetml/2017/richdata2" ref="A4:AA315">
    <sortCondition ref="A4:A315"/>
  </sortState>
  <phoneticPr fontId="10" type="noConversion"/>
  <conditionalFormatting sqref="D1:D1048576">
    <cfRule type="duplicateValues" dxfId="17" priority="4"/>
  </conditionalFormatting>
  <conditionalFormatting sqref="G96:H112 H115 G209:H267 G271:H271 G279:H1048576 G1:H52">
    <cfRule type="containsText" dxfId="16" priority="24" operator="containsText" text="header only">
      <formula>NOT(ISERROR(SEARCH("header only",G1)))</formula>
    </cfRule>
  </conditionalFormatting>
  <conditionalFormatting sqref="G54:H89 G113:G115 G116:H207">
    <cfRule type="containsText" dxfId="15" priority="1" operator="containsText" text="header only">
      <formula>NOT(ISERROR(SEARCH("header only",G54)))</formula>
    </cfRule>
  </conditionalFormatting>
  <conditionalFormatting sqref="G91:H94">
    <cfRule type="containsText" dxfId="14" priority="20" operator="containsText" text="header only">
      <formula>NOT(ISERROR(SEARCH("header only",G91)))</formula>
    </cfRule>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05E04-0FC3-4AA6-A584-87F4E8621708}">
  <sheetPr>
    <tabColor rgb="FF00B050"/>
  </sheetPr>
  <dimension ref="A1:BE320"/>
  <sheetViews>
    <sheetView topLeftCell="D1" zoomScaleNormal="100" workbookViewId="0">
      <pane ySplit="7" topLeftCell="A8" activePane="bottomLeft" state="frozen"/>
      <selection pane="bottomLeft" activeCell="AX27" sqref="AX27"/>
    </sheetView>
  </sheetViews>
  <sheetFormatPr defaultRowHeight="14.45" outlineLevelCol="1"/>
  <cols>
    <col min="1" max="1" width="12.140625" customWidth="1"/>
    <col min="2" max="2" width="14.140625" customWidth="1" outlineLevel="1"/>
    <col min="3" max="3" width="8.42578125" customWidth="1" outlineLevel="1"/>
    <col min="4" max="4" width="10.85546875" customWidth="1" outlineLevel="1"/>
    <col min="5" max="5" width="6.5703125" customWidth="1" outlineLevel="1"/>
    <col min="6" max="6" width="31.28515625" customWidth="1" outlineLevel="1"/>
    <col min="7" max="7" width="47" customWidth="1" outlineLevel="1"/>
    <col min="8" max="12" width="10" customWidth="1" outlineLevel="1"/>
    <col min="13" max="13" width="3.5703125" customWidth="1" outlineLevel="1"/>
    <col min="14" max="14" width="3.5703125" customWidth="1"/>
    <col min="15" max="15" width="4.5703125" style="15" customWidth="1"/>
    <col min="16" max="16" width="11.140625" customWidth="1" outlineLevel="1"/>
    <col min="17" max="17" width="14.42578125" customWidth="1" outlineLevel="1"/>
    <col min="18" max="18" width="10.42578125" customWidth="1" outlineLevel="1"/>
    <col min="19" max="19" width="6.5703125" customWidth="1" outlineLevel="1"/>
    <col min="20" max="20" width="47.42578125" customWidth="1" outlineLevel="1"/>
    <col min="21" max="25" width="7.140625" customWidth="1" outlineLevel="1"/>
    <col min="26" max="26" width="3.42578125" customWidth="1" outlineLevel="1"/>
    <col min="27" max="27" width="3.42578125" customWidth="1"/>
    <col min="28" max="28" width="4.5703125" style="15" customWidth="1"/>
    <col min="29" max="29" width="10.7109375" customWidth="1" outlineLevel="1"/>
    <col min="30" max="30" width="13.28515625" customWidth="1" outlineLevel="1"/>
    <col min="31" max="31" width="8.140625" customWidth="1" outlineLevel="1"/>
    <col min="32" max="32" width="6.7109375" customWidth="1" outlineLevel="1"/>
    <col min="33" max="33" width="24.85546875" customWidth="1" outlineLevel="1"/>
    <col min="34" max="34" width="8.28515625" customWidth="1" outlineLevel="1"/>
    <col min="35" max="35" width="47.7109375" customWidth="1" outlineLevel="1"/>
    <col min="36" max="36" width="11.85546875" customWidth="1" outlineLevel="1"/>
    <col min="37" max="37" width="11.42578125" customWidth="1" outlineLevel="1"/>
    <col min="38" max="38" width="9.28515625" customWidth="1" outlineLevel="1"/>
    <col min="39" max="39" width="11" customWidth="1" outlineLevel="1"/>
    <col min="40" max="40" width="9.85546875" customWidth="1" outlineLevel="1"/>
    <col min="41" max="41" width="9.140625" customWidth="1" outlineLevel="1" collapsed="1"/>
    <col min="42" max="43" width="4" customWidth="1"/>
    <col min="44" max="44" width="4.7109375" style="15" customWidth="1"/>
    <col min="45" max="45" width="10.7109375" customWidth="1" outlineLevel="1"/>
    <col min="46" max="46" width="47.42578125" customWidth="1" outlineLevel="1"/>
    <col min="47" max="47" width="8.140625" customWidth="1" outlineLevel="1"/>
    <col min="48" max="48" width="3.7109375" customWidth="1" outlineLevel="1"/>
    <col min="49" max="49" width="3.7109375" customWidth="1"/>
    <col min="50" max="50" width="8.28515625" customWidth="1"/>
    <col min="51" max="51" width="47.7109375" customWidth="1"/>
    <col min="52" max="52" width="11.85546875" customWidth="1"/>
    <col min="53" max="53" width="11.42578125" customWidth="1"/>
    <col min="54" max="54" width="9.28515625" customWidth="1"/>
    <col min="55" max="55" width="11" customWidth="1"/>
    <col min="56" max="56" width="9.85546875" customWidth="1"/>
  </cols>
  <sheetData>
    <row r="1" spans="1:57">
      <c r="A1" s="44" t="s">
        <v>946</v>
      </c>
      <c r="B1" s="27"/>
      <c r="C1" s="27"/>
      <c r="D1" s="27"/>
      <c r="E1" s="27"/>
      <c r="F1" s="27"/>
      <c r="G1" s="27"/>
      <c r="H1" s="27"/>
      <c r="I1" s="27"/>
      <c r="J1" s="27"/>
      <c r="K1" s="27"/>
      <c r="L1" s="27"/>
      <c r="M1" s="27"/>
      <c r="P1" s="90" t="s">
        <v>947</v>
      </c>
      <c r="Q1" s="3"/>
      <c r="R1" s="3"/>
      <c r="S1" s="3"/>
      <c r="T1" s="3"/>
      <c r="U1" s="3"/>
      <c r="V1" s="3"/>
      <c r="W1" s="3"/>
      <c r="X1" s="3"/>
      <c r="Y1" s="3"/>
      <c r="AC1" s="93" t="s">
        <v>948</v>
      </c>
      <c r="AD1" s="94"/>
      <c r="AE1" s="94"/>
      <c r="AF1" s="94"/>
      <c r="AG1" s="94"/>
      <c r="AH1" s="94"/>
      <c r="AI1" s="94"/>
      <c r="AJ1" s="94"/>
      <c r="AK1" s="94"/>
      <c r="AS1" s="110" t="s">
        <v>949</v>
      </c>
      <c r="AT1" s="111"/>
      <c r="AU1" s="111"/>
      <c r="AV1" s="102"/>
      <c r="AW1" s="102"/>
      <c r="AX1" s="102"/>
      <c r="AY1" s="102"/>
      <c r="AZ1" s="102"/>
      <c r="BA1" s="102"/>
    </row>
    <row r="5" spans="1:57">
      <c r="U5" t="s">
        <v>950</v>
      </c>
    </row>
    <row r="6" spans="1:57">
      <c r="A6" s="17" t="s">
        <v>951</v>
      </c>
      <c r="H6" s="17" t="s">
        <v>194</v>
      </c>
      <c r="P6" s="17" t="s">
        <v>952</v>
      </c>
      <c r="U6" s="17" t="s">
        <v>950</v>
      </c>
      <c r="AL6" s="17" t="s">
        <v>953</v>
      </c>
      <c r="AS6" s="17" t="s">
        <v>951</v>
      </c>
    </row>
    <row r="7" spans="1:57" s="11" customFormat="1" ht="43.15">
      <c r="A7" s="91" t="s">
        <v>191</v>
      </c>
      <c r="B7" s="91" t="s">
        <v>192</v>
      </c>
      <c r="C7" s="91" t="s">
        <v>196</v>
      </c>
      <c r="D7" s="91" t="s">
        <v>190</v>
      </c>
      <c r="E7" s="91" t="s">
        <v>189</v>
      </c>
      <c r="F7" s="91" t="s">
        <v>174</v>
      </c>
      <c r="G7" s="17" t="s">
        <v>954</v>
      </c>
      <c r="H7">
        <v>3</v>
      </c>
      <c r="I7">
        <v>2</v>
      </c>
      <c r="J7">
        <v>1</v>
      </c>
      <c r="K7">
        <v>0</v>
      </c>
      <c r="L7" t="s">
        <v>955</v>
      </c>
      <c r="M7"/>
      <c r="O7" s="92"/>
      <c r="P7" s="91" t="s">
        <v>191</v>
      </c>
      <c r="Q7" s="91" t="s">
        <v>192</v>
      </c>
      <c r="R7" s="91" t="s">
        <v>190</v>
      </c>
      <c r="S7" s="91" t="s">
        <v>189</v>
      </c>
      <c r="T7" s="91" t="s">
        <v>174</v>
      </c>
      <c r="U7" s="11">
        <v>3</v>
      </c>
      <c r="V7" s="11">
        <v>2</v>
      </c>
      <c r="W7" s="11">
        <v>1</v>
      </c>
      <c r="X7" s="11">
        <v>0</v>
      </c>
      <c r="Y7" s="11" t="s">
        <v>955</v>
      </c>
      <c r="Z7"/>
      <c r="AB7" s="92"/>
      <c r="AC7" s="91" t="s">
        <v>191</v>
      </c>
      <c r="AD7" s="91" t="s">
        <v>192</v>
      </c>
      <c r="AE7" s="91" t="s">
        <v>196</v>
      </c>
      <c r="AF7" s="91" t="s">
        <v>189</v>
      </c>
      <c r="AG7" s="91" t="s">
        <v>174</v>
      </c>
      <c r="AH7" s="17" t="s">
        <v>956</v>
      </c>
      <c r="AI7" s="17" t="s">
        <v>954</v>
      </c>
      <c r="AJ7" s="91" t="s">
        <v>187</v>
      </c>
      <c r="AK7" s="17" t="s">
        <v>194</v>
      </c>
      <c r="AL7" s="11" t="s">
        <v>951</v>
      </c>
      <c r="AM7" s="11" t="s">
        <v>957</v>
      </c>
      <c r="AN7" s="11" t="s">
        <v>958</v>
      </c>
      <c r="AO7" s="11" t="s">
        <v>959</v>
      </c>
      <c r="AR7" s="92"/>
      <c r="AS7" s="91" t="s">
        <v>189</v>
      </c>
      <c r="AT7" s="91" t="s">
        <v>174</v>
      </c>
      <c r="AU7" s="11" t="s">
        <v>960</v>
      </c>
      <c r="AV7"/>
      <c r="AW7"/>
      <c r="AX7"/>
      <c r="AY7"/>
      <c r="AZ7"/>
      <c r="BA7"/>
      <c r="BB7"/>
      <c r="BC7"/>
      <c r="BD7"/>
      <c r="BE7"/>
    </row>
    <row r="8" spans="1:57">
      <c r="A8" t="s">
        <v>961</v>
      </c>
      <c r="B8" s="81">
        <v>45916</v>
      </c>
      <c r="C8" t="s">
        <v>230</v>
      </c>
      <c r="D8" t="s">
        <v>962</v>
      </c>
      <c r="E8">
        <v>10</v>
      </c>
      <c r="F8" t="s">
        <v>200</v>
      </c>
      <c r="G8" t="s">
        <v>12</v>
      </c>
      <c r="H8">
        <v>1</v>
      </c>
      <c r="L8">
        <v>1</v>
      </c>
      <c r="P8" t="s">
        <v>961</v>
      </c>
      <c r="Q8" s="81">
        <v>45916</v>
      </c>
      <c r="R8" t="s">
        <v>962</v>
      </c>
      <c r="S8">
        <v>10</v>
      </c>
      <c r="T8" t="s">
        <v>200</v>
      </c>
      <c r="U8">
        <v>6</v>
      </c>
      <c r="V8">
        <v>7</v>
      </c>
      <c r="W8">
        <v>12</v>
      </c>
      <c r="Y8">
        <v>25</v>
      </c>
      <c r="AC8" t="s">
        <v>961</v>
      </c>
      <c r="AD8" s="81">
        <v>45916</v>
      </c>
      <c r="AE8" t="s">
        <v>230</v>
      </c>
      <c r="AF8">
        <v>10</v>
      </c>
      <c r="AG8" t="s">
        <v>200</v>
      </c>
      <c r="AH8">
        <v>1007</v>
      </c>
      <c r="AI8" t="s">
        <v>12</v>
      </c>
      <c r="AJ8" t="s">
        <v>207</v>
      </c>
      <c r="AK8">
        <v>3</v>
      </c>
      <c r="AL8">
        <v>1</v>
      </c>
      <c r="AM8">
        <v>1</v>
      </c>
      <c r="AN8">
        <v>1</v>
      </c>
      <c r="AO8">
        <v>1</v>
      </c>
      <c r="AS8" s="68">
        <v>10</v>
      </c>
      <c r="AT8" s="68" t="s">
        <v>200</v>
      </c>
      <c r="AU8" s="68">
        <v>55</v>
      </c>
    </row>
    <row r="9" spans="1:57">
      <c r="G9" t="s">
        <v>11</v>
      </c>
      <c r="H9">
        <v>1</v>
      </c>
      <c r="L9">
        <v>1</v>
      </c>
      <c r="P9" s="73" t="s">
        <v>963</v>
      </c>
      <c r="Q9" s="73"/>
      <c r="R9" s="73"/>
      <c r="S9" s="73"/>
      <c r="T9" s="73"/>
      <c r="U9" s="73">
        <v>6</v>
      </c>
      <c r="V9" s="73">
        <v>7</v>
      </c>
      <c r="W9" s="73">
        <v>12</v>
      </c>
      <c r="X9" s="73"/>
      <c r="Y9" s="73">
        <v>25</v>
      </c>
      <c r="AH9">
        <v>1008</v>
      </c>
      <c r="AI9" t="s">
        <v>11</v>
      </c>
      <c r="AJ9" t="s">
        <v>207</v>
      </c>
      <c r="AK9">
        <v>3</v>
      </c>
      <c r="AL9">
        <v>1</v>
      </c>
      <c r="AM9">
        <v>1</v>
      </c>
      <c r="AN9">
        <v>1</v>
      </c>
      <c r="AO9">
        <v>1</v>
      </c>
      <c r="AS9">
        <v>20</v>
      </c>
      <c r="AT9" t="s">
        <v>373</v>
      </c>
      <c r="AU9">
        <v>15</v>
      </c>
    </row>
    <row r="10" spans="1:57">
      <c r="G10" t="s">
        <v>14</v>
      </c>
      <c r="H10">
        <v>1</v>
      </c>
      <c r="L10">
        <v>1</v>
      </c>
      <c r="P10" t="s">
        <v>964</v>
      </c>
      <c r="Q10" s="81">
        <v>45922</v>
      </c>
      <c r="R10" t="s">
        <v>962</v>
      </c>
      <c r="S10">
        <v>10</v>
      </c>
      <c r="T10" t="s">
        <v>200</v>
      </c>
      <c r="U10">
        <v>1</v>
      </c>
      <c r="V10">
        <v>13</v>
      </c>
      <c r="W10">
        <v>10</v>
      </c>
      <c r="X10">
        <v>6</v>
      </c>
      <c r="Y10">
        <v>30</v>
      </c>
      <c r="AH10">
        <v>1009</v>
      </c>
      <c r="AI10" t="s">
        <v>13</v>
      </c>
      <c r="AJ10" t="s">
        <v>207</v>
      </c>
      <c r="AK10">
        <v>3</v>
      </c>
      <c r="AL10">
        <v>1</v>
      </c>
      <c r="AM10">
        <v>1</v>
      </c>
      <c r="AN10">
        <v>1</v>
      </c>
      <c r="AO10">
        <v>1</v>
      </c>
      <c r="AS10">
        <v>30</v>
      </c>
      <c r="AT10" t="s">
        <v>400</v>
      </c>
      <c r="AU10">
        <v>1</v>
      </c>
    </row>
    <row r="11" spans="1:57">
      <c r="G11" t="s">
        <v>13</v>
      </c>
      <c r="H11">
        <v>1</v>
      </c>
      <c r="L11">
        <v>1</v>
      </c>
      <c r="R11" t="s">
        <v>965</v>
      </c>
      <c r="S11">
        <v>50</v>
      </c>
      <c r="T11" t="s">
        <v>430</v>
      </c>
      <c r="U11">
        <v>3</v>
      </c>
      <c r="V11">
        <v>9</v>
      </c>
      <c r="W11">
        <v>17</v>
      </c>
      <c r="X11">
        <v>23</v>
      </c>
      <c r="Y11">
        <v>52</v>
      </c>
      <c r="AH11">
        <v>1010</v>
      </c>
      <c r="AI11" t="s">
        <v>14</v>
      </c>
      <c r="AJ11" t="s">
        <v>207</v>
      </c>
      <c r="AK11">
        <v>3</v>
      </c>
      <c r="AL11">
        <v>1</v>
      </c>
      <c r="AM11">
        <v>1</v>
      </c>
      <c r="AN11">
        <v>1</v>
      </c>
      <c r="AO11">
        <v>1</v>
      </c>
      <c r="AS11">
        <v>40</v>
      </c>
      <c r="AT11" t="s">
        <v>408</v>
      </c>
      <c r="AU11">
        <v>13</v>
      </c>
    </row>
    <row r="12" spans="1:57">
      <c r="G12" t="s">
        <v>45</v>
      </c>
      <c r="J12">
        <v>1</v>
      </c>
      <c r="L12">
        <v>1</v>
      </c>
      <c r="R12" t="s">
        <v>966</v>
      </c>
      <c r="S12">
        <v>100</v>
      </c>
      <c r="T12" t="s">
        <v>449</v>
      </c>
      <c r="V12">
        <v>2</v>
      </c>
      <c r="W12">
        <v>17</v>
      </c>
      <c r="X12">
        <v>5</v>
      </c>
      <c r="Y12">
        <v>24</v>
      </c>
      <c r="AH12">
        <v>1011</v>
      </c>
      <c r="AI12" t="s">
        <v>241</v>
      </c>
      <c r="AJ12" t="s">
        <v>207</v>
      </c>
      <c r="AK12">
        <v>1</v>
      </c>
      <c r="AL12">
        <v>1</v>
      </c>
      <c r="AM12">
        <v>1</v>
      </c>
      <c r="AN12">
        <v>1</v>
      </c>
      <c r="AO12">
        <v>1</v>
      </c>
      <c r="AS12">
        <v>50</v>
      </c>
      <c r="AT12" t="s">
        <v>430</v>
      </c>
      <c r="AU12">
        <v>52</v>
      </c>
    </row>
    <row r="13" spans="1:57">
      <c r="G13" t="s">
        <v>15</v>
      </c>
      <c r="I13">
        <v>1</v>
      </c>
      <c r="L13">
        <v>1</v>
      </c>
      <c r="P13" s="73" t="s">
        <v>967</v>
      </c>
      <c r="Q13" s="73"/>
      <c r="R13" s="73"/>
      <c r="S13" s="73"/>
      <c r="T13" s="73"/>
      <c r="U13" s="73">
        <v>4</v>
      </c>
      <c r="V13" s="73">
        <v>24</v>
      </c>
      <c r="W13" s="73">
        <v>44</v>
      </c>
      <c r="X13" s="73">
        <v>34</v>
      </c>
      <c r="Y13" s="73">
        <v>106</v>
      </c>
      <c r="AH13">
        <v>1012</v>
      </c>
      <c r="AI13" t="s">
        <v>244</v>
      </c>
      <c r="AJ13" t="s">
        <v>207</v>
      </c>
      <c r="AK13">
        <v>1</v>
      </c>
      <c r="AL13">
        <v>1</v>
      </c>
      <c r="AM13">
        <v>1</v>
      </c>
      <c r="AN13">
        <v>1</v>
      </c>
      <c r="AO13">
        <v>1</v>
      </c>
      <c r="AS13">
        <v>60</v>
      </c>
      <c r="AT13" t="s">
        <v>592</v>
      </c>
      <c r="AU13">
        <v>2</v>
      </c>
    </row>
    <row r="14" spans="1:57">
      <c r="G14" t="s">
        <v>49</v>
      </c>
      <c r="J14">
        <v>1</v>
      </c>
      <c r="L14">
        <v>1</v>
      </c>
      <c r="P14" t="s">
        <v>968</v>
      </c>
      <c r="Q14" s="81">
        <v>45929</v>
      </c>
      <c r="R14" t="s">
        <v>966</v>
      </c>
      <c r="S14">
        <v>100</v>
      </c>
      <c r="T14" t="s">
        <v>449</v>
      </c>
      <c r="V14">
        <v>2</v>
      </c>
      <c r="W14">
        <v>21</v>
      </c>
      <c r="X14">
        <v>8</v>
      </c>
      <c r="Y14">
        <v>31</v>
      </c>
      <c r="AH14">
        <v>1014</v>
      </c>
      <c r="AI14" t="s">
        <v>15</v>
      </c>
      <c r="AJ14" t="s">
        <v>207</v>
      </c>
      <c r="AK14">
        <v>2</v>
      </c>
      <c r="AL14">
        <v>1</v>
      </c>
      <c r="AM14">
        <v>1</v>
      </c>
      <c r="AN14">
        <v>1</v>
      </c>
      <c r="AO14">
        <v>1</v>
      </c>
      <c r="AS14">
        <v>70</v>
      </c>
      <c r="AT14" t="s">
        <v>598</v>
      </c>
      <c r="AU14">
        <v>1</v>
      </c>
    </row>
    <row r="15" spans="1:57">
      <c r="G15" t="s">
        <v>241</v>
      </c>
      <c r="J15">
        <v>1</v>
      </c>
      <c r="L15">
        <v>1</v>
      </c>
      <c r="S15">
        <v>230</v>
      </c>
      <c r="T15" t="s">
        <v>928</v>
      </c>
      <c r="U15">
        <v>5</v>
      </c>
      <c r="V15">
        <v>1</v>
      </c>
      <c r="W15">
        <v>3</v>
      </c>
      <c r="Y15">
        <v>9</v>
      </c>
      <c r="AH15">
        <v>1015</v>
      </c>
      <c r="AI15" t="s">
        <v>45</v>
      </c>
      <c r="AJ15" t="s">
        <v>207</v>
      </c>
      <c r="AK15">
        <v>1</v>
      </c>
      <c r="AL15">
        <v>1</v>
      </c>
      <c r="AM15">
        <v>1</v>
      </c>
      <c r="AN15">
        <v>1</v>
      </c>
      <c r="AO15">
        <v>1</v>
      </c>
      <c r="AS15">
        <v>80</v>
      </c>
      <c r="AT15" t="s">
        <v>602</v>
      </c>
      <c r="AU15">
        <v>1</v>
      </c>
    </row>
    <row r="16" spans="1:57">
      <c r="G16" t="s">
        <v>244</v>
      </c>
      <c r="J16">
        <v>1</v>
      </c>
      <c r="L16">
        <v>1</v>
      </c>
      <c r="R16" t="s">
        <v>969</v>
      </c>
      <c r="S16">
        <v>20</v>
      </c>
      <c r="T16" t="s">
        <v>373</v>
      </c>
      <c r="V16">
        <v>1</v>
      </c>
      <c r="W16">
        <v>14</v>
      </c>
      <c r="Y16">
        <v>15</v>
      </c>
      <c r="AH16">
        <v>1016</v>
      </c>
      <c r="AI16" t="s">
        <v>49</v>
      </c>
      <c r="AJ16" t="s">
        <v>207</v>
      </c>
      <c r="AK16">
        <v>1</v>
      </c>
      <c r="AL16">
        <v>1</v>
      </c>
      <c r="AM16">
        <v>1</v>
      </c>
      <c r="AN16">
        <v>1</v>
      </c>
      <c r="AO16">
        <v>1</v>
      </c>
      <c r="AS16">
        <v>90</v>
      </c>
      <c r="AT16" t="s">
        <v>604</v>
      </c>
      <c r="AU16">
        <v>1</v>
      </c>
    </row>
    <row r="17" spans="3:47">
      <c r="C17" t="s">
        <v>252</v>
      </c>
      <c r="D17" t="s">
        <v>962</v>
      </c>
      <c r="E17">
        <v>10</v>
      </c>
      <c r="F17" t="s">
        <v>200</v>
      </c>
      <c r="G17" t="s">
        <v>286</v>
      </c>
      <c r="J17">
        <v>1</v>
      </c>
      <c r="L17">
        <v>1</v>
      </c>
      <c r="S17">
        <v>70</v>
      </c>
      <c r="T17" t="s">
        <v>598</v>
      </c>
      <c r="V17">
        <v>1</v>
      </c>
      <c r="Y17">
        <v>1</v>
      </c>
      <c r="AE17" t="s">
        <v>252</v>
      </c>
      <c r="AF17">
        <v>10</v>
      </c>
      <c r="AG17" t="s">
        <v>200</v>
      </c>
      <c r="AH17">
        <v>1013</v>
      </c>
      <c r="AI17" t="s">
        <v>40</v>
      </c>
      <c r="AJ17" t="s">
        <v>207</v>
      </c>
      <c r="AK17">
        <v>1</v>
      </c>
      <c r="AL17">
        <v>1</v>
      </c>
      <c r="AM17">
        <v>1</v>
      </c>
      <c r="AN17">
        <v>1</v>
      </c>
      <c r="AO17">
        <v>1</v>
      </c>
      <c r="AS17">
        <v>100</v>
      </c>
      <c r="AT17" t="s">
        <v>449</v>
      </c>
      <c r="AU17">
        <v>55</v>
      </c>
    </row>
    <row r="18" spans="3:47">
      <c r="G18" t="s">
        <v>52</v>
      </c>
      <c r="I18">
        <v>1</v>
      </c>
      <c r="L18">
        <v>1</v>
      </c>
      <c r="S18">
        <v>80</v>
      </c>
      <c r="T18" t="s">
        <v>602</v>
      </c>
      <c r="W18">
        <v>1</v>
      </c>
      <c r="Y18">
        <v>1</v>
      </c>
      <c r="AH18">
        <v>1017</v>
      </c>
      <c r="AI18" t="s">
        <v>52</v>
      </c>
      <c r="AJ18" t="s">
        <v>207</v>
      </c>
      <c r="AK18">
        <v>2</v>
      </c>
      <c r="AL18">
        <v>1</v>
      </c>
      <c r="AM18">
        <v>1</v>
      </c>
      <c r="AN18">
        <v>1</v>
      </c>
      <c r="AO18">
        <v>1</v>
      </c>
      <c r="AS18">
        <v>110</v>
      </c>
      <c r="AT18" t="s">
        <v>726</v>
      </c>
      <c r="AU18">
        <v>11</v>
      </c>
    </row>
    <row r="19" spans="3:47">
      <c r="G19" t="s">
        <v>266</v>
      </c>
      <c r="I19">
        <v>1</v>
      </c>
      <c r="L19">
        <v>1</v>
      </c>
      <c r="S19">
        <v>110</v>
      </c>
      <c r="T19" t="s">
        <v>726</v>
      </c>
      <c r="V19">
        <v>1</v>
      </c>
      <c r="W19">
        <v>6</v>
      </c>
      <c r="X19">
        <v>4</v>
      </c>
      <c r="Y19">
        <v>11</v>
      </c>
      <c r="AH19">
        <v>1018</v>
      </c>
      <c r="AI19" t="s">
        <v>266</v>
      </c>
      <c r="AJ19" t="s">
        <v>207</v>
      </c>
      <c r="AK19">
        <v>2</v>
      </c>
      <c r="AL19">
        <v>1</v>
      </c>
      <c r="AM19">
        <v>1</v>
      </c>
      <c r="AN19">
        <v>1</v>
      </c>
      <c r="AO19">
        <v>1</v>
      </c>
      <c r="AS19">
        <v>120</v>
      </c>
      <c r="AT19" t="s">
        <v>754</v>
      </c>
      <c r="AU19">
        <v>2</v>
      </c>
    </row>
    <row r="20" spans="3:47">
      <c r="G20" t="s">
        <v>107</v>
      </c>
      <c r="H20">
        <v>1</v>
      </c>
      <c r="L20">
        <v>1</v>
      </c>
      <c r="S20">
        <v>200</v>
      </c>
      <c r="T20" t="s">
        <v>862</v>
      </c>
      <c r="W20">
        <v>2</v>
      </c>
      <c r="Y20">
        <v>2</v>
      </c>
      <c r="AH20">
        <v>1019</v>
      </c>
      <c r="AI20" t="s">
        <v>95</v>
      </c>
      <c r="AJ20" t="s">
        <v>207</v>
      </c>
      <c r="AK20">
        <v>2</v>
      </c>
      <c r="AL20">
        <v>1</v>
      </c>
      <c r="AM20">
        <v>1</v>
      </c>
      <c r="AN20">
        <v>1</v>
      </c>
      <c r="AO20">
        <v>1</v>
      </c>
      <c r="AS20">
        <v>130</v>
      </c>
      <c r="AT20" t="s">
        <v>757</v>
      </c>
      <c r="AU20">
        <v>1</v>
      </c>
    </row>
    <row r="21" spans="3:47">
      <c r="G21" t="s">
        <v>98</v>
      </c>
      <c r="I21">
        <v>1</v>
      </c>
      <c r="L21">
        <v>1</v>
      </c>
      <c r="P21" s="73" t="s">
        <v>970</v>
      </c>
      <c r="Q21" s="73"/>
      <c r="R21" s="73"/>
      <c r="S21" s="73"/>
      <c r="T21" s="73"/>
      <c r="U21" s="73">
        <v>5</v>
      </c>
      <c r="V21" s="73">
        <v>6</v>
      </c>
      <c r="W21" s="73">
        <v>47</v>
      </c>
      <c r="X21" s="73">
        <v>12</v>
      </c>
      <c r="Y21" s="73">
        <v>70</v>
      </c>
      <c r="AH21">
        <v>1020</v>
      </c>
      <c r="AI21" t="s">
        <v>96</v>
      </c>
      <c r="AJ21" t="s">
        <v>207</v>
      </c>
      <c r="AK21">
        <v>2</v>
      </c>
      <c r="AL21">
        <v>1</v>
      </c>
      <c r="AM21">
        <v>1</v>
      </c>
      <c r="AN21">
        <v>1</v>
      </c>
      <c r="AO21">
        <v>1</v>
      </c>
      <c r="AS21">
        <v>140</v>
      </c>
      <c r="AT21" t="s">
        <v>760</v>
      </c>
      <c r="AU21">
        <v>4</v>
      </c>
    </row>
    <row r="22" spans="3:47">
      <c r="G22" t="s">
        <v>112</v>
      </c>
      <c r="I22">
        <v>1</v>
      </c>
      <c r="L22">
        <v>1</v>
      </c>
      <c r="P22" t="s">
        <v>971</v>
      </c>
      <c r="Q22" s="81">
        <v>45936</v>
      </c>
      <c r="R22" t="s">
        <v>972</v>
      </c>
      <c r="S22">
        <v>150</v>
      </c>
      <c r="T22" t="s">
        <v>767</v>
      </c>
      <c r="U22">
        <v>4</v>
      </c>
      <c r="W22">
        <v>20</v>
      </c>
      <c r="Y22">
        <v>24</v>
      </c>
      <c r="AH22">
        <v>1021</v>
      </c>
      <c r="AI22" t="s">
        <v>102</v>
      </c>
      <c r="AJ22" t="s">
        <v>207</v>
      </c>
      <c r="AK22">
        <v>1</v>
      </c>
      <c r="AL22">
        <v>1</v>
      </c>
      <c r="AM22">
        <v>1</v>
      </c>
      <c r="AN22">
        <v>1</v>
      </c>
      <c r="AO22">
        <v>1</v>
      </c>
      <c r="AS22">
        <v>150</v>
      </c>
      <c r="AT22" t="s">
        <v>767</v>
      </c>
      <c r="AU22">
        <v>24</v>
      </c>
    </row>
    <row r="23" spans="3:47">
      <c r="G23" t="s">
        <v>109</v>
      </c>
      <c r="H23">
        <v>1</v>
      </c>
      <c r="L23">
        <v>1</v>
      </c>
      <c r="S23">
        <v>160</v>
      </c>
      <c r="T23" t="s">
        <v>820</v>
      </c>
      <c r="W23">
        <v>15</v>
      </c>
      <c r="X23">
        <v>4</v>
      </c>
      <c r="Y23">
        <v>19</v>
      </c>
      <c r="AH23">
        <v>1022</v>
      </c>
      <c r="AI23" t="s">
        <v>97</v>
      </c>
      <c r="AJ23" t="s">
        <v>207</v>
      </c>
      <c r="AK23">
        <v>1</v>
      </c>
      <c r="AL23">
        <v>1</v>
      </c>
      <c r="AM23">
        <v>1</v>
      </c>
      <c r="AN23">
        <v>1</v>
      </c>
      <c r="AO23">
        <v>1</v>
      </c>
      <c r="AS23">
        <v>160</v>
      </c>
      <c r="AT23" t="s">
        <v>820</v>
      </c>
      <c r="AU23">
        <v>19</v>
      </c>
    </row>
    <row r="24" spans="3:47">
      <c r="G24" t="s">
        <v>40</v>
      </c>
      <c r="J24">
        <v>1</v>
      </c>
      <c r="L24">
        <v>1</v>
      </c>
      <c r="P24" s="73" t="s">
        <v>973</v>
      </c>
      <c r="Q24" s="73"/>
      <c r="R24" s="73"/>
      <c r="S24" s="73"/>
      <c r="T24" s="73"/>
      <c r="U24" s="73">
        <v>4</v>
      </c>
      <c r="V24" s="73"/>
      <c r="W24" s="73">
        <v>35</v>
      </c>
      <c r="X24" s="73">
        <v>4</v>
      </c>
      <c r="Y24" s="73">
        <v>43</v>
      </c>
      <c r="AH24">
        <v>1023</v>
      </c>
      <c r="AI24" t="s">
        <v>98</v>
      </c>
      <c r="AJ24" t="s">
        <v>207</v>
      </c>
      <c r="AK24">
        <v>2</v>
      </c>
      <c r="AL24">
        <v>1</v>
      </c>
      <c r="AM24">
        <v>1</v>
      </c>
      <c r="AN24">
        <v>1</v>
      </c>
      <c r="AO24">
        <v>1</v>
      </c>
      <c r="AS24">
        <v>170</v>
      </c>
      <c r="AT24" t="s">
        <v>583</v>
      </c>
      <c r="AU24">
        <v>2</v>
      </c>
    </row>
    <row r="25" spans="3:47">
      <c r="G25" t="s">
        <v>102</v>
      </c>
      <c r="J25">
        <v>1</v>
      </c>
      <c r="L25">
        <v>1</v>
      </c>
      <c r="P25" t="s">
        <v>974</v>
      </c>
      <c r="Q25" s="81">
        <v>45943</v>
      </c>
      <c r="R25" t="s">
        <v>975</v>
      </c>
      <c r="S25">
        <v>120</v>
      </c>
      <c r="T25" t="s">
        <v>754</v>
      </c>
      <c r="W25">
        <v>2</v>
      </c>
      <c r="Y25">
        <v>2</v>
      </c>
      <c r="AH25">
        <v>1024</v>
      </c>
      <c r="AI25" t="s">
        <v>107</v>
      </c>
      <c r="AJ25" t="s">
        <v>207</v>
      </c>
      <c r="AK25">
        <v>3</v>
      </c>
      <c r="AL25">
        <v>1</v>
      </c>
      <c r="AM25">
        <v>1</v>
      </c>
      <c r="AN25">
        <v>1</v>
      </c>
      <c r="AO25">
        <v>1</v>
      </c>
      <c r="AS25">
        <v>180</v>
      </c>
      <c r="AT25" t="s">
        <v>857</v>
      </c>
      <c r="AU25">
        <v>1</v>
      </c>
    </row>
    <row r="26" spans="3:47">
      <c r="G26" t="s">
        <v>97</v>
      </c>
      <c r="J26">
        <v>1</v>
      </c>
      <c r="L26">
        <v>1</v>
      </c>
      <c r="S26">
        <v>130</v>
      </c>
      <c r="T26" t="s">
        <v>757</v>
      </c>
      <c r="W26">
        <v>1</v>
      </c>
      <c r="Y26">
        <v>1</v>
      </c>
      <c r="AH26">
        <v>1025</v>
      </c>
      <c r="AI26" t="s">
        <v>109</v>
      </c>
      <c r="AJ26" t="s">
        <v>207</v>
      </c>
      <c r="AK26">
        <v>3</v>
      </c>
      <c r="AL26">
        <v>1</v>
      </c>
      <c r="AM26">
        <v>1</v>
      </c>
      <c r="AN26">
        <v>1</v>
      </c>
      <c r="AO26">
        <v>1</v>
      </c>
      <c r="AS26">
        <v>190</v>
      </c>
      <c r="AT26" t="s">
        <v>860</v>
      </c>
      <c r="AU26">
        <v>1</v>
      </c>
    </row>
    <row r="27" spans="3:47">
      <c r="G27" t="s">
        <v>95</v>
      </c>
      <c r="I27">
        <v>1</v>
      </c>
      <c r="L27">
        <v>1</v>
      </c>
      <c r="S27">
        <v>140</v>
      </c>
      <c r="T27" t="s">
        <v>760</v>
      </c>
      <c r="W27">
        <v>4</v>
      </c>
      <c r="Y27">
        <v>4</v>
      </c>
      <c r="AH27">
        <v>1026</v>
      </c>
      <c r="AI27" t="s">
        <v>286</v>
      </c>
      <c r="AJ27" t="s">
        <v>207</v>
      </c>
      <c r="AK27">
        <v>1</v>
      </c>
      <c r="AL27">
        <v>1</v>
      </c>
      <c r="AM27">
        <v>1</v>
      </c>
      <c r="AN27">
        <v>1</v>
      </c>
      <c r="AO27">
        <v>1</v>
      </c>
      <c r="AS27">
        <v>200</v>
      </c>
      <c r="AT27" t="s">
        <v>862</v>
      </c>
      <c r="AU27">
        <v>2</v>
      </c>
    </row>
    <row r="28" spans="3:47">
      <c r="G28" t="s">
        <v>96</v>
      </c>
      <c r="I28">
        <v>1</v>
      </c>
      <c r="L28">
        <v>1</v>
      </c>
      <c r="S28">
        <v>170</v>
      </c>
      <c r="T28" t="s">
        <v>583</v>
      </c>
      <c r="W28">
        <v>2</v>
      </c>
      <c r="Y28">
        <v>2</v>
      </c>
      <c r="AH28">
        <v>1027</v>
      </c>
      <c r="AI28" t="s">
        <v>291</v>
      </c>
      <c r="AJ28" t="s">
        <v>207</v>
      </c>
      <c r="AK28">
        <v>1</v>
      </c>
      <c r="AL28">
        <v>1</v>
      </c>
      <c r="AM28">
        <v>1</v>
      </c>
      <c r="AN28">
        <v>1</v>
      </c>
      <c r="AO28">
        <v>1</v>
      </c>
      <c r="AS28">
        <v>210</v>
      </c>
      <c r="AT28" t="s">
        <v>869</v>
      </c>
      <c r="AU28">
        <v>18</v>
      </c>
    </row>
    <row r="29" spans="3:47">
      <c r="G29" t="s">
        <v>291</v>
      </c>
      <c r="J29">
        <v>1</v>
      </c>
      <c r="L29">
        <v>1</v>
      </c>
      <c r="S29">
        <v>180</v>
      </c>
      <c r="T29" t="s">
        <v>857</v>
      </c>
      <c r="W29">
        <v>1</v>
      </c>
      <c r="Y29">
        <v>1</v>
      </c>
      <c r="AH29">
        <v>1028</v>
      </c>
      <c r="AI29" t="s">
        <v>112</v>
      </c>
      <c r="AJ29" t="s">
        <v>207</v>
      </c>
      <c r="AK29">
        <v>2</v>
      </c>
      <c r="AL29">
        <v>1</v>
      </c>
      <c r="AM29">
        <v>1</v>
      </c>
      <c r="AN29">
        <v>1</v>
      </c>
      <c r="AO29">
        <v>1</v>
      </c>
      <c r="AS29">
        <v>220</v>
      </c>
      <c r="AT29" t="s">
        <v>896</v>
      </c>
      <c r="AU29">
        <v>17</v>
      </c>
    </row>
    <row r="30" spans="3:47">
      <c r="G30" t="s">
        <v>298</v>
      </c>
      <c r="J30">
        <v>1</v>
      </c>
      <c r="L30">
        <v>1</v>
      </c>
      <c r="S30">
        <v>190</v>
      </c>
      <c r="T30" t="s">
        <v>860</v>
      </c>
      <c r="W30">
        <v>1</v>
      </c>
      <c r="Y30">
        <v>1</v>
      </c>
      <c r="AH30">
        <v>1029</v>
      </c>
      <c r="AI30" t="s">
        <v>298</v>
      </c>
      <c r="AJ30" t="s">
        <v>207</v>
      </c>
      <c r="AK30">
        <v>1</v>
      </c>
      <c r="AL30">
        <v>1</v>
      </c>
      <c r="AM30">
        <v>1</v>
      </c>
      <c r="AN30">
        <v>1</v>
      </c>
      <c r="AO30">
        <v>1</v>
      </c>
      <c r="AS30">
        <v>230</v>
      </c>
      <c r="AT30" t="s">
        <v>928</v>
      </c>
      <c r="AU30">
        <v>9</v>
      </c>
    </row>
    <row r="31" spans="3:47">
      <c r="G31" t="s">
        <v>301</v>
      </c>
      <c r="J31">
        <v>1</v>
      </c>
      <c r="L31">
        <v>1</v>
      </c>
      <c r="R31" t="s">
        <v>976</v>
      </c>
      <c r="S31">
        <v>40</v>
      </c>
      <c r="T31" t="s">
        <v>408</v>
      </c>
      <c r="W31">
        <v>6</v>
      </c>
      <c r="X31">
        <v>7</v>
      </c>
      <c r="Y31">
        <v>13</v>
      </c>
      <c r="AH31">
        <v>1030</v>
      </c>
      <c r="AI31" t="s">
        <v>301</v>
      </c>
      <c r="AJ31" t="s">
        <v>207</v>
      </c>
      <c r="AK31">
        <v>1</v>
      </c>
      <c r="AL31">
        <v>1</v>
      </c>
      <c r="AM31">
        <v>1</v>
      </c>
      <c r="AN31">
        <v>1</v>
      </c>
      <c r="AO31">
        <v>1</v>
      </c>
      <c r="AS31" t="s">
        <v>955</v>
      </c>
      <c r="AU31">
        <v>307</v>
      </c>
    </row>
    <row r="32" spans="3:47">
      <c r="G32" t="s">
        <v>305</v>
      </c>
      <c r="J32">
        <v>1</v>
      </c>
      <c r="L32">
        <v>1</v>
      </c>
      <c r="S32">
        <v>60</v>
      </c>
      <c r="T32" t="s">
        <v>592</v>
      </c>
      <c r="W32">
        <v>2</v>
      </c>
      <c r="Y32">
        <v>2</v>
      </c>
      <c r="AH32">
        <v>1031</v>
      </c>
      <c r="AI32" t="s">
        <v>305</v>
      </c>
      <c r="AJ32" t="s">
        <v>207</v>
      </c>
      <c r="AK32">
        <v>1</v>
      </c>
      <c r="AL32">
        <v>1</v>
      </c>
      <c r="AM32">
        <v>1</v>
      </c>
      <c r="AN32">
        <v>1</v>
      </c>
      <c r="AO32">
        <v>1</v>
      </c>
    </row>
    <row r="33" spans="1:41">
      <c r="A33" s="87" t="s">
        <v>963</v>
      </c>
      <c r="B33" s="87"/>
      <c r="C33" s="87"/>
      <c r="D33" s="87"/>
      <c r="E33" s="87"/>
      <c r="F33" s="87"/>
      <c r="G33" s="87"/>
      <c r="H33" s="87">
        <v>6</v>
      </c>
      <c r="I33" s="87">
        <v>7</v>
      </c>
      <c r="J33" s="87">
        <v>12</v>
      </c>
      <c r="K33" s="87"/>
      <c r="L33" s="87">
        <v>25</v>
      </c>
      <c r="R33" t="s">
        <v>977</v>
      </c>
      <c r="S33">
        <v>210</v>
      </c>
      <c r="T33" t="s">
        <v>869</v>
      </c>
      <c r="W33">
        <v>15</v>
      </c>
      <c r="X33">
        <v>3</v>
      </c>
      <c r="Y33">
        <v>18</v>
      </c>
      <c r="AC33" s="87" t="s">
        <v>963</v>
      </c>
      <c r="AD33" s="87"/>
      <c r="AE33" s="87"/>
      <c r="AF33" s="87"/>
      <c r="AG33" s="87"/>
      <c r="AH33" s="87"/>
      <c r="AI33" s="87"/>
      <c r="AJ33" s="87"/>
      <c r="AK33" s="87"/>
      <c r="AL33" s="87">
        <v>25</v>
      </c>
      <c r="AM33" s="87">
        <v>25</v>
      </c>
      <c r="AN33" s="87">
        <v>25</v>
      </c>
      <c r="AO33" s="87">
        <v>25</v>
      </c>
    </row>
    <row r="34" spans="1:41">
      <c r="A34" t="s">
        <v>964</v>
      </c>
      <c r="B34" s="81">
        <v>45922</v>
      </c>
      <c r="C34" t="s">
        <v>313</v>
      </c>
      <c r="D34" t="s">
        <v>962</v>
      </c>
      <c r="E34">
        <v>10</v>
      </c>
      <c r="F34" t="s">
        <v>200</v>
      </c>
      <c r="G34" t="s">
        <v>126</v>
      </c>
      <c r="I34">
        <v>1</v>
      </c>
      <c r="L34">
        <v>1</v>
      </c>
      <c r="S34">
        <v>220</v>
      </c>
      <c r="T34" t="s">
        <v>896</v>
      </c>
      <c r="W34">
        <v>15</v>
      </c>
      <c r="X34">
        <v>2</v>
      </c>
      <c r="Y34">
        <v>17</v>
      </c>
      <c r="AC34" t="s">
        <v>964</v>
      </c>
      <c r="AD34" s="81">
        <v>45922</v>
      </c>
      <c r="AE34" t="s">
        <v>313</v>
      </c>
      <c r="AF34">
        <v>10</v>
      </c>
      <c r="AG34" t="s">
        <v>200</v>
      </c>
      <c r="AH34">
        <v>1032</v>
      </c>
      <c r="AI34" t="s">
        <v>308</v>
      </c>
      <c r="AJ34" t="s">
        <v>207</v>
      </c>
      <c r="AK34">
        <v>1</v>
      </c>
      <c r="AL34">
        <v>1</v>
      </c>
      <c r="AM34">
        <v>1</v>
      </c>
      <c r="AN34">
        <v>1</v>
      </c>
      <c r="AO34">
        <v>1</v>
      </c>
    </row>
    <row r="35" spans="1:41">
      <c r="G35" t="s">
        <v>131</v>
      </c>
      <c r="I35">
        <v>1</v>
      </c>
      <c r="L35">
        <v>1</v>
      </c>
      <c r="R35" t="s">
        <v>978</v>
      </c>
      <c r="S35">
        <v>30</v>
      </c>
      <c r="T35" t="s">
        <v>400</v>
      </c>
      <c r="W35">
        <v>1</v>
      </c>
      <c r="Y35">
        <v>1</v>
      </c>
      <c r="AH35">
        <v>1033</v>
      </c>
      <c r="AI35" t="s">
        <v>314</v>
      </c>
      <c r="AJ35" t="s">
        <v>207</v>
      </c>
      <c r="AK35">
        <v>1</v>
      </c>
      <c r="AL35">
        <v>1</v>
      </c>
      <c r="AM35">
        <v>1</v>
      </c>
      <c r="AN35">
        <v>1</v>
      </c>
      <c r="AO35">
        <v>1</v>
      </c>
    </row>
    <row r="36" spans="1:41">
      <c r="G36" t="s">
        <v>129</v>
      </c>
      <c r="I36">
        <v>1</v>
      </c>
      <c r="L36">
        <v>1</v>
      </c>
      <c r="S36">
        <v>90</v>
      </c>
      <c r="T36" t="s">
        <v>604</v>
      </c>
      <c r="X36">
        <v>1</v>
      </c>
      <c r="Y36">
        <v>1</v>
      </c>
      <c r="AH36">
        <v>1034</v>
      </c>
      <c r="AI36" t="s">
        <v>318</v>
      </c>
      <c r="AJ36" t="s">
        <v>207</v>
      </c>
      <c r="AK36">
        <v>1</v>
      </c>
      <c r="AL36">
        <v>1</v>
      </c>
      <c r="AM36">
        <v>1</v>
      </c>
      <c r="AN36">
        <v>1</v>
      </c>
      <c r="AO36">
        <v>1</v>
      </c>
    </row>
    <row r="37" spans="1:41">
      <c r="G37" t="s">
        <v>308</v>
      </c>
      <c r="J37">
        <v>1</v>
      </c>
      <c r="L37">
        <v>1</v>
      </c>
      <c r="P37" s="73" t="s">
        <v>979</v>
      </c>
      <c r="Q37" s="73"/>
      <c r="R37" s="73"/>
      <c r="S37" s="73"/>
      <c r="T37" s="73"/>
      <c r="U37" s="73"/>
      <c r="V37" s="73"/>
      <c r="W37" s="73">
        <v>50</v>
      </c>
      <c r="X37" s="73">
        <v>13</v>
      </c>
      <c r="Y37" s="73">
        <v>63</v>
      </c>
      <c r="AH37">
        <v>1035</v>
      </c>
      <c r="AI37" t="s">
        <v>322</v>
      </c>
      <c r="AJ37" t="s">
        <v>207</v>
      </c>
      <c r="AK37">
        <v>1</v>
      </c>
      <c r="AL37">
        <v>1</v>
      </c>
      <c r="AM37">
        <v>1</v>
      </c>
      <c r="AN37">
        <v>1</v>
      </c>
      <c r="AO37">
        <v>1</v>
      </c>
    </row>
    <row r="38" spans="1:41">
      <c r="G38" t="s">
        <v>314</v>
      </c>
      <c r="J38">
        <v>1</v>
      </c>
      <c r="L38">
        <v>1</v>
      </c>
      <c r="P38" t="s">
        <v>955</v>
      </c>
      <c r="U38">
        <v>19</v>
      </c>
      <c r="V38">
        <v>37</v>
      </c>
      <c r="W38">
        <v>188</v>
      </c>
      <c r="X38">
        <v>63</v>
      </c>
      <c r="Y38">
        <v>307</v>
      </c>
      <c r="AH38">
        <v>1036</v>
      </c>
      <c r="AI38" t="s">
        <v>126</v>
      </c>
      <c r="AJ38" t="s">
        <v>207</v>
      </c>
      <c r="AK38">
        <v>2</v>
      </c>
      <c r="AL38">
        <v>1</v>
      </c>
      <c r="AM38">
        <v>1</v>
      </c>
      <c r="AN38">
        <v>1</v>
      </c>
      <c r="AO38">
        <v>1</v>
      </c>
    </row>
    <row r="39" spans="1:41">
      <c r="G39" t="s">
        <v>318</v>
      </c>
      <c r="J39">
        <v>1</v>
      </c>
      <c r="L39">
        <v>1</v>
      </c>
      <c r="AH39">
        <v>1037</v>
      </c>
      <c r="AI39" t="s">
        <v>329</v>
      </c>
      <c r="AJ39" t="s">
        <v>207</v>
      </c>
      <c r="AK39">
        <v>1</v>
      </c>
      <c r="AL39">
        <v>1</v>
      </c>
      <c r="AM39">
        <v>1</v>
      </c>
      <c r="AN39">
        <v>1</v>
      </c>
      <c r="AO39">
        <v>1</v>
      </c>
    </row>
    <row r="40" spans="1:41">
      <c r="G40" t="s">
        <v>322</v>
      </c>
      <c r="J40">
        <v>1</v>
      </c>
      <c r="L40">
        <v>1</v>
      </c>
      <c r="AH40">
        <v>1038</v>
      </c>
      <c r="AI40" t="s">
        <v>129</v>
      </c>
      <c r="AJ40" t="s">
        <v>207</v>
      </c>
      <c r="AK40">
        <v>2</v>
      </c>
      <c r="AL40">
        <v>1</v>
      </c>
      <c r="AM40">
        <v>1</v>
      </c>
      <c r="AN40">
        <v>1</v>
      </c>
      <c r="AO40">
        <v>1</v>
      </c>
    </row>
    <row r="41" spans="1:41">
      <c r="G41" t="s">
        <v>329</v>
      </c>
      <c r="J41">
        <v>1</v>
      </c>
      <c r="L41">
        <v>1</v>
      </c>
      <c r="AH41">
        <v>1039</v>
      </c>
      <c r="AI41" t="s">
        <v>335</v>
      </c>
      <c r="AJ41" t="s">
        <v>207</v>
      </c>
      <c r="AK41">
        <v>1</v>
      </c>
      <c r="AL41">
        <v>1</v>
      </c>
      <c r="AM41">
        <v>1</v>
      </c>
      <c r="AN41">
        <v>1</v>
      </c>
      <c r="AO41">
        <v>1</v>
      </c>
    </row>
    <row r="42" spans="1:41">
      <c r="G42" t="s">
        <v>335</v>
      </c>
      <c r="J42">
        <v>1</v>
      </c>
      <c r="L42">
        <v>1</v>
      </c>
      <c r="AH42">
        <v>1040</v>
      </c>
      <c r="AI42" t="s">
        <v>131</v>
      </c>
      <c r="AJ42" t="s">
        <v>207</v>
      </c>
      <c r="AK42">
        <v>2</v>
      </c>
      <c r="AL42">
        <v>1</v>
      </c>
      <c r="AM42">
        <v>1</v>
      </c>
      <c r="AN42">
        <v>1</v>
      </c>
      <c r="AO42">
        <v>1</v>
      </c>
    </row>
    <row r="43" spans="1:41">
      <c r="G43" t="s">
        <v>340</v>
      </c>
      <c r="J43">
        <v>1</v>
      </c>
      <c r="L43">
        <v>1</v>
      </c>
      <c r="AH43">
        <v>1041</v>
      </c>
      <c r="AI43" t="s">
        <v>340</v>
      </c>
      <c r="AJ43" t="s">
        <v>207</v>
      </c>
      <c r="AK43">
        <v>1</v>
      </c>
      <c r="AL43">
        <v>1</v>
      </c>
      <c r="AM43">
        <v>1</v>
      </c>
      <c r="AN43">
        <v>1</v>
      </c>
      <c r="AO43">
        <v>1</v>
      </c>
    </row>
    <row r="44" spans="1:41">
      <c r="G44" t="s">
        <v>344</v>
      </c>
      <c r="H44">
        <v>1</v>
      </c>
      <c r="L44">
        <v>1</v>
      </c>
      <c r="AH44">
        <v>1304</v>
      </c>
      <c r="AI44" t="s">
        <v>344</v>
      </c>
      <c r="AJ44" t="s">
        <v>207</v>
      </c>
      <c r="AK44">
        <v>3</v>
      </c>
      <c r="AL44">
        <v>1</v>
      </c>
      <c r="AM44">
        <v>1</v>
      </c>
      <c r="AN44">
        <v>1</v>
      </c>
      <c r="AO44">
        <v>1</v>
      </c>
    </row>
    <row r="45" spans="1:41">
      <c r="C45" t="s">
        <v>222</v>
      </c>
      <c r="D45" t="s">
        <v>962</v>
      </c>
      <c r="E45">
        <v>10</v>
      </c>
      <c r="F45" t="s">
        <v>200</v>
      </c>
      <c r="G45" t="s">
        <v>161</v>
      </c>
      <c r="I45">
        <v>1</v>
      </c>
      <c r="L45">
        <v>1</v>
      </c>
      <c r="AE45" t="s">
        <v>222</v>
      </c>
      <c r="AF45">
        <v>10</v>
      </c>
      <c r="AG45" t="s">
        <v>200</v>
      </c>
      <c r="AH45">
        <v>1006</v>
      </c>
      <c r="AI45" t="s">
        <v>218</v>
      </c>
      <c r="AJ45" t="s">
        <v>207</v>
      </c>
      <c r="AK45">
        <v>1</v>
      </c>
      <c r="AL45">
        <v>1</v>
      </c>
      <c r="AM45">
        <v>1</v>
      </c>
      <c r="AN45">
        <v>1</v>
      </c>
      <c r="AO45">
        <v>1</v>
      </c>
    </row>
    <row r="46" spans="1:41">
      <c r="G46" t="s">
        <v>146</v>
      </c>
      <c r="I46">
        <v>1</v>
      </c>
      <c r="L46">
        <v>1</v>
      </c>
      <c r="AH46">
        <v>1042</v>
      </c>
      <c r="AI46" t="s">
        <v>347</v>
      </c>
      <c r="AJ46" t="s">
        <v>207</v>
      </c>
      <c r="AK46">
        <v>2</v>
      </c>
      <c r="AL46">
        <v>1</v>
      </c>
      <c r="AM46">
        <v>1</v>
      </c>
      <c r="AN46">
        <v>1</v>
      </c>
      <c r="AO46">
        <v>1</v>
      </c>
    </row>
    <row r="47" spans="1:41">
      <c r="G47" t="s">
        <v>218</v>
      </c>
      <c r="J47">
        <v>1</v>
      </c>
      <c r="L47">
        <v>1</v>
      </c>
      <c r="AH47">
        <v>1043</v>
      </c>
      <c r="AI47" t="s">
        <v>350</v>
      </c>
      <c r="AJ47" t="s">
        <v>207</v>
      </c>
      <c r="AK47">
        <v>2</v>
      </c>
      <c r="AL47">
        <v>1</v>
      </c>
      <c r="AM47">
        <v>1</v>
      </c>
      <c r="AN47">
        <v>1</v>
      </c>
      <c r="AO47">
        <v>1</v>
      </c>
    </row>
    <row r="48" spans="1:41">
      <c r="G48" t="s">
        <v>159</v>
      </c>
      <c r="I48">
        <v>1</v>
      </c>
      <c r="L48">
        <v>1</v>
      </c>
      <c r="AH48">
        <v>1044</v>
      </c>
      <c r="AI48" t="s">
        <v>147</v>
      </c>
      <c r="AJ48" t="s">
        <v>207</v>
      </c>
      <c r="AK48">
        <v>2</v>
      </c>
      <c r="AL48">
        <v>1</v>
      </c>
      <c r="AM48">
        <v>1</v>
      </c>
      <c r="AN48">
        <v>1</v>
      </c>
      <c r="AO48">
        <v>1</v>
      </c>
    </row>
    <row r="49" spans="3:41">
      <c r="G49" t="s">
        <v>151</v>
      </c>
      <c r="I49">
        <v>1</v>
      </c>
      <c r="L49">
        <v>1</v>
      </c>
      <c r="AH49">
        <v>1045</v>
      </c>
      <c r="AI49" t="s">
        <v>148</v>
      </c>
      <c r="AJ49" t="s">
        <v>207</v>
      </c>
      <c r="AK49">
        <v>2</v>
      </c>
      <c r="AL49">
        <v>1</v>
      </c>
      <c r="AM49">
        <v>1</v>
      </c>
      <c r="AN49">
        <v>1</v>
      </c>
      <c r="AO49">
        <v>1</v>
      </c>
    </row>
    <row r="50" spans="3:41">
      <c r="G50" t="s">
        <v>347</v>
      </c>
      <c r="I50">
        <v>1</v>
      </c>
      <c r="L50">
        <v>1</v>
      </c>
      <c r="AH50">
        <v>1046</v>
      </c>
      <c r="AI50" t="s">
        <v>149</v>
      </c>
      <c r="AJ50" t="s">
        <v>207</v>
      </c>
      <c r="AK50">
        <v>2</v>
      </c>
      <c r="AL50">
        <v>1</v>
      </c>
      <c r="AM50">
        <v>1</v>
      </c>
      <c r="AN50">
        <v>1</v>
      </c>
      <c r="AO50">
        <v>1</v>
      </c>
    </row>
    <row r="51" spans="3:41">
      <c r="G51" t="s">
        <v>148</v>
      </c>
      <c r="I51">
        <v>1</v>
      </c>
      <c r="L51">
        <v>1</v>
      </c>
      <c r="AH51">
        <v>1047</v>
      </c>
      <c r="AI51" t="s">
        <v>150</v>
      </c>
      <c r="AJ51" t="s">
        <v>207</v>
      </c>
      <c r="AK51">
        <v>2</v>
      </c>
      <c r="AL51">
        <v>1</v>
      </c>
      <c r="AM51">
        <v>1</v>
      </c>
      <c r="AN51">
        <v>1</v>
      </c>
      <c r="AO51">
        <v>1</v>
      </c>
    </row>
    <row r="52" spans="3:41">
      <c r="G52" t="s">
        <v>147</v>
      </c>
      <c r="I52">
        <v>1</v>
      </c>
      <c r="L52">
        <v>1</v>
      </c>
      <c r="AH52">
        <v>1048</v>
      </c>
      <c r="AI52" t="s">
        <v>151</v>
      </c>
      <c r="AJ52" t="s">
        <v>207</v>
      </c>
      <c r="AK52">
        <v>2</v>
      </c>
      <c r="AL52">
        <v>1</v>
      </c>
      <c r="AM52">
        <v>1</v>
      </c>
      <c r="AN52">
        <v>1</v>
      </c>
      <c r="AO52">
        <v>1</v>
      </c>
    </row>
    <row r="53" spans="3:41">
      <c r="G53" t="s">
        <v>150</v>
      </c>
      <c r="I53">
        <v>1</v>
      </c>
      <c r="L53">
        <v>1</v>
      </c>
      <c r="AH53">
        <v>1049</v>
      </c>
      <c r="AI53" t="s">
        <v>146</v>
      </c>
      <c r="AJ53" t="s">
        <v>207</v>
      </c>
      <c r="AK53">
        <v>2</v>
      </c>
      <c r="AL53">
        <v>1</v>
      </c>
      <c r="AM53">
        <v>1</v>
      </c>
      <c r="AN53">
        <v>1</v>
      </c>
      <c r="AO53">
        <v>1</v>
      </c>
    </row>
    <row r="54" spans="3:41">
      <c r="G54" t="s">
        <v>149</v>
      </c>
      <c r="I54">
        <v>1</v>
      </c>
      <c r="L54">
        <v>1</v>
      </c>
      <c r="AH54">
        <v>1050</v>
      </c>
      <c r="AI54" t="s">
        <v>361</v>
      </c>
      <c r="AJ54" t="s">
        <v>207</v>
      </c>
      <c r="AK54">
        <v>1</v>
      </c>
      <c r="AL54">
        <v>1</v>
      </c>
      <c r="AM54">
        <v>1</v>
      </c>
      <c r="AN54">
        <v>1</v>
      </c>
      <c r="AO54">
        <v>1</v>
      </c>
    </row>
    <row r="55" spans="3:41">
      <c r="G55" t="s">
        <v>361</v>
      </c>
      <c r="J55">
        <v>1</v>
      </c>
      <c r="L55">
        <v>1</v>
      </c>
      <c r="AH55">
        <v>1052</v>
      </c>
      <c r="AI55" t="s">
        <v>159</v>
      </c>
      <c r="AJ55" t="s">
        <v>207</v>
      </c>
      <c r="AK55">
        <v>2</v>
      </c>
      <c r="AL55">
        <v>1</v>
      </c>
      <c r="AM55">
        <v>1</v>
      </c>
      <c r="AN55">
        <v>1</v>
      </c>
      <c r="AO55">
        <v>1</v>
      </c>
    </row>
    <row r="56" spans="3:41">
      <c r="G56" t="s">
        <v>350</v>
      </c>
      <c r="I56">
        <v>1</v>
      </c>
      <c r="L56">
        <v>1</v>
      </c>
      <c r="AH56">
        <v>1053</v>
      </c>
      <c r="AI56" t="s">
        <v>161</v>
      </c>
      <c r="AJ56" t="s">
        <v>207</v>
      </c>
      <c r="AK56">
        <v>2</v>
      </c>
      <c r="AL56">
        <v>1</v>
      </c>
      <c r="AM56">
        <v>1</v>
      </c>
      <c r="AN56">
        <v>1</v>
      </c>
      <c r="AO56">
        <v>1</v>
      </c>
    </row>
    <row r="57" spans="3:41">
      <c r="C57" t="s">
        <v>209</v>
      </c>
      <c r="D57" t="s">
        <v>962</v>
      </c>
      <c r="E57">
        <v>10</v>
      </c>
      <c r="F57" t="s">
        <v>200</v>
      </c>
      <c r="G57" t="s">
        <v>205</v>
      </c>
      <c r="K57">
        <v>1</v>
      </c>
      <c r="L57">
        <v>1</v>
      </c>
      <c r="AE57" t="s">
        <v>209</v>
      </c>
      <c r="AF57">
        <v>10</v>
      </c>
      <c r="AG57" t="s">
        <v>200</v>
      </c>
      <c r="AH57">
        <v>1001</v>
      </c>
      <c r="AI57" t="s">
        <v>202</v>
      </c>
      <c r="AJ57" t="s">
        <v>207</v>
      </c>
      <c r="AK57">
        <v>0</v>
      </c>
      <c r="AL57">
        <v>1</v>
      </c>
      <c r="AM57">
        <v>1</v>
      </c>
      <c r="AN57">
        <v>1</v>
      </c>
      <c r="AO57">
        <v>1</v>
      </c>
    </row>
    <row r="58" spans="3:41">
      <c r="G58" t="s">
        <v>212</v>
      </c>
      <c r="K58">
        <v>1</v>
      </c>
      <c r="L58">
        <v>1</v>
      </c>
      <c r="AH58">
        <v>1002</v>
      </c>
      <c r="AI58" t="s">
        <v>210</v>
      </c>
      <c r="AJ58" t="s">
        <v>207</v>
      </c>
      <c r="AK58">
        <v>0</v>
      </c>
      <c r="AL58">
        <v>1</v>
      </c>
      <c r="AM58">
        <v>1</v>
      </c>
      <c r="AN58">
        <v>1</v>
      </c>
      <c r="AO58">
        <v>1</v>
      </c>
    </row>
    <row r="59" spans="3:41">
      <c r="G59" t="s">
        <v>210</v>
      </c>
      <c r="K59">
        <v>1</v>
      </c>
      <c r="L59">
        <v>1</v>
      </c>
      <c r="AH59">
        <v>1003</v>
      </c>
      <c r="AI59" t="s">
        <v>212</v>
      </c>
      <c r="AJ59" t="s">
        <v>207</v>
      </c>
      <c r="AK59">
        <v>0</v>
      </c>
      <c r="AL59">
        <v>1</v>
      </c>
      <c r="AM59">
        <v>1</v>
      </c>
      <c r="AN59">
        <v>1</v>
      </c>
      <c r="AO59">
        <v>1</v>
      </c>
    </row>
    <row r="60" spans="3:41">
      <c r="G60" t="s">
        <v>202</v>
      </c>
      <c r="K60">
        <v>1</v>
      </c>
      <c r="L60">
        <v>1</v>
      </c>
      <c r="AH60">
        <v>1004</v>
      </c>
      <c r="AI60" t="s">
        <v>214</v>
      </c>
      <c r="AJ60" t="s">
        <v>207</v>
      </c>
      <c r="AK60">
        <v>0</v>
      </c>
      <c r="AL60">
        <v>1</v>
      </c>
      <c r="AM60">
        <v>1</v>
      </c>
      <c r="AN60">
        <v>1</v>
      </c>
      <c r="AO60">
        <v>1</v>
      </c>
    </row>
    <row r="61" spans="3:41">
      <c r="G61" t="s">
        <v>214</v>
      </c>
      <c r="K61">
        <v>1</v>
      </c>
      <c r="L61">
        <v>1</v>
      </c>
      <c r="AH61">
        <v>1005</v>
      </c>
      <c r="AI61" t="s">
        <v>205</v>
      </c>
      <c r="AJ61" t="s">
        <v>207</v>
      </c>
      <c r="AK61">
        <v>0</v>
      </c>
      <c r="AL61">
        <v>1</v>
      </c>
      <c r="AM61">
        <v>1</v>
      </c>
      <c r="AN61">
        <v>1</v>
      </c>
      <c r="AO61">
        <v>1</v>
      </c>
    </row>
    <row r="62" spans="3:41">
      <c r="G62" t="s">
        <v>16</v>
      </c>
      <c r="J62">
        <v>1</v>
      </c>
      <c r="L62">
        <v>1</v>
      </c>
      <c r="AH62">
        <v>1051</v>
      </c>
      <c r="AI62" t="s">
        <v>365</v>
      </c>
      <c r="AJ62" t="s">
        <v>207</v>
      </c>
      <c r="AK62">
        <v>0</v>
      </c>
      <c r="AL62">
        <v>1</v>
      </c>
      <c r="AM62">
        <v>1</v>
      </c>
      <c r="AN62">
        <v>1</v>
      </c>
      <c r="AO62">
        <v>1</v>
      </c>
    </row>
    <row r="63" spans="3:41">
      <c r="G63" t="s">
        <v>365</v>
      </c>
      <c r="K63">
        <v>1</v>
      </c>
      <c r="L63">
        <v>1</v>
      </c>
      <c r="AH63">
        <v>1305</v>
      </c>
      <c r="AI63" t="s">
        <v>16</v>
      </c>
      <c r="AJ63" t="s">
        <v>207</v>
      </c>
      <c r="AK63">
        <v>1</v>
      </c>
      <c r="AL63">
        <v>1</v>
      </c>
      <c r="AM63">
        <v>1</v>
      </c>
      <c r="AN63">
        <v>1</v>
      </c>
      <c r="AO63">
        <v>1</v>
      </c>
    </row>
    <row r="64" spans="3:41">
      <c r="D64" t="s">
        <v>965</v>
      </c>
      <c r="E64">
        <v>50</v>
      </c>
      <c r="F64" t="s">
        <v>430</v>
      </c>
      <c r="G64" t="s">
        <v>539</v>
      </c>
      <c r="K64">
        <v>1</v>
      </c>
      <c r="L64">
        <v>1</v>
      </c>
      <c r="AF64">
        <v>50</v>
      </c>
      <c r="AG64" t="s">
        <v>430</v>
      </c>
      <c r="AH64">
        <v>1083</v>
      </c>
      <c r="AI64" t="s">
        <v>432</v>
      </c>
      <c r="AJ64" t="s">
        <v>207</v>
      </c>
      <c r="AK64">
        <v>0</v>
      </c>
      <c r="AL64">
        <v>1</v>
      </c>
      <c r="AM64">
        <v>1</v>
      </c>
      <c r="AN64">
        <v>1</v>
      </c>
      <c r="AO64">
        <v>1</v>
      </c>
    </row>
    <row r="65" spans="7:41">
      <c r="G65" t="s">
        <v>155</v>
      </c>
      <c r="K65">
        <v>1</v>
      </c>
      <c r="L65">
        <v>1</v>
      </c>
      <c r="AH65">
        <v>1084</v>
      </c>
      <c r="AI65" t="s">
        <v>436</v>
      </c>
      <c r="AJ65" t="s">
        <v>207</v>
      </c>
      <c r="AK65">
        <v>2</v>
      </c>
      <c r="AL65">
        <v>1</v>
      </c>
      <c r="AM65">
        <v>1</v>
      </c>
      <c r="AN65">
        <v>1</v>
      </c>
      <c r="AO65">
        <v>1</v>
      </c>
    </row>
    <row r="66" spans="7:41">
      <c r="G66" t="s">
        <v>515</v>
      </c>
      <c r="H66">
        <v>1</v>
      </c>
      <c r="L66">
        <v>1</v>
      </c>
      <c r="AH66">
        <v>1085</v>
      </c>
      <c r="AI66" t="s">
        <v>440</v>
      </c>
      <c r="AJ66" t="s">
        <v>207</v>
      </c>
      <c r="AK66">
        <v>2</v>
      </c>
      <c r="AL66">
        <v>1</v>
      </c>
      <c r="AM66">
        <v>1</v>
      </c>
      <c r="AN66">
        <v>1</v>
      </c>
      <c r="AO66">
        <v>1</v>
      </c>
    </row>
    <row r="67" spans="7:41">
      <c r="G67" t="s">
        <v>519</v>
      </c>
      <c r="K67">
        <v>1</v>
      </c>
      <c r="L67">
        <v>1</v>
      </c>
      <c r="AH67">
        <v>1086</v>
      </c>
      <c r="AI67" t="s">
        <v>446</v>
      </c>
      <c r="AJ67" t="s">
        <v>207</v>
      </c>
      <c r="AK67">
        <v>1</v>
      </c>
      <c r="AL67">
        <v>1</v>
      </c>
      <c r="AM67">
        <v>1</v>
      </c>
      <c r="AN67">
        <v>1</v>
      </c>
      <c r="AO67">
        <v>1</v>
      </c>
    </row>
    <row r="68" spans="7:41">
      <c r="G68" t="s">
        <v>511</v>
      </c>
      <c r="K68">
        <v>1</v>
      </c>
      <c r="L68">
        <v>1</v>
      </c>
      <c r="AH68">
        <v>1087</v>
      </c>
      <c r="AI68" t="s">
        <v>455</v>
      </c>
      <c r="AJ68" t="s">
        <v>207</v>
      </c>
      <c r="AK68">
        <v>1</v>
      </c>
      <c r="AL68">
        <v>1</v>
      </c>
      <c r="AM68">
        <v>1</v>
      </c>
      <c r="AN68">
        <v>1</v>
      </c>
      <c r="AO68">
        <v>1</v>
      </c>
    </row>
    <row r="69" spans="7:41">
      <c r="G69" t="s">
        <v>471</v>
      </c>
      <c r="I69">
        <v>1</v>
      </c>
      <c r="L69">
        <v>1</v>
      </c>
      <c r="AH69">
        <v>1088</v>
      </c>
      <c r="AI69" t="s">
        <v>136</v>
      </c>
      <c r="AJ69" t="s">
        <v>207</v>
      </c>
      <c r="AK69">
        <v>0</v>
      </c>
      <c r="AL69">
        <v>1</v>
      </c>
      <c r="AM69">
        <v>1</v>
      </c>
      <c r="AN69">
        <v>1</v>
      </c>
      <c r="AO69">
        <v>1</v>
      </c>
    </row>
    <row r="70" spans="7:41">
      <c r="G70" t="s">
        <v>581</v>
      </c>
      <c r="J70">
        <v>1</v>
      </c>
      <c r="L70">
        <v>1</v>
      </c>
      <c r="AH70">
        <v>1089</v>
      </c>
      <c r="AI70" t="s">
        <v>462</v>
      </c>
      <c r="AJ70" t="s">
        <v>207</v>
      </c>
      <c r="AK70">
        <v>2</v>
      </c>
      <c r="AL70">
        <v>1</v>
      </c>
      <c r="AM70">
        <v>1</v>
      </c>
      <c r="AN70">
        <v>1</v>
      </c>
      <c r="AO70">
        <v>1</v>
      </c>
    </row>
    <row r="71" spans="7:41">
      <c r="G71" t="s">
        <v>446</v>
      </c>
      <c r="J71">
        <v>1</v>
      </c>
      <c r="L71">
        <v>1</v>
      </c>
      <c r="AH71">
        <v>1090</v>
      </c>
      <c r="AI71" t="s">
        <v>465</v>
      </c>
      <c r="AJ71" t="s">
        <v>207</v>
      </c>
      <c r="AK71">
        <v>1</v>
      </c>
      <c r="AL71">
        <v>1</v>
      </c>
      <c r="AM71">
        <v>1</v>
      </c>
      <c r="AN71">
        <v>1</v>
      </c>
      <c r="AO71">
        <v>1</v>
      </c>
    </row>
    <row r="72" spans="7:41">
      <c r="G72" t="s">
        <v>440</v>
      </c>
      <c r="I72">
        <v>1</v>
      </c>
      <c r="L72">
        <v>1</v>
      </c>
      <c r="AH72">
        <v>1091</v>
      </c>
      <c r="AI72" t="s">
        <v>467</v>
      </c>
      <c r="AJ72" t="s">
        <v>207</v>
      </c>
      <c r="AK72">
        <v>1</v>
      </c>
      <c r="AL72">
        <v>1</v>
      </c>
      <c r="AM72">
        <v>1</v>
      </c>
      <c r="AN72">
        <v>1</v>
      </c>
      <c r="AO72">
        <v>1</v>
      </c>
    </row>
    <row r="73" spans="7:41">
      <c r="G73" t="s">
        <v>489</v>
      </c>
      <c r="I73">
        <v>1</v>
      </c>
      <c r="L73">
        <v>1</v>
      </c>
      <c r="AH73">
        <v>1092</v>
      </c>
      <c r="AI73" t="s">
        <v>469</v>
      </c>
      <c r="AJ73" t="s">
        <v>207</v>
      </c>
      <c r="AK73">
        <v>1</v>
      </c>
      <c r="AL73">
        <v>1</v>
      </c>
      <c r="AM73">
        <v>1</v>
      </c>
      <c r="AN73">
        <v>1</v>
      </c>
      <c r="AO73">
        <v>1</v>
      </c>
    </row>
    <row r="74" spans="7:41">
      <c r="G74" t="s">
        <v>494</v>
      </c>
      <c r="I74">
        <v>1</v>
      </c>
      <c r="L74">
        <v>1</v>
      </c>
      <c r="AH74">
        <v>1093</v>
      </c>
      <c r="AI74" t="s">
        <v>471</v>
      </c>
      <c r="AJ74" t="s">
        <v>207</v>
      </c>
      <c r="AK74">
        <v>2</v>
      </c>
      <c r="AL74">
        <v>1</v>
      </c>
      <c r="AM74">
        <v>1</v>
      </c>
      <c r="AN74">
        <v>1</v>
      </c>
      <c r="AO74">
        <v>1</v>
      </c>
    </row>
    <row r="75" spans="7:41">
      <c r="G75" t="s">
        <v>529</v>
      </c>
      <c r="J75">
        <v>1</v>
      </c>
      <c r="L75">
        <v>1</v>
      </c>
      <c r="AH75">
        <v>1094</v>
      </c>
      <c r="AI75" t="s">
        <v>476</v>
      </c>
      <c r="AJ75" t="s">
        <v>207</v>
      </c>
      <c r="AK75">
        <v>2</v>
      </c>
      <c r="AL75">
        <v>1</v>
      </c>
      <c r="AM75">
        <v>1</v>
      </c>
      <c r="AN75">
        <v>1</v>
      </c>
      <c r="AO75">
        <v>1</v>
      </c>
    </row>
    <row r="76" spans="7:41">
      <c r="G76" t="s">
        <v>571</v>
      </c>
      <c r="J76">
        <v>1</v>
      </c>
      <c r="L76">
        <v>1</v>
      </c>
      <c r="AH76">
        <v>1095</v>
      </c>
      <c r="AI76" t="s">
        <v>481</v>
      </c>
      <c r="AJ76" t="s">
        <v>207</v>
      </c>
      <c r="AK76">
        <v>0</v>
      </c>
      <c r="AL76">
        <v>1</v>
      </c>
      <c r="AM76">
        <v>1</v>
      </c>
      <c r="AN76">
        <v>1</v>
      </c>
      <c r="AO76">
        <v>1</v>
      </c>
    </row>
    <row r="77" spans="7:41">
      <c r="G77" t="s">
        <v>557</v>
      </c>
      <c r="J77">
        <v>1</v>
      </c>
      <c r="L77">
        <v>1</v>
      </c>
      <c r="AH77">
        <v>1096</v>
      </c>
      <c r="AI77" t="s">
        <v>483</v>
      </c>
      <c r="AJ77" t="s">
        <v>207</v>
      </c>
      <c r="AK77">
        <v>1</v>
      </c>
      <c r="AL77">
        <v>1</v>
      </c>
      <c r="AM77">
        <v>1</v>
      </c>
      <c r="AN77">
        <v>1</v>
      </c>
      <c r="AO77">
        <v>1</v>
      </c>
    </row>
    <row r="78" spans="7:41">
      <c r="G78" t="s">
        <v>549</v>
      </c>
      <c r="J78">
        <v>1</v>
      </c>
      <c r="L78">
        <v>1</v>
      </c>
      <c r="AH78">
        <v>1097</v>
      </c>
      <c r="AI78" t="s">
        <v>486</v>
      </c>
      <c r="AJ78" t="s">
        <v>207</v>
      </c>
      <c r="AK78">
        <v>1</v>
      </c>
      <c r="AL78">
        <v>1</v>
      </c>
      <c r="AM78">
        <v>1</v>
      </c>
      <c r="AN78">
        <v>1</v>
      </c>
      <c r="AO78">
        <v>1</v>
      </c>
    </row>
    <row r="79" spans="7:41">
      <c r="G79" t="s">
        <v>469</v>
      </c>
      <c r="J79">
        <v>1</v>
      </c>
      <c r="L79">
        <v>1</v>
      </c>
      <c r="AH79">
        <v>1098</v>
      </c>
      <c r="AI79" t="s">
        <v>489</v>
      </c>
      <c r="AJ79" t="s">
        <v>207</v>
      </c>
      <c r="AK79">
        <v>2</v>
      </c>
      <c r="AL79">
        <v>1</v>
      </c>
      <c r="AM79">
        <v>1</v>
      </c>
      <c r="AN79">
        <v>1</v>
      </c>
      <c r="AO79">
        <v>1</v>
      </c>
    </row>
    <row r="80" spans="7:41">
      <c r="G80" t="s">
        <v>486</v>
      </c>
      <c r="J80">
        <v>1</v>
      </c>
      <c r="L80">
        <v>1</v>
      </c>
      <c r="AH80">
        <v>1099</v>
      </c>
      <c r="AI80" t="s">
        <v>494</v>
      </c>
      <c r="AJ80" t="s">
        <v>207</v>
      </c>
      <c r="AK80">
        <v>2</v>
      </c>
      <c r="AL80">
        <v>1</v>
      </c>
      <c r="AM80">
        <v>1</v>
      </c>
      <c r="AN80">
        <v>1</v>
      </c>
      <c r="AO80">
        <v>1</v>
      </c>
    </row>
    <row r="81" spans="7:41">
      <c r="G81" t="s">
        <v>562</v>
      </c>
      <c r="K81">
        <v>1</v>
      </c>
      <c r="L81">
        <v>1</v>
      </c>
      <c r="AH81">
        <v>1100</v>
      </c>
      <c r="AI81" t="s">
        <v>500</v>
      </c>
      <c r="AJ81" t="s">
        <v>207</v>
      </c>
      <c r="AK81">
        <v>2</v>
      </c>
      <c r="AL81">
        <v>1</v>
      </c>
      <c r="AM81">
        <v>1</v>
      </c>
      <c r="AN81">
        <v>1</v>
      </c>
      <c r="AO81">
        <v>1</v>
      </c>
    </row>
    <row r="82" spans="7:41">
      <c r="G82" t="s">
        <v>545</v>
      </c>
      <c r="J82">
        <v>1</v>
      </c>
      <c r="L82">
        <v>1</v>
      </c>
      <c r="AH82">
        <v>1101</v>
      </c>
      <c r="AI82" t="s">
        <v>504</v>
      </c>
      <c r="AJ82" t="s">
        <v>207</v>
      </c>
      <c r="AK82">
        <v>0</v>
      </c>
      <c r="AL82">
        <v>1</v>
      </c>
      <c r="AM82">
        <v>1</v>
      </c>
      <c r="AN82">
        <v>1</v>
      </c>
      <c r="AO82">
        <v>1</v>
      </c>
    </row>
    <row r="83" spans="7:41">
      <c r="G83" t="s">
        <v>578</v>
      </c>
      <c r="K83">
        <v>1</v>
      </c>
      <c r="L83">
        <v>1</v>
      </c>
      <c r="AH83">
        <v>1102</v>
      </c>
      <c r="AI83" t="s">
        <v>507</v>
      </c>
      <c r="AJ83" t="s">
        <v>207</v>
      </c>
      <c r="AK83">
        <v>0</v>
      </c>
      <c r="AL83">
        <v>1</v>
      </c>
      <c r="AM83">
        <v>1</v>
      </c>
      <c r="AN83">
        <v>1</v>
      </c>
      <c r="AO83">
        <v>1</v>
      </c>
    </row>
    <row r="84" spans="7:41">
      <c r="G84" t="s">
        <v>476</v>
      </c>
      <c r="I84">
        <v>1</v>
      </c>
      <c r="L84">
        <v>1</v>
      </c>
      <c r="AH84">
        <v>1103</v>
      </c>
      <c r="AI84" t="s">
        <v>509</v>
      </c>
      <c r="AJ84" t="s">
        <v>207</v>
      </c>
      <c r="AK84">
        <v>0</v>
      </c>
      <c r="AL84">
        <v>1</v>
      </c>
      <c r="AM84">
        <v>1</v>
      </c>
      <c r="AN84">
        <v>1</v>
      </c>
      <c r="AO84">
        <v>1</v>
      </c>
    </row>
    <row r="85" spans="7:41">
      <c r="G85" t="s">
        <v>481</v>
      </c>
      <c r="K85">
        <v>1</v>
      </c>
      <c r="L85">
        <v>1</v>
      </c>
      <c r="AH85">
        <v>1104</v>
      </c>
      <c r="AI85" t="s">
        <v>511</v>
      </c>
      <c r="AJ85" t="s">
        <v>207</v>
      </c>
      <c r="AK85">
        <v>0</v>
      </c>
      <c r="AL85">
        <v>1</v>
      </c>
      <c r="AM85">
        <v>1</v>
      </c>
      <c r="AN85">
        <v>1</v>
      </c>
      <c r="AO85">
        <v>1</v>
      </c>
    </row>
    <row r="86" spans="7:41">
      <c r="G86" t="s">
        <v>566</v>
      </c>
      <c r="K86">
        <v>1</v>
      </c>
      <c r="L86">
        <v>1</v>
      </c>
      <c r="AH86">
        <v>1105</v>
      </c>
      <c r="AI86" t="s">
        <v>512</v>
      </c>
      <c r="AJ86" t="s">
        <v>207</v>
      </c>
      <c r="AK86">
        <v>0</v>
      </c>
      <c r="AL86">
        <v>1</v>
      </c>
      <c r="AM86">
        <v>1</v>
      </c>
      <c r="AN86">
        <v>1</v>
      </c>
      <c r="AO86">
        <v>1</v>
      </c>
    </row>
    <row r="87" spans="7:41">
      <c r="G87" t="s">
        <v>570</v>
      </c>
      <c r="K87">
        <v>1</v>
      </c>
      <c r="L87">
        <v>1</v>
      </c>
      <c r="AH87">
        <v>1106</v>
      </c>
      <c r="AI87" t="s">
        <v>514</v>
      </c>
      <c r="AJ87" t="s">
        <v>207</v>
      </c>
      <c r="AK87">
        <v>0</v>
      </c>
      <c r="AL87">
        <v>1</v>
      </c>
      <c r="AM87">
        <v>1</v>
      </c>
      <c r="AN87">
        <v>1</v>
      </c>
      <c r="AO87">
        <v>1</v>
      </c>
    </row>
    <row r="88" spans="7:41">
      <c r="G88" t="s">
        <v>436</v>
      </c>
      <c r="I88">
        <v>1</v>
      </c>
      <c r="L88">
        <v>1</v>
      </c>
      <c r="AH88">
        <v>1107</v>
      </c>
      <c r="AI88" t="s">
        <v>515</v>
      </c>
      <c r="AJ88" t="s">
        <v>207</v>
      </c>
      <c r="AK88">
        <v>3</v>
      </c>
      <c r="AL88">
        <v>1</v>
      </c>
      <c r="AM88">
        <v>1</v>
      </c>
      <c r="AN88">
        <v>1</v>
      </c>
      <c r="AO88">
        <v>1</v>
      </c>
    </row>
    <row r="89" spans="7:41">
      <c r="G89" t="s">
        <v>136</v>
      </c>
      <c r="K89">
        <v>1</v>
      </c>
      <c r="L89">
        <v>1</v>
      </c>
      <c r="AH89">
        <v>1108</v>
      </c>
      <c r="AI89" t="s">
        <v>519</v>
      </c>
      <c r="AJ89" t="s">
        <v>207</v>
      </c>
      <c r="AK89">
        <v>0</v>
      </c>
      <c r="AL89">
        <v>1</v>
      </c>
      <c r="AM89">
        <v>1</v>
      </c>
      <c r="AN89">
        <v>1</v>
      </c>
      <c r="AO89">
        <v>1</v>
      </c>
    </row>
    <row r="90" spans="7:41">
      <c r="G90" t="s">
        <v>507</v>
      </c>
      <c r="K90">
        <v>1</v>
      </c>
      <c r="L90">
        <v>1</v>
      </c>
      <c r="AH90">
        <v>1109</v>
      </c>
      <c r="AI90" t="s">
        <v>520</v>
      </c>
      <c r="AJ90" t="s">
        <v>207</v>
      </c>
      <c r="AK90">
        <v>3</v>
      </c>
      <c r="AL90">
        <v>1</v>
      </c>
      <c r="AM90">
        <v>1</v>
      </c>
      <c r="AN90">
        <v>1</v>
      </c>
      <c r="AO90">
        <v>1</v>
      </c>
    </row>
    <row r="91" spans="7:41">
      <c r="G91" t="s">
        <v>504</v>
      </c>
      <c r="K91">
        <v>1</v>
      </c>
      <c r="L91">
        <v>1</v>
      </c>
      <c r="AH91">
        <v>1110</v>
      </c>
      <c r="AI91" t="s">
        <v>523</v>
      </c>
      <c r="AJ91" t="s">
        <v>207</v>
      </c>
      <c r="AK91">
        <v>0</v>
      </c>
      <c r="AL91">
        <v>1</v>
      </c>
      <c r="AM91">
        <v>1</v>
      </c>
      <c r="AN91">
        <v>1</v>
      </c>
      <c r="AO91">
        <v>1</v>
      </c>
    </row>
    <row r="92" spans="7:41">
      <c r="G92" t="s">
        <v>467</v>
      </c>
      <c r="J92">
        <v>1</v>
      </c>
      <c r="L92">
        <v>1</v>
      </c>
      <c r="AH92">
        <v>1111</v>
      </c>
      <c r="AI92" t="s">
        <v>525</v>
      </c>
      <c r="AJ92" t="s">
        <v>207</v>
      </c>
      <c r="AK92">
        <v>3</v>
      </c>
      <c r="AL92">
        <v>1</v>
      </c>
      <c r="AM92">
        <v>1</v>
      </c>
      <c r="AN92">
        <v>1</v>
      </c>
      <c r="AO92">
        <v>1</v>
      </c>
    </row>
    <row r="93" spans="7:41">
      <c r="G93" t="s">
        <v>432</v>
      </c>
      <c r="K93">
        <v>1</v>
      </c>
      <c r="L93">
        <v>1</v>
      </c>
      <c r="AH93">
        <v>1112</v>
      </c>
      <c r="AI93" t="s">
        <v>527</v>
      </c>
      <c r="AJ93" t="s">
        <v>207</v>
      </c>
      <c r="AK93">
        <v>0</v>
      </c>
      <c r="AL93">
        <v>1</v>
      </c>
      <c r="AM93">
        <v>1</v>
      </c>
      <c r="AN93">
        <v>1</v>
      </c>
      <c r="AO93">
        <v>1</v>
      </c>
    </row>
    <row r="94" spans="7:41">
      <c r="G94" t="s">
        <v>465</v>
      </c>
      <c r="J94">
        <v>1</v>
      </c>
      <c r="L94">
        <v>1</v>
      </c>
      <c r="AH94">
        <v>1113</v>
      </c>
      <c r="AI94" t="s">
        <v>529</v>
      </c>
      <c r="AJ94" t="s">
        <v>532</v>
      </c>
      <c r="AK94">
        <v>1</v>
      </c>
      <c r="AL94">
        <v>1</v>
      </c>
      <c r="AM94">
        <v>1</v>
      </c>
      <c r="AN94">
        <v>1</v>
      </c>
    </row>
    <row r="95" spans="7:41">
      <c r="G95" t="s">
        <v>455</v>
      </c>
      <c r="J95">
        <v>1</v>
      </c>
      <c r="L95">
        <v>1</v>
      </c>
      <c r="AH95">
        <v>1114</v>
      </c>
      <c r="AI95" t="s">
        <v>533</v>
      </c>
      <c r="AJ95" t="s">
        <v>412</v>
      </c>
      <c r="AK95">
        <v>1</v>
      </c>
      <c r="AL95">
        <v>1</v>
      </c>
      <c r="AM95">
        <v>1</v>
      </c>
      <c r="AN95">
        <v>1</v>
      </c>
    </row>
    <row r="96" spans="7:41">
      <c r="G96" t="s">
        <v>514</v>
      </c>
      <c r="K96">
        <v>1</v>
      </c>
      <c r="L96">
        <v>1</v>
      </c>
      <c r="AH96">
        <v>1115</v>
      </c>
      <c r="AI96" t="s">
        <v>539</v>
      </c>
      <c r="AJ96" t="s">
        <v>412</v>
      </c>
      <c r="AK96">
        <v>0</v>
      </c>
      <c r="AL96">
        <v>1</v>
      </c>
      <c r="AM96">
        <v>1</v>
      </c>
      <c r="AN96">
        <v>1</v>
      </c>
    </row>
    <row r="97" spans="7:40">
      <c r="G97" t="s">
        <v>512</v>
      </c>
      <c r="K97">
        <v>1</v>
      </c>
      <c r="L97">
        <v>1</v>
      </c>
      <c r="AH97">
        <v>1116</v>
      </c>
      <c r="AI97" t="s">
        <v>541</v>
      </c>
      <c r="AJ97" t="s">
        <v>412</v>
      </c>
      <c r="AK97">
        <v>1</v>
      </c>
      <c r="AL97">
        <v>1</v>
      </c>
      <c r="AM97">
        <v>1</v>
      </c>
      <c r="AN97">
        <v>1</v>
      </c>
    </row>
    <row r="98" spans="7:40">
      <c r="G98" t="s">
        <v>500</v>
      </c>
      <c r="I98">
        <v>1</v>
      </c>
      <c r="L98">
        <v>1</v>
      </c>
      <c r="AH98">
        <v>1117</v>
      </c>
      <c r="AI98" t="s">
        <v>155</v>
      </c>
      <c r="AJ98" t="s">
        <v>412</v>
      </c>
      <c r="AK98">
        <v>0</v>
      </c>
      <c r="AL98">
        <v>1</v>
      </c>
      <c r="AM98">
        <v>1</v>
      </c>
      <c r="AN98">
        <v>1</v>
      </c>
    </row>
    <row r="99" spans="7:40">
      <c r="G99" t="s">
        <v>527</v>
      </c>
      <c r="K99">
        <v>1</v>
      </c>
      <c r="L99">
        <v>1</v>
      </c>
      <c r="AH99">
        <v>1118</v>
      </c>
      <c r="AI99" t="s">
        <v>545</v>
      </c>
      <c r="AJ99" t="s">
        <v>412</v>
      </c>
      <c r="AK99">
        <v>1</v>
      </c>
      <c r="AL99">
        <v>1</v>
      </c>
      <c r="AM99">
        <v>1</v>
      </c>
      <c r="AN99">
        <v>1</v>
      </c>
    </row>
    <row r="100" spans="7:40">
      <c r="G100" t="s">
        <v>525</v>
      </c>
      <c r="H100">
        <v>1</v>
      </c>
      <c r="L100">
        <v>1</v>
      </c>
      <c r="AH100">
        <v>1119</v>
      </c>
      <c r="AI100" t="s">
        <v>547</v>
      </c>
      <c r="AJ100" t="s">
        <v>412</v>
      </c>
      <c r="AK100">
        <v>1</v>
      </c>
      <c r="AL100">
        <v>1</v>
      </c>
      <c r="AM100">
        <v>1</v>
      </c>
      <c r="AN100">
        <v>1</v>
      </c>
    </row>
    <row r="101" spans="7:40">
      <c r="G101" t="s">
        <v>575</v>
      </c>
      <c r="I101">
        <v>1</v>
      </c>
      <c r="L101">
        <v>1</v>
      </c>
      <c r="AH101">
        <v>1120</v>
      </c>
      <c r="AI101" t="s">
        <v>549</v>
      </c>
      <c r="AJ101" t="s">
        <v>412</v>
      </c>
      <c r="AK101">
        <v>1</v>
      </c>
      <c r="AL101">
        <v>1</v>
      </c>
      <c r="AM101">
        <v>1</v>
      </c>
      <c r="AN101">
        <v>1</v>
      </c>
    </row>
    <row r="102" spans="7:40">
      <c r="G102" t="s">
        <v>586</v>
      </c>
      <c r="K102">
        <v>1</v>
      </c>
      <c r="L102">
        <v>1</v>
      </c>
      <c r="AH102">
        <v>1121</v>
      </c>
      <c r="AI102" t="s">
        <v>551</v>
      </c>
      <c r="AJ102" t="s">
        <v>412</v>
      </c>
      <c r="AK102">
        <v>0</v>
      </c>
      <c r="AL102">
        <v>1</v>
      </c>
      <c r="AM102">
        <v>1</v>
      </c>
      <c r="AN102">
        <v>1</v>
      </c>
    </row>
    <row r="103" spans="7:40">
      <c r="G103" t="s">
        <v>588</v>
      </c>
      <c r="J103">
        <v>1</v>
      </c>
      <c r="L103">
        <v>1</v>
      </c>
      <c r="AH103">
        <v>1122</v>
      </c>
      <c r="AI103" t="s">
        <v>553</v>
      </c>
      <c r="AJ103" t="s">
        <v>412</v>
      </c>
      <c r="AK103">
        <v>0</v>
      </c>
      <c r="AL103">
        <v>1</v>
      </c>
      <c r="AM103">
        <v>1</v>
      </c>
      <c r="AN103">
        <v>1</v>
      </c>
    </row>
    <row r="104" spans="7:40">
      <c r="G104" t="s">
        <v>462</v>
      </c>
      <c r="I104">
        <v>1</v>
      </c>
      <c r="L104">
        <v>1</v>
      </c>
      <c r="AH104">
        <v>1123</v>
      </c>
      <c r="AI104" t="s">
        <v>555</v>
      </c>
      <c r="AJ104" t="s">
        <v>412</v>
      </c>
      <c r="AK104">
        <v>0</v>
      </c>
      <c r="AL104">
        <v>1</v>
      </c>
      <c r="AM104">
        <v>1</v>
      </c>
      <c r="AN104">
        <v>1</v>
      </c>
    </row>
    <row r="105" spans="7:40">
      <c r="G105" t="s">
        <v>523</v>
      </c>
      <c r="K105">
        <v>1</v>
      </c>
      <c r="L105">
        <v>1</v>
      </c>
      <c r="AH105">
        <v>1124</v>
      </c>
      <c r="AI105" t="s">
        <v>557</v>
      </c>
      <c r="AJ105" t="s">
        <v>412</v>
      </c>
      <c r="AK105">
        <v>1</v>
      </c>
      <c r="AL105">
        <v>1</v>
      </c>
      <c r="AM105">
        <v>1</v>
      </c>
      <c r="AN105">
        <v>1</v>
      </c>
    </row>
    <row r="106" spans="7:40">
      <c r="G106" t="s">
        <v>520</v>
      </c>
      <c r="H106">
        <v>1</v>
      </c>
      <c r="L106">
        <v>1</v>
      </c>
      <c r="AH106">
        <v>1125</v>
      </c>
      <c r="AI106" t="s">
        <v>559</v>
      </c>
      <c r="AJ106" t="s">
        <v>412</v>
      </c>
      <c r="AK106">
        <v>0</v>
      </c>
      <c r="AL106">
        <v>1</v>
      </c>
      <c r="AM106">
        <v>1</v>
      </c>
      <c r="AN106">
        <v>1</v>
      </c>
    </row>
    <row r="107" spans="7:40">
      <c r="G107" t="s">
        <v>551</v>
      </c>
      <c r="K107">
        <v>1</v>
      </c>
      <c r="L107">
        <v>1</v>
      </c>
      <c r="AH107">
        <v>1126</v>
      </c>
      <c r="AI107" t="s">
        <v>562</v>
      </c>
      <c r="AJ107" t="s">
        <v>532</v>
      </c>
      <c r="AK107">
        <v>0</v>
      </c>
      <c r="AL107">
        <v>1</v>
      </c>
      <c r="AM107">
        <v>1</v>
      </c>
      <c r="AN107">
        <v>1</v>
      </c>
    </row>
    <row r="108" spans="7:40">
      <c r="G108" t="s">
        <v>553</v>
      </c>
      <c r="K108">
        <v>1</v>
      </c>
      <c r="L108">
        <v>1</v>
      </c>
      <c r="AH108">
        <v>1127</v>
      </c>
      <c r="AI108" t="s">
        <v>566</v>
      </c>
      <c r="AJ108" t="s">
        <v>397</v>
      </c>
      <c r="AK108">
        <v>0</v>
      </c>
      <c r="AL108">
        <v>1</v>
      </c>
      <c r="AM108">
        <v>1</v>
      </c>
    </row>
    <row r="109" spans="7:40">
      <c r="G109" t="s">
        <v>555</v>
      </c>
      <c r="K109">
        <v>1</v>
      </c>
      <c r="L109">
        <v>1</v>
      </c>
      <c r="AH109">
        <v>1128</v>
      </c>
      <c r="AI109" t="s">
        <v>570</v>
      </c>
      <c r="AJ109" t="s">
        <v>397</v>
      </c>
      <c r="AK109">
        <v>0</v>
      </c>
      <c r="AL109">
        <v>1</v>
      </c>
      <c r="AM109">
        <v>1</v>
      </c>
    </row>
    <row r="110" spans="7:40">
      <c r="G110" t="s">
        <v>559</v>
      </c>
      <c r="K110">
        <v>1</v>
      </c>
      <c r="L110">
        <v>1</v>
      </c>
      <c r="AH110">
        <v>1129</v>
      </c>
      <c r="AI110" t="s">
        <v>571</v>
      </c>
      <c r="AJ110" t="s">
        <v>397</v>
      </c>
      <c r="AK110">
        <v>1</v>
      </c>
      <c r="AL110">
        <v>1</v>
      </c>
      <c r="AM110">
        <v>1</v>
      </c>
    </row>
    <row r="111" spans="7:40">
      <c r="G111" t="s">
        <v>547</v>
      </c>
      <c r="J111">
        <v>1</v>
      </c>
      <c r="L111">
        <v>1</v>
      </c>
      <c r="AH111">
        <v>1130</v>
      </c>
      <c r="AI111" t="s">
        <v>575</v>
      </c>
      <c r="AJ111" t="s">
        <v>532</v>
      </c>
      <c r="AK111">
        <v>2</v>
      </c>
      <c r="AL111">
        <v>1</v>
      </c>
      <c r="AM111">
        <v>1</v>
      </c>
      <c r="AN111">
        <v>1</v>
      </c>
    </row>
    <row r="112" spans="7:40">
      <c r="G112" t="s">
        <v>533</v>
      </c>
      <c r="J112">
        <v>1</v>
      </c>
      <c r="L112">
        <v>1</v>
      </c>
      <c r="AH112">
        <v>1131</v>
      </c>
      <c r="AI112" t="s">
        <v>578</v>
      </c>
      <c r="AJ112" t="s">
        <v>532</v>
      </c>
      <c r="AK112">
        <v>0</v>
      </c>
      <c r="AL112">
        <v>1</v>
      </c>
      <c r="AM112">
        <v>1</v>
      </c>
      <c r="AN112">
        <v>1</v>
      </c>
    </row>
    <row r="113" spans="4:39">
      <c r="G113" t="s">
        <v>541</v>
      </c>
      <c r="J113">
        <v>1</v>
      </c>
      <c r="L113">
        <v>1</v>
      </c>
      <c r="AH113">
        <v>1132</v>
      </c>
      <c r="AI113" t="s">
        <v>581</v>
      </c>
      <c r="AJ113" t="s">
        <v>412</v>
      </c>
      <c r="AK113">
        <v>1</v>
      </c>
      <c r="AL113">
        <v>1</v>
      </c>
      <c r="AM113">
        <v>1</v>
      </c>
    </row>
    <row r="114" spans="4:39">
      <c r="G114" t="s">
        <v>509</v>
      </c>
      <c r="K114">
        <v>1</v>
      </c>
      <c r="L114">
        <v>1</v>
      </c>
      <c r="AH114">
        <v>1133</v>
      </c>
      <c r="AI114" t="s">
        <v>586</v>
      </c>
      <c r="AJ114" t="s">
        <v>412</v>
      </c>
      <c r="AK114">
        <v>0</v>
      </c>
      <c r="AL114">
        <v>1</v>
      </c>
      <c r="AM114">
        <v>1</v>
      </c>
    </row>
    <row r="115" spans="4:39">
      <c r="G115" t="s">
        <v>483</v>
      </c>
      <c r="J115">
        <v>1</v>
      </c>
      <c r="L115">
        <v>1</v>
      </c>
      <c r="AH115">
        <v>1134</v>
      </c>
      <c r="AI115" t="s">
        <v>588</v>
      </c>
      <c r="AJ115" t="s">
        <v>412</v>
      </c>
      <c r="AK115">
        <v>1</v>
      </c>
      <c r="AL115">
        <v>1</v>
      </c>
      <c r="AM115">
        <v>1</v>
      </c>
    </row>
    <row r="116" spans="4:39">
      <c r="D116" t="s">
        <v>966</v>
      </c>
      <c r="E116">
        <v>100</v>
      </c>
      <c r="F116" t="s">
        <v>449</v>
      </c>
      <c r="G116" t="s">
        <v>617</v>
      </c>
      <c r="J116">
        <v>1</v>
      </c>
      <c r="L116">
        <v>1</v>
      </c>
      <c r="AF116">
        <v>100</v>
      </c>
      <c r="AG116" t="s">
        <v>449</v>
      </c>
      <c r="AH116">
        <v>1140</v>
      </c>
      <c r="AI116" t="s">
        <v>607</v>
      </c>
      <c r="AJ116" t="s">
        <v>397</v>
      </c>
      <c r="AK116">
        <v>1</v>
      </c>
      <c r="AL116">
        <v>1</v>
      </c>
      <c r="AM116">
        <v>1</v>
      </c>
    </row>
    <row r="117" spans="4:39">
      <c r="G117" t="s">
        <v>621</v>
      </c>
      <c r="K117">
        <v>1</v>
      </c>
      <c r="L117">
        <v>1</v>
      </c>
      <c r="AH117">
        <v>1141</v>
      </c>
      <c r="AI117" t="s">
        <v>609</v>
      </c>
      <c r="AJ117" t="s">
        <v>397</v>
      </c>
      <c r="AK117">
        <v>1</v>
      </c>
      <c r="AL117">
        <v>1</v>
      </c>
      <c r="AM117">
        <v>1</v>
      </c>
    </row>
    <row r="118" spans="4:39">
      <c r="G118" t="s">
        <v>623</v>
      </c>
      <c r="J118">
        <v>1</v>
      </c>
      <c r="L118">
        <v>1</v>
      </c>
      <c r="AH118">
        <v>1142</v>
      </c>
      <c r="AI118" t="s">
        <v>612</v>
      </c>
      <c r="AJ118" t="s">
        <v>397</v>
      </c>
      <c r="AK118">
        <v>1</v>
      </c>
      <c r="AL118">
        <v>1</v>
      </c>
      <c r="AM118">
        <v>1</v>
      </c>
    </row>
    <row r="119" spans="4:39">
      <c r="G119" t="s">
        <v>627</v>
      </c>
      <c r="K119">
        <v>1</v>
      </c>
      <c r="L119">
        <v>1</v>
      </c>
      <c r="AH119">
        <v>1143</v>
      </c>
      <c r="AI119" t="s">
        <v>614</v>
      </c>
      <c r="AJ119" t="s">
        <v>397</v>
      </c>
      <c r="AK119">
        <v>0</v>
      </c>
      <c r="AL119">
        <v>1</v>
      </c>
      <c r="AM119">
        <v>1</v>
      </c>
    </row>
    <row r="120" spans="4:39">
      <c r="G120" t="s">
        <v>612</v>
      </c>
      <c r="J120">
        <v>1</v>
      </c>
      <c r="L120">
        <v>1</v>
      </c>
      <c r="AH120">
        <v>1144</v>
      </c>
      <c r="AI120" t="s">
        <v>617</v>
      </c>
      <c r="AJ120" t="s">
        <v>412</v>
      </c>
      <c r="AK120">
        <v>1</v>
      </c>
      <c r="AL120">
        <v>1</v>
      </c>
      <c r="AM120">
        <v>1</v>
      </c>
    </row>
    <row r="121" spans="4:39">
      <c r="G121" t="s">
        <v>654</v>
      </c>
      <c r="J121">
        <v>1</v>
      </c>
      <c r="L121">
        <v>1</v>
      </c>
      <c r="AH121">
        <v>1145</v>
      </c>
      <c r="AI121" t="s">
        <v>621</v>
      </c>
      <c r="AJ121" t="s">
        <v>397</v>
      </c>
      <c r="AK121">
        <v>0</v>
      </c>
      <c r="AL121">
        <v>1</v>
      </c>
      <c r="AM121">
        <v>1</v>
      </c>
    </row>
    <row r="122" spans="4:39">
      <c r="G122" t="s">
        <v>656</v>
      </c>
      <c r="J122">
        <v>1</v>
      </c>
      <c r="L122">
        <v>1</v>
      </c>
      <c r="AH122">
        <v>1146</v>
      </c>
      <c r="AI122" t="s">
        <v>623</v>
      </c>
      <c r="AJ122" t="s">
        <v>412</v>
      </c>
      <c r="AK122">
        <v>1</v>
      </c>
      <c r="AL122">
        <v>1</v>
      </c>
      <c r="AM122">
        <v>1</v>
      </c>
    </row>
    <row r="123" spans="4:39">
      <c r="G123" t="s">
        <v>629</v>
      </c>
      <c r="J123">
        <v>1</v>
      </c>
      <c r="L123">
        <v>1</v>
      </c>
      <c r="AH123">
        <v>1147</v>
      </c>
      <c r="AI123" t="s">
        <v>627</v>
      </c>
      <c r="AJ123" t="s">
        <v>397</v>
      </c>
      <c r="AK123">
        <v>0</v>
      </c>
      <c r="AL123">
        <v>1</v>
      </c>
      <c r="AM123">
        <v>1</v>
      </c>
    </row>
    <row r="124" spans="4:39">
      <c r="G124" t="s">
        <v>614</v>
      </c>
      <c r="K124">
        <v>1</v>
      </c>
      <c r="L124">
        <v>1</v>
      </c>
      <c r="AH124">
        <v>1148</v>
      </c>
      <c r="AI124" t="s">
        <v>629</v>
      </c>
      <c r="AJ124" t="s">
        <v>397</v>
      </c>
      <c r="AK124">
        <v>1</v>
      </c>
      <c r="AL124">
        <v>1</v>
      </c>
      <c r="AM124">
        <v>1</v>
      </c>
    </row>
    <row r="125" spans="4:39">
      <c r="G125" t="s">
        <v>657</v>
      </c>
      <c r="J125">
        <v>1</v>
      </c>
      <c r="L125">
        <v>1</v>
      </c>
      <c r="AH125">
        <v>1149</v>
      </c>
      <c r="AI125" t="s">
        <v>631</v>
      </c>
      <c r="AJ125" t="s">
        <v>412</v>
      </c>
      <c r="AK125">
        <v>0</v>
      </c>
      <c r="AL125">
        <v>1</v>
      </c>
      <c r="AM125">
        <v>1</v>
      </c>
    </row>
    <row r="126" spans="4:39">
      <c r="G126" t="s">
        <v>633</v>
      </c>
      <c r="J126">
        <v>1</v>
      </c>
      <c r="L126">
        <v>1</v>
      </c>
      <c r="AH126">
        <v>1150</v>
      </c>
      <c r="AI126" t="s">
        <v>633</v>
      </c>
      <c r="AJ126" t="s">
        <v>412</v>
      </c>
      <c r="AK126">
        <v>1</v>
      </c>
      <c r="AL126">
        <v>1</v>
      </c>
      <c r="AM126">
        <v>1</v>
      </c>
    </row>
    <row r="127" spans="4:39">
      <c r="G127" t="s">
        <v>637</v>
      </c>
      <c r="J127">
        <v>1</v>
      </c>
      <c r="L127">
        <v>1</v>
      </c>
      <c r="AH127">
        <v>1151</v>
      </c>
      <c r="AI127" t="s">
        <v>637</v>
      </c>
      <c r="AJ127" t="s">
        <v>412</v>
      </c>
      <c r="AK127">
        <v>1</v>
      </c>
      <c r="AL127">
        <v>1</v>
      </c>
      <c r="AM127">
        <v>1</v>
      </c>
    </row>
    <row r="128" spans="4:39">
      <c r="G128" t="s">
        <v>631</v>
      </c>
      <c r="K128">
        <v>1</v>
      </c>
      <c r="L128">
        <v>1</v>
      </c>
      <c r="AH128">
        <v>1152</v>
      </c>
      <c r="AI128" t="s">
        <v>641</v>
      </c>
      <c r="AJ128" t="s">
        <v>412</v>
      </c>
      <c r="AK128">
        <v>1</v>
      </c>
      <c r="AL128">
        <v>1</v>
      </c>
      <c r="AM128">
        <v>1</v>
      </c>
    </row>
    <row r="129" spans="1:41">
      <c r="G129" t="s">
        <v>609</v>
      </c>
      <c r="J129">
        <v>1</v>
      </c>
      <c r="L129">
        <v>1</v>
      </c>
      <c r="AH129">
        <v>1153</v>
      </c>
      <c r="AI129" t="s">
        <v>647</v>
      </c>
      <c r="AJ129" t="s">
        <v>412</v>
      </c>
      <c r="AK129">
        <v>1</v>
      </c>
      <c r="AL129">
        <v>1</v>
      </c>
      <c r="AM129">
        <v>1</v>
      </c>
    </row>
    <row r="130" spans="1:41">
      <c r="G130" t="s">
        <v>607</v>
      </c>
      <c r="J130">
        <v>1</v>
      </c>
      <c r="L130">
        <v>1</v>
      </c>
      <c r="AH130">
        <v>1154</v>
      </c>
      <c r="AI130" t="s">
        <v>650</v>
      </c>
      <c r="AJ130" t="s">
        <v>412</v>
      </c>
      <c r="AK130">
        <v>0</v>
      </c>
      <c r="AL130">
        <v>1</v>
      </c>
      <c r="AM130">
        <v>1</v>
      </c>
    </row>
    <row r="131" spans="1:41">
      <c r="G131" t="s">
        <v>650</v>
      </c>
      <c r="K131">
        <v>1</v>
      </c>
      <c r="L131">
        <v>1</v>
      </c>
      <c r="AH131">
        <v>1155</v>
      </c>
      <c r="AI131" t="s">
        <v>451</v>
      </c>
      <c r="AJ131" t="s">
        <v>207</v>
      </c>
      <c r="AK131">
        <v>1</v>
      </c>
      <c r="AL131">
        <v>1</v>
      </c>
      <c r="AM131">
        <v>1</v>
      </c>
      <c r="AN131">
        <v>1</v>
      </c>
      <c r="AO131">
        <v>1</v>
      </c>
    </row>
    <row r="132" spans="1:41">
      <c r="G132" t="s">
        <v>79</v>
      </c>
      <c r="J132">
        <v>1</v>
      </c>
      <c r="L132">
        <v>1</v>
      </c>
      <c r="AH132">
        <v>1156</v>
      </c>
      <c r="AI132" t="s">
        <v>652</v>
      </c>
      <c r="AJ132" t="s">
        <v>412</v>
      </c>
      <c r="AK132">
        <v>1</v>
      </c>
      <c r="AL132">
        <v>1</v>
      </c>
      <c r="AM132">
        <v>1</v>
      </c>
    </row>
    <row r="133" spans="1:41">
      <c r="G133" t="s">
        <v>641</v>
      </c>
      <c r="J133">
        <v>1</v>
      </c>
      <c r="L133">
        <v>1</v>
      </c>
      <c r="AH133">
        <v>1157</v>
      </c>
      <c r="AI133" t="s">
        <v>654</v>
      </c>
      <c r="AJ133" t="s">
        <v>397</v>
      </c>
      <c r="AK133">
        <v>1</v>
      </c>
      <c r="AL133">
        <v>1</v>
      </c>
      <c r="AM133">
        <v>1</v>
      </c>
    </row>
    <row r="134" spans="1:41">
      <c r="G134" t="s">
        <v>451</v>
      </c>
      <c r="J134">
        <v>1</v>
      </c>
      <c r="L134">
        <v>1</v>
      </c>
      <c r="AH134">
        <v>1158</v>
      </c>
      <c r="AI134" t="s">
        <v>656</v>
      </c>
      <c r="AJ134" t="s">
        <v>397</v>
      </c>
      <c r="AK134">
        <v>1</v>
      </c>
      <c r="AL134">
        <v>1</v>
      </c>
      <c r="AM134">
        <v>1</v>
      </c>
    </row>
    <row r="135" spans="1:41">
      <c r="G135" t="s">
        <v>647</v>
      </c>
      <c r="J135">
        <v>1</v>
      </c>
      <c r="L135">
        <v>1</v>
      </c>
      <c r="AH135">
        <v>1159</v>
      </c>
      <c r="AI135" t="s">
        <v>657</v>
      </c>
      <c r="AJ135" t="s">
        <v>397</v>
      </c>
      <c r="AK135">
        <v>1</v>
      </c>
      <c r="AL135">
        <v>1</v>
      </c>
      <c r="AM135">
        <v>1</v>
      </c>
    </row>
    <row r="136" spans="1:41">
      <c r="G136" t="s">
        <v>663</v>
      </c>
      <c r="J136">
        <v>1</v>
      </c>
      <c r="L136">
        <v>1</v>
      </c>
      <c r="AH136">
        <v>1160</v>
      </c>
      <c r="AI136" t="s">
        <v>79</v>
      </c>
      <c r="AJ136" t="s">
        <v>397</v>
      </c>
      <c r="AK136">
        <v>1</v>
      </c>
      <c r="AL136">
        <v>1</v>
      </c>
      <c r="AM136">
        <v>1</v>
      </c>
    </row>
    <row r="137" spans="1:41">
      <c r="G137" t="s">
        <v>644</v>
      </c>
      <c r="I137">
        <v>1</v>
      </c>
      <c r="L137">
        <v>1</v>
      </c>
      <c r="AH137">
        <v>1161</v>
      </c>
      <c r="AI137" t="s">
        <v>663</v>
      </c>
      <c r="AJ137" t="s">
        <v>412</v>
      </c>
      <c r="AK137">
        <v>1</v>
      </c>
      <c r="AL137">
        <v>1</v>
      </c>
      <c r="AM137">
        <v>1</v>
      </c>
    </row>
    <row r="138" spans="1:41">
      <c r="G138" t="s">
        <v>660</v>
      </c>
      <c r="I138">
        <v>1</v>
      </c>
      <c r="L138">
        <v>1</v>
      </c>
      <c r="AH138">
        <v>1306</v>
      </c>
      <c r="AI138" t="s">
        <v>644</v>
      </c>
      <c r="AJ138" t="s">
        <v>412</v>
      </c>
      <c r="AK138">
        <v>2</v>
      </c>
      <c r="AL138">
        <v>1</v>
      </c>
      <c r="AM138">
        <v>1</v>
      </c>
    </row>
    <row r="139" spans="1:41">
      <c r="G139" t="s">
        <v>652</v>
      </c>
      <c r="J139">
        <v>1</v>
      </c>
      <c r="L139">
        <v>1</v>
      </c>
      <c r="AH139">
        <v>1307</v>
      </c>
      <c r="AI139" t="s">
        <v>660</v>
      </c>
      <c r="AJ139" t="s">
        <v>412</v>
      </c>
      <c r="AK139">
        <v>2</v>
      </c>
      <c r="AL139">
        <v>1</v>
      </c>
      <c r="AM139">
        <v>1</v>
      </c>
    </row>
    <row r="140" spans="1:41">
      <c r="A140" s="87" t="s">
        <v>967</v>
      </c>
      <c r="B140" s="87"/>
      <c r="C140" s="87"/>
      <c r="D140" s="87"/>
      <c r="E140" s="87"/>
      <c r="F140" s="87"/>
      <c r="G140" s="87"/>
      <c r="H140" s="87">
        <v>4</v>
      </c>
      <c r="I140" s="87">
        <v>24</v>
      </c>
      <c r="J140" s="87">
        <v>44</v>
      </c>
      <c r="K140" s="87">
        <v>34</v>
      </c>
      <c r="L140" s="87">
        <v>106</v>
      </c>
      <c r="AC140" s="87" t="s">
        <v>967</v>
      </c>
      <c r="AD140" s="87"/>
      <c r="AE140" s="87"/>
      <c r="AF140" s="87"/>
      <c r="AG140" s="87"/>
      <c r="AH140" s="87"/>
      <c r="AI140" s="87"/>
      <c r="AJ140" s="87"/>
      <c r="AK140" s="87"/>
      <c r="AL140" s="87">
        <v>106</v>
      </c>
      <c r="AM140" s="87">
        <v>106</v>
      </c>
      <c r="AN140" s="87">
        <v>77</v>
      </c>
      <c r="AO140" s="87">
        <v>61</v>
      </c>
    </row>
    <row r="141" spans="1:41">
      <c r="A141" t="s">
        <v>968</v>
      </c>
      <c r="B141" s="81">
        <v>45929</v>
      </c>
      <c r="C141" t="s">
        <v>379</v>
      </c>
      <c r="D141" t="s">
        <v>966</v>
      </c>
      <c r="E141">
        <v>100</v>
      </c>
      <c r="F141" t="s">
        <v>449</v>
      </c>
      <c r="G141" t="s">
        <v>673</v>
      </c>
      <c r="K141">
        <v>1</v>
      </c>
      <c r="L141">
        <v>1</v>
      </c>
      <c r="AC141" t="s">
        <v>968</v>
      </c>
      <c r="AD141" s="81">
        <v>45929</v>
      </c>
      <c r="AE141" t="s">
        <v>379</v>
      </c>
      <c r="AF141">
        <v>20</v>
      </c>
      <c r="AG141" t="s">
        <v>373</v>
      </c>
      <c r="AH141">
        <v>1054</v>
      </c>
      <c r="AI141" t="s">
        <v>374</v>
      </c>
      <c r="AJ141" t="s">
        <v>377</v>
      </c>
      <c r="AK141">
        <v>1</v>
      </c>
      <c r="AL141">
        <v>1</v>
      </c>
    </row>
    <row r="142" spans="1:41">
      <c r="G142" t="s">
        <v>671</v>
      </c>
      <c r="K142">
        <v>1</v>
      </c>
      <c r="L142">
        <v>1</v>
      </c>
      <c r="AH142">
        <v>1055</v>
      </c>
      <c r="AI142" t="s">
        <v>381</v>
      </c>
      <c r="AJ142" t="s">
        <v>377</v>
      </c>
      <c r="AK142">
        <v>1</v>
      </c>
      <c r="AL142">
        <v>1</v>
      </c>
    </row>
    <row r="143" spans="1:41">
      <c r="G143" t="s">
        <v>674</v>
      </c>
      <c r="K143">
        <v>1</v>
      </c>
      <c r="L143">
        <v>1</v>
      </c>
      <c r="AH143">
        <v>1056</v>
      </c>
      <c r="AI143" t="s">
        <v>248</v>
      </c>
      <c r="AJ143" t="s">
        <v>377</v>
      </c>
      <c r="AK143">
        <v>1</v>
      </c>
      <c r="AL143">
        <v>1</v>
      </c>
    </row>
    <row r="144" spans="1:41">
      <c r="G144" t="s">
        <v>708</v>
      </c>
      <c r="J144">
        <v>1</v>
      </c>
      <c r="L144">
        <v>1</v>
      </c>
      <c r="AH144">
        <v>1057</v>
      </c>
      <c r="AI144" t="s">
        <v>384</v>
      </c>
      <c r="AJ144" t="s">
        <v>377</v>
      </c>
      <c r="AK144">
        <v>1</v>
      </c>
      <c r="AL144">
        <v>1</v>
      </c>
    </row>
    <row r="145" spans="7:39">
      <c r="G145" t="s">
        <v>685</v>
      </c>
      <c r="K145">
        <v>1</v>
      </c>
      <c r="L145">
        <v>1</v>
      </c>
      <c r="AH145">
        <v>1058</v>
      </c>
      <c r="AI145" t="s">
        <v>385</v>
      </c>
      <c r="AJ145" t="s">
        <v>377</v>
      </c>
      <c r="AK145">
        <v>1</v>
      </c>
      <c r="AL145">
        <v>1</v>
      </c>
    </row>
    <row r="146" spans="7:39">
      <c r="G146" t="s">
        <v>725</v>
      </c>
      <c r="J146">
        <v>1</v>
      </c>
      <c r="L146">
        <v>1</v>
      </c>
      <c r="AH146">
        <v>1059</v>
      </c>
      <c r="AI146" t="s">
        <v>386</v>
      </c>
      <c r="AJ146" t="s">
        <v>377</v>
      </c>
      <c r="AK146">
        <v>1</v>
      </c>
      <c r="AL146">
        <v>1</v>
      </c>
    </row>
    <row r="147" spans="7:39">
      <c r="G147" t="s">
        <v>714</v>
      </c>
      <c r="J147">
        <v>1</v>
      </c>
      <c r="L147">
        <v>1</v>
      </c>
      <c r="AH147">
        <v>1060</v>
      </c>
      <c r="AI147" t="s">
        <v>387</v>
      </c>
      <c r="AJ147" t="s">
        <v>377</v>
      </c>
      <c r="AK147">
        <v>1</v>
      </c>
      <c r="AL147">
        <v>1</v>
      </c>
    </row>
    <row r="148" spans="7:39">
      <c r="G148" t="s">
        <v>980</v>
      </c>
      <c r="J148">
        <v>1</v>
      </c>
      <c r="L148">
        <v>1</v>
      </c>
      <c r="AH148">
        <v>1061</v>
      </c>
      <c r="AI148" t="s">
        <v>388</v>
      </c>
      <c r="AJ148" t="s">
        <v>377</v>
      </c>
      <c r="AK148">
        <v>1</v>
      </c>
      <c r="AL148">
        <v>1</v>
      </c>
    </row>
    <row r="149" spans="7:39">
      <c r="G149" t="s">
        <v>695</v>
      </c>
      <c r="J149">
        <v>1</v>
      </c>
      <c r="L149">
        <v>1</v>
      </c>
      <c r="AH149">
        <v>1062</v>
      </c>
      <c r="AI149" t="s">
        <v>389</v>
      </c>
      <c r="AJ149" t="s">
        <v>377</v>
      </c>
      <c r="AK149">
        <v>1</v>
      </c>
      <c r="AL149">
        <v>1</v>
      </c>
    </row>
    <row r="150" spans="7:39">
      <c r="G150" t="s">
        <v>709</v>
      </c>
      <c r="J150">
        <v>1</v>
      </c>
      <c r="L150">
        <v>1</v>
      </c>
      <c r="AH150">
        <v>1063</v>
      </c>
      <c r="AI150" t="s">
        <v>390</v>
      </c>
      <c r="AJ150" t="s">
        <v>377</v>
      </c>
      <c r="AK150">
        <v>1</v>
      </c>
      <c r="AL150">
        <v>1</v>
      </c>
    </row>
    <row r="151" spans="7:39">
      <c r="G151" t="s">
        <v>710</v>
      </c>
      <c r="J151">
        <v>1</v>
      </c>
      <c r="L151">
        <v>1</v>
      </c>
      <c r="AH151">
        <v>1064</v>
      </c>
      <c r="AI151" t="s">
        <v>391</v>
      </c>
      <c r="AJ151" t="s">
        <v>377</v>
      </c>
      <c r="AK151">
        <v>1</v>
      </c>
      <c r="AL151">
        <v>1</v>
      </c>
    </row>
    <row r="152" spans="7:39">
      <c r="G152" t="s">
        <v>707</v>
      </c>
      <c r="J152">
        <v>1</v>
      </c>
      <c r="L152">
        <v>1</v>
      </c>
      <c r="AH152">
        <v>1065</v>
      </c>
      <c r="AI152" t="s">
        <v>392</v>
      </c>
      <c r="AJ152" t="s">
        <v>377</v>
      </c>
      <c r="AK152">
        <v>1</v>
      </c>
      <c r="AL152">
        <v>1</v>
      </c>
    </row>
    <row r="153" spans="7:39">
      <c r="G153" t="s">
        <v>706</v>
      </c>
      <c r="K153">
        <v>1</v>
      </c>
      <c r="L153">
        <v>1</v>
      </c>
      <c r="AH153">
        <v>1066</v>
      </c>
      <c r="AI153" t="s">
        <v>393</v>
      </c>
      <c r="AJ153" t="s">
        <v>377</v>
      </c>
      <c r="AK153">
        <v>1</v>
      </c>
      <c r="AL153">
        <v>1</v>
      </c>
    </row>
    <row r="154" spans="7:39">
      <c r="G154" t="s">
        <v>703</v>
      </c>
      <c r="J154">
        <v>1</v>
      </c>
      <c r="L154">
        <v>1</v>
      </c>
      <c r="AH154">
        <v>1067</v>
      </c>
      <c r="AI154" t="s">
        <v>394</v>
      </c>
      <c r="AJ154" t="s">
        <v>397</v>
      </c>
      <c r="AK154">
        <v>2</v>
      </c>
      <c r="AL154">
        <v>1</v>
      </c>
      <c r="AM154">
        <v>1</v>
      </c>
    </row>
    <row r="155" spans="7:39">
      <c r="G155" t="s">
        <v>712</v>
      </c>
      <c r="J155">
        <v>1</v>
      </c>
      <c r="L155">
        <v>1</v>
      </c>
      <c r="AH155">
        <v>1068</v>
      </c>
      <c r="AI155" t="s">
        <v>399</v>
      </c>
      <c r="AJ155" t="s">
        <v>377</v>
      </c>
      <c r="AK155">
        <v>1</v>
      </c>
      <c r="AL155">
        <v>1</v>
      </c>
    </row>
    <row r="156" spans="7:39">
      <c r="G156" t="s">
        <v>713</v>
      </c>
      <c r="J156">
        <v>1</v>
      </c>
      <c r="L156">
        <v>1</v>
      </c>
      <c r="AF156">
        <v>70</v>
      </c>
      <c r="AG156" t="s">
        <v>598</v>
      </c>
      <c r="AH156">
        <v>1137</v>
      </c>
      <c r="AI156" t="s">
        <v>599</v>
      </c>
      <c r="AJ156" t="s">
        <v>412</v>
      </c>
      <c r="AK156">
        <v>2</v>
      </c>
      <c r="AL156">
        <v>1</v>
      </c>
      <c r="AM156">
        <v>1</v>
      </c>
    </row>
    <row r="157" spans="7:39">
      <c r="G157" t="s">
        <v>716</v>
      </c>
      <c r="J157">
        <v>1</v>
      </c>
      <c r="L157">
        <v>1</v>
      </c>
      <c r="AF157">
        <v>80</v>
      </c>
      <c r="AG157" t="s">
        <v>602</v>
      </c>
      <c r="AH157">
        <v>1138</v>
      </c>
      <c r="AI157" t="s">
        <v>603</v>
      </c>
      <c r="AJ157" t="s">
        <v>377</v>
      </c>
      <c r="AK157">
        <v>1</v>
      </c>
      <c r="AL157">
        <v>1</v>
      </c>
    </row>
    <row r="158" spans="7:39">
      <c r="G158" t="s">
        <v>715</v>
      </c>
      <c r="J158">
        <v>1</v>
      </c>
      <c r="L158">
        <v>1</v>
      </c>
      <c r="AF158">
        <v>100</v>
      </c>
      <c r="AG158" t="s">
        <v>449</v>
      </c>
      <c r="AH158">
        <v>1162</v>
      </c>
      <c r="AI158" t="s">
        <v>666</v>
      </c>
      <c r="AJ158" t="s">
        <v>377</v>
      </c>
      <c r="AK158">
        <v>2</v>
      </c>
      <c r="AL158">
        <v>1</v>
      </c>
      <c r="AM158">
        <v>1</v>
      </c>
    </row>
    <row r="159" spans="7:39">
      <c r="G159" t="s">
        <v>981</v>
      </c>
      <c r="J159">
        <v>1</v>
      </c>
      <c r="L159">
        <v>1</v>
      </c>
      <c r="AH159">
        <v>1163</v>
      </c>
      <c r="AI159" t="s">
        <v>671</v>
      </c>
      <c r="AJ159" t="s">
        <v>377</v>
      </c>
      <c r="AK159">
        <v>0</v>
      </c>
      <c r="AL159">
        <v>1</v>
      </c>
    </row>
    <row r="160" spans="7:39">
      <c r="G160" t="s">
        <v>700</v>
      </c>
      <c r="J160">
        <v>1</v>
      </c>
      <c r="L160">
        <v>1</v>
      </c>
      <c r="AH160">
        <v>1164</v>
      </c>
      <c r="AI160" t="s">
        <v>673</v>
      </c>
      <c r="AJ160" t="s">
        <v>377</v>
      </c>
      <c r="AK160">
        <v>0</v>
      </c>
      <c r="AL160">
        <v>1</v>
      </c>
    </row>
    <row r="161" spans="5:39">
      <c r="G161" t="s">
        <v>684</v>
      </c>
      <c r="K161">
        <v>1</v>
      </c>
      <c r="L161">
        <v>1</v>
      </c>
      <c r="AH161">
        <v>1165</v>
      </c>
      <c r="AI161" t="s">
        <v>674</v>
      </c>
      <c r="AJ161" t="s">
        <v>377</v>
      </c>
      <c r="AK161">
        <v>0</v>
      </c>
      <c r="AL161">
        <v>1</v>
      </c>
    </row>
    <row r="162" spans="5:39">
      <c r="G162" t="s">
        <v>982</v>
      </c>
      <c r="J162">
        <v>1</v>
      </c>
      <c r="L162">
        <v>1</v>
      </c>
      <c r="AH162">
        <v>1166</v>
      </c>
      <c r="AI162" t="s">
        <v>676</v>
      </c>
      <c r="AJ162" t="s">
        <v>412</v>
      </c>
      <c r="AK162">
        <v>2</v>
      </c>
      <c r="AL162">
        <v>1</v>
      </c>
      <c r="AM162">
        <v>1</v>
      </c>
    </row>
    <row r="163" spans="5:39">
      <c r="G163" t="s">
        <v>691</v>
      </c>
      <c r="K163">
        <v>1</v>
      </c>
      <c r="L163">
        <v>1</v>
      </c>
      <c r="AH163">
        <v>1167</v>
      </c>
      <c r="AI163" t="s">
        <v>982</v>
      </c>
      <c r="AJ163" t="s">
        <v>377</v>
      </c>
      <c r="AK163">
        <v>1</v>
      </c>
      <c r="AL163">
        <v>1</v>
      </c>
    </row>
    <row r="164" spans="5:39">
      <c r="G164" t="s">
        <v>693</v>
      </c>
      <c r="K164">
        <v>1</v>
      </c>
      <c r="L164">
        <v>1</v>
      </c>
      <c r="AH164">
        <v>1168</v>
      </c>
      <c r="AI164" t="s">
        <v>684</v>
      </c>
      <c r="AJ164" t="s">
        <v>377</v>
      </c>
      <c r="AK164">
        <v>0</v>
      </c>
      <c r="AL164">
        <v>1</v>
      </c>
    </row>
    <row r="165" spans="5:39">
      <c r="G165" t="s">
        <v>688</v>
      </c>
      <c r="J165">
        <v>1</v>
      </c>
      <c r="L165">
        <v>1</v>
      </c>
      <c r="AH165">
        <v>1169</v>
      </c>
      <c r="AI165" t="s">
        <v>685</v>
      </c>
      <c r="AJ165" t="s">
        <v>377</v>
      </c>
      <c r="AK165">
        <v>0</v>
      </c>
      <c r="AL165">
        <v>1</v>
      </c>
    </row>
    <row r="166" spans="5:39">
      <c r="G166" t="s">
        <v>698</v>
      </c>
      <c r="J166">
        <v>1</v>
      </c>
      <c r="L166">
        <v>1</v>
      </c>
      <c r="AH166">
        <v>1170</v>
      </c>
      <c r="AI166" t="s">
        <v>688</v>
      </c>
      <c r="AJ166" t="s">
        <v>377</v>
      </c>
      <c r="AK166">
        <v>1</v>
      </c>
      <c r="AL166">
        <v>1</v>
      </c>
    </row>
    <row r="167" spans="5:39">
      <c r="G167" t="s">
        <v>676</v>
      </c>
      <c r="I167">
        <v>1</v>
      </c>
      <c r="L167">
        <v>1</v>
      </c>
      <c r="AH167">
        <v>1171</v>
      </c>
      <c r="AI167" t="s">
        <v>691</v>
      </c>
      <c r="AJ167" t="s">
        <v>377</v>
      </c>
      <c r="AK167">
        <v>0</v>
      </c>
      <c r="AL167">
        <v>1</v>
      </c>
    </row>
    <row r="168" spans="5:39">
      <c r="G168" t="s">
        <v>983</v>
      </c>
      <c r="J168">
        <v>1</v>
      </c>
      <c r="L168">
        <v>1</v>
      </c>
      <c r="AH168">
        <v>1172</v>
      </c>
      <c r="AI168" t="s">
        <v>693</v>
      </c>
      <c r="AJ168" t="s">
        <v>377</v>
      </c>
      <c r="AK168">
        <v>0</v>
      </c>
      <c r="AL168">
        <v>1</v>
      </c>
    </row>
    <row r="169" spans="5:39">
      <c r="G169" t="s">
        <v>984</v>
      </c>
      <c r="J169">
        <v>1</v>
      </c>
      <c r="L169">
        <v>1</v>
      </c>
      <c r="AH169">
        <v>1173</v>
      </c>
      <c r="AI169" t="s">
        <v>695</v>
      </c>
      <c r="AJ169" t="s">
        <v>377</v>
      </c>
      <c r="AK169">
        <v>1</v>
      </c>
      <c r="AL169">
        <v>1</v>
      </c>
    </row>
    <row r="170" spans="5:39">
      <c r="G170" t="s">
        <v>666</v>
      </c>
      <c r="I170">
        <v>1</v>
      </c>
      <c r="L170">
        <v>1</v>
      </c>
      <c r="AH170">
        <v>1174</v>
      </c>
      <c r="AI170" t="s">
        <v>698</v>
      </c>
      <c r="AJ170" t="s">
        <v>377</v>
      </c>
      <c r="AK170">
        <v>1</v>
      </c>
      <c r="AL170">
        <v>1</v>
      </c>
    </row>
    <row r="171" spans="5:39">
      <c r="G171" t="s">
        <v>717</v>
      </c>
      <c r="J171">
        <v>1</v>
      </c>
      <c r="L171">
        <v>1</v>
      </c>
      <c r="AH171">
        <v>1175</v>
      </c>
      <c r="AI171" t="s">
        <v>700</v>
      </c>
      <c r="AJ171" t="s">
        <v>412</v>
      </c>
      <c r="AK171">
        <v>1</v>
      </c>
      <c r="AL171">
        <v>1</v>
      </c>
      <c r="AM171">
        <v>1</v>
      </c>
    </row>
    <row r="172" spans="5:39">
      <c r="E172">
        <v>230</v>
      </c>
      <c r="F172" t="s">
        <v>928</v>
      </c>
      <c r="G172" t="s">
        <v>933</v>
      </c>
      <c r="H172">
        <v>1</v>
      </c>
      <c r="L172">
        <v>1</v>
      </c>
      <c r="AH172">
        <v>1176</v>
      </c>
      <c r="AI172" t="s">
        <v>703</v>
      </c>
      <c r="AJ172" t="s">
        <v>412</v>
      </c>
      <c r="AK172">
        <v>1</v>
      </c>
      <c r="AL172">
        <v>1</v>
      </c>
      <c r="AM172">
        <v>1</v>
      </c>
    </row>
    <row r="173" spans="5:39">
      <c r="G173" t="s">
        <v>935</v>
      </c>
      <c r="H173">
        <v>1</v>
      </c>
      <c r="L173">
        <v>1</v>
      </c>
      <c r="AH173">
        <v>1177</v>
      </c>
      <c r="AI173" t="s">
        <v>706</v>
      </c>
      <c r="AJ173" t="s">
        <v>412</v>
      </c>
      <c r="AK173">
        <v>0</v>
      </c>
      <c r="AL173">
        <v>1</v>
      </c>
      <c r="AM173">
        <v>1</v>
      </c>
    </row>
    <row r="174" spans="5:39">
      <c r="G174" t="s">
        <v>938</v>
      </c>
      <c r="I174">
        <v>1</v>
      </c>
      <c r="L174">
        <v>1</v>
      </c>
      <c r="AH174">
        <v>1178</v>
      </c>
      <c r="AI174" t="s">
        <v>707</v>
      </c>
      <c r="AJ174" t="s">
        <v>412</v>
      </c>
      <c r="AK174">
        <v>1</v>
      </c>
      <c r="AL174">
        <v>1</v>
      </c>
      <c r="AM174">
        <v>1</v>
      </c>
    </row>
    <row r="175" spans="5:39">
      <c r="G175" t="s">
        <v>930</v>
      </c>
      <c r="J175">
        <v>1</v>
      </c>
      <c r="L175">
        <v>1</v>
      </c>
      <c r="AH175">
        <v>1179</v>
      </c>
      <c r="AI175" t="s">
        <v>708</v>
      </c>
      <c r="AJ175" t="s">
        <v>412</v>
      </c>
      <c r="AK175">
        <v>1</v>
      </c>
      <c r="AL175">
        <v>1</v>
      </c>
      <c r="AM175">
        <v>1</v>
      </c>
    </row>
    <row r="176" spans="5:39">
      <c r="G176" t="s">
        <v>943</v>
      </c>
      <c r="H176">
        <v>1</v>
      </c>
      <c r="L176">
        <v>1</v>
      </c>
      <c r="AH176">
        <v>1180</v>
      </c>
      <c r="AI176" t="s">
        <v>709</v>
      </c>
      <c r="AJ176" t="s">
        <v>412</v>
      </c>
      <c r="AK176">
        <v>1</v>
      </c>
      <c r="AL176">
        <v>1</v>
      </c>
      <c r="AM176">
        <v>1</v>
      </c>
    </row>
    <row r="177" spans="4:40">
      <c r="G177" t="s">
        <v>945</v>
      </c>
      <c r="H177">
        <v>1</v>
      </c>
      <c r="L177">
        <v>1</v>
      </c>
      <c r="AH177">
        <v>1181</v>
      </c>
      <c r="AI177" t="s">
        <v>710</v>
      </c>
      <c r="AJ177" t="s">
        <v>412</v>
      </c>
      <c r="AK177">
        <v>1</v>
      </c>
      <c r="AL177">
        <v>1</v>
      </c>
      <c r="AM177">
        <v>1</v>
      </c>
    </row>
    <row r="178" spans="4:40">
      <c r="G178" t="s">
        <v>931</v>
      </c>
      <c r="J178">
        <v>1</v>
      </c>
      <c r="L178">
        <v>1</v>
      </c>
      <c r="AH178">
        <v>1182</v>
      </c>
      <c r="AI178" t="s">
        <v>712</v>
      </c>
      <c r="AJ178" t="s">
        <v>412</v>
      </c>
      <c r="AK178">
        <v>1</v>
      </c>
      <c r="AL178">
        <v>1</v>
      </c>
      <c r="AM178">
        <v>1</v>
      </c>
    </row>
    <row r="179" spans="4:40">
      <c r="G179" t="s">
        <v>936</v>
      </c>
      <c r="H179">
        <v>1</v>
      </c>
      <c r="L179">
        <v>1</v>
      </c>
      <c r="AH179">
        <v>1183</v>
      </c>
      <c r="AI179" t="s">
        <v>713</v>
      </c>
      <c r="AJ179" t="s">
        <v>412</v>
      </c>
      <c r="AK179">
        <v>1</v>
      </c>
      <c r="AL179">
        <v>1</v>
      </c>
      <c r="AM179">
        <v>1</v>
      </c>
    </row>
    <row r="180" spans="4:40">
      <c r="G180" t="s">
        <v>941</v>
      </c>
      <c r="J180">
        <v>1</v>
      </c>
      <c r="L180">
        <v>1</v>
      </c>
      <c r="AH180">
        <v>1184</v>
      </c>
      <c r="AI180" t="s">
        <v>714</v>
      </c>
      <c r="AJ180" t="s">
        <v>412</v>
      </c>
      <c r="AK180">
        <v>1</v>
      </c>
      <c r="AL180">
        <v>1</v>
      </c>
      <c r="AM180">
        <v>1</v>
      </c>
    </row>
    <row r="181" spans="4:40">
      <c r="D181" t="s">
        <v>969</v>
      </c>
      <c r="E181">
        <v>20</v>
      </c>
      <c r="F181" t="s">
        <v>373</v>
      </c>
      <c r="G181" t="s">
        <v>399</v>
      </c>
      <c r="J181">
        <v>1</v>
      </c>
      <c r="L181">
        <v>1</v>
      </c>
      <c r="AH181">
        <v>1185</v>
      </c>
      <c r="AI181" t="s">
        <v>715</v>
      </c>
      <c r="AJ181" t="s">
        <v>412</v>
      </c>
      <c r="AK181">
        <v>1</v>
      </c>
      <c r="AL181">
        <v>1</v>
      </c>
      <c r="AM181">
        <v>1</v>
      </c>
    </row>
    <row r="182" spans="4:40">
      <c r="G182" t="s">
        <v>390</v>
      </c>
      <c r="J182">
        <v>1</v>
      </c>
      <c r="L182">
        <v>1</v>
      </c>
      <c r="AH182">
        <v>1186</v>
      </c>
      <c r="AI182" t="s">
        <v>716</v>
      </c>
      <c r="AJ182" t="s">
        <v>412</v>
      </c>
      <c r="AK182">
        <v>1</v>
      </c>
      <c r="AL182">
        <v>1</v>
      </c>
      <c r="AM182">
        <v>1</v>
      </c>
    </row>
    <row r="183" spans="4:40">
      <c r="G183" t="s">
        <v>385</v>
      </c>
      <c r="J183">
        <v>1</v>
      </c>
      <c r="L183">
        <v>1</v>
      </c>
      <c r="AH183">
        <v>1187</v>
      </c>
      <c r="AI183" t="s">
        <v>717</v>
      </c>
      <c r="AJ183" t="s">
        <v>412</v>
      </c>
      <c r="AK183">
        <v>1</v>
      </c>
      <c r="AL183">
        <v>1</v>
      </c>
      <c r="AM183">
        <v>1</v>
      </c>
    </row>
    <row r="184" spans="4:40">
      <c r="G184" t="s">
        <v>386</v>
      </c>
      <c r="J184">
        <v>1</v>
      </c>
      <c r="L184">
        <v>1</v>
      </c>
      <c r="AH184">
        <v>1188</v>
      </c>
      <c r="AI184" t="s">
        <v>984</v>
      </c>
      <c r="AJ184" t="s">
        <v>412</v>
      </c>
      <c r="AK184">
        <v>1</v>
      </c>
      <c r="AL184">
        <v>1</v>
      </c>
      <c r="AM184">
        <v>1</v>
      </c>
      <c r="AN184">
        <v>1</v>
      </c>
    </row>
    <row r="185" spans="4:40">
      <c r="G185" t="s">
        <v>384</v>
      </c>
      <c r="J185">
        <v>1</v>
      </c>
      <c r="L185">
        <v>1</v>
      </c>
      <c r="AH185">
        <v>1189</v>
      </c>
      <c r="AI185" t="s">
        <v>981</v>
      </c>
      <c r="AJ185" t="s">
        <v>412</v>
      </c>
      <c r="AK185">
        <v>1</v>
      </c>
      <c r="AL185">
        <v>1</v>
      </c>
      <c r="AM185">
        <v>1</v>
      </c>
      <c r="AN185">
        <v>1</v>
      </c>
    </row>
    <row r="186" spans="4:40">
      <c r="G186" t="s">
        <v>248</v>
      </c>
      <c r="J186">
        <v>1</v>
      </c>
      <c r="L186">
        <v>1</v>
      </c>
      <c r="AH186">
        <v>1190</v>
      </c>
      <c r="AI186" t="s">
        <v>980</v>
      </c>
      <c r="AJ186" t="s">
        <v>412</v>
      </c>
      <c r="AK186">
        <v>1</v>
      </c>
      <c r="AL186">
        <v>1</v>
      </c>
      <c r="AM186">
        <v>1</v>
      </c>
      <c r="AN186">
        <v>1</v>
      </c>
    </row>
    <row r="187" spans="4:40">
      <c r="G187" t="s">
        <v>388</v>
      </c>
      <c r="J187">
        <v>1</v>
      </c>
      <c r="L187">
        <v>1</v>
      </c>
      <c r="AH187">
        <v>1191</v>
      </c>
      <c r="AI187" t="s">
        <v>983</v>
      </c>
      <c r="AJ187" t="s">
        <v>412</v>
      </c>
      <c r="AK187">
        <v>1</v>
      </c>
      <c r="AL187">
        <v>1</v>
      </c>
      <c r="AM187">
        <v>1</v>
      </c>
      <c r="AN187">
        <v>1</v>
      </c>
    </row>
    <row r="188" spans="4:40">
      <c r="G188" t="s">
        <v>391</v>
      </c>
      <c r="J188">
        <v>1</v>
      </c>
      <c r="L188">
        <v>1</v>
      </c>
      <c r="AH188">
        <v>1192</v>
      </c>
      <c r="AI188" t="s">
        <v>725</v>
      </c>
      <c r="AJ188" t="s">
        <v>412</v>
      </c>
      <c r="AK188">
        <v>1</v>
      </c>
      <c r="AL188">
        <v>1</v>
      </c>
      <c r="AM188">
        <v>1</v>
      </c>
      <c r="AN188">
        <v>1</v>
      </c>
    </row>
    <row r="189" spans="4:40">
      <c r="G189" t="s">
        <v>393</v>
      </c>
      <c r="J189">
        <v>1</v>
      </c>
      <c r="L189">
        <v>1</v>
      </c>
      <c r="AF189">
        <v>110</v>
      </c>
      <c r="AG189" t="s">
        <v>726</v>
      </c>
      <c r="AH189">
        <v>1193</v>
      </c>
      <c r="AI189" t="s">
        <v>728</v>
      </c>
      <c r="AJ189" t="s">
        <v>412</v>
      </c>
      <c r="AK189">
        <v>1</v>
      </c>
      <c r="AL189">
        <v>1</v>
      </c>
    </row>
    <row r="190" spans="4:40">
      <c r="G190" t="s">
        <v>389</v>
      </c>
      <c r="J190">
        <v>1</v>
      </c>
      <c r="L190">
        <v>1</v>
      </c>
      <c r="AH190">
        <v>1194</v>
      </c>
      <c r="AI190" t="s">
        <v>734</v>
      </c>
      <c r="AJ190" t="s">
        <v>377</v>
      </c>
      <c r="AK190">
        <v>1</v>
      </c>
      <c r="AL190">
        <v>1</v>
      </c>
    </row>
    <row r="191" spans="4:40">
      <c r="G191" t="s">
        <v>392</v>
      </c>
      <c r="J191">
        <v>1</v>
      </c>
      <c r="L191">
        <v>1</v>
      </c>
      <c r="AH191">
        <v>1195</v>
      </c>
      <c r="AI191" t="s">
        <v>985</v>
      </c>
      <c r="AJ191" t="s">
        <v>377</v>
      </c>
      <c r="AK191">
        <v>1</v>
      </c>
      <c r="AL191">
        <v>1</v>
      </c>
    </row>
    <row r="192" spans="4:40">
      <c r="G192" t="s">
        <v>374</v>
      </c>
      <c r="J192">
        <v>1</v>
      </c>
      <c r="L192">
        <v>1</v>
      </c>
      <c r="AH192">
        <v>1196</v>
      </c>
      <c r="AI192" t="s">
        <v>737</v>
      </c>
      <c r="AJ192" t="s">
        <v>377</v>
      </c>
      <c r="AK192">
        <v>0</v>
      </c>
      <c r="AL192">
        <v>1</v>
      </c>
    </row>
    <row r="193" spans="5:38">
      <c r="G193" t="s">
        <v>387</v>
      </c>
      <c r="J193">
        <v>1</v>
      </c>
      <c r="L193">
        <v>1</v>
      </c>
      <c r="AH193">
        <v>1197</v>
      </c>
      <c r="AI193" t="s">
        <v>738</v>
      </c>
      <c r="AJ193" t="s">
        <v>377</v>
      </c>
      <c r="AK193">
        <v>0</v>
      </c>
      <c r="AL193">
        <v>1</v>
      </c>
    </row>
    <row r="194" spans="5:38">
      <c r="G194" t="s">
        <v>381</v>
      </c>
      <c r="J194">
        <v>1</v>
      </c>
      <c r="L194">
        <v>1</v>
      </c>
      <c r="AH194">
        <v>1198</v>
      </c>
      <c r="AI194" t="s">
        <v>739</v>
      </c>
      <c r="AJ194" t="s">
        <v>377</v>
      </c>
      <c r="AK194">
        <v>0</v>
      </c>
      <c r="AL194">
        <v>1</v>
      </c>
    </row>
    <row r="195" spans="5:38">
      <c r="G195" t="s">
        <v>394</v>
      </c>
      <c r="I195">
        <v>1</v>
      </c>
      <c r="L195">
        <v>1</v>
      </c>
      <c r="AH195">
        <v>1199</v>
      </c>
      <c r="AI195" t="s">
        <v>740</v>
      </c>
      <c r="AJ195" t="s">
        <v>377</v>
      </c>
      <c r="AK195">
        <v>0</v>
      </c>
      <c r="AL195">
        <v>1</v>
      </c>
    </row>
    <row r="196" spans="5:38">
      <c r="E196">
        <v>70</v>
      </c>
      <c r="F196" t="s">
        <v>598</v>
      </c>
      <c r="G196" t="s">
        <v>599</v>
      </c>
      <c r="I196">
        <v>1</v>
      </c>
      <c r="L196">
        <v>1</v>
      </c>
      <c r="AH196">
        <v>1200</v>
      </c>
      <c r="AI196" t="s">
        <v>741</v>
      </c>
      <c r="AJ196" t="s">
        <v>377</v>
      </c>
      <c r="AK196">
        <v>1</v>
      </c>
      <c r="AL196">
        <v>1</v>
      </c>
    </row>
    <row r="197" spans="5:38">
      <c r="E197">
        <v>80</v>
      </c>
      <c r="F197" t="s">
        <v>602</v>
      </c>
      <c r="G197" t="s">
        <v>603</v>
      </c>
      <c r="J197">
        <v>1</v>
      </c>
      <c r="L197">
        <v>1</v>
      </c>
      <c r="AH197">
        <v>1201</v>
      </c>
      <c r="AI197" t="s">
        <v>744</v>
      </c>
      <c r="AJ197" t="s">
        <v>377</v>
      </c>
      <c r="AK197">
        <v>1</v>
      </c>
      <c r="AL197">
        <v>1</v>
      </c>
    </row>
    <row r="198" spans="5:38">
      <c r="E198">
        <v>110</v>
      </c>
      <c r="F198" t="s">
        <v>726</v>
      </c>
      <c r="G198" t="s">
        <v>746</v>
      </c>
      <c r="J198">
        <v>1</v>
      </c>
      <c r="L198">
        <v>1</v>
      </c>
      <c r="AH198">
        <v>1202</v>
      </c>
      <c r="AI198" t="s">
        <v>746</v>
      </c>
      <c r="AJ198" t="s">
        <v>377</v>
      </c>
      <c r="AK198">
        <v>1</v>
      </c>
      <c r="AL198">
        <v>1</v>
      </c>
    </row>
    <row r="199" spans="5:38">
      <c r="G199" t="s">
        <v>985</v>
      </c>
      <c r="J199">
        <v>1</v>
      </c>
      <c r="L199">
        <v>1</v>
      </c>
      <c r="AH199">
        <v>1203</v>
      </c>
      <c r="AI199" t="s">
        <v>747</v>
      </c>
      <c r="AJ199" t="s">
        <v>377</v>
      </c>
      <c r="AK199">
        <v>2</v>
      </c>
      <c r="AL199">
        <v>1</v>
      </c>
    </row>
    <row r="200" spans="5:38">
      <c r="G200" t="s">
        <v>741</v>
      </c>
      <c r="J200">
        <v>1</v>
      </c>
      <c r="L200">
        <v>1</v>
      </c>
      <c r="AF200">
        <v>200</v>
      </c>
      <c r="AG200" t="s">
        <v>862</v>
      </c>
      <c r="AH200">
        <v>1258</v>
      </c>
      <c r="AI200" t="s">
        <v>864</v>
      </c>
      <c r="AJ200" t="s">
        <v>377</v>
      </c>
      <c r="AK200">
        <v>1</v>
      </c>
      <c r="AL200">
        <v>1</v>
      </c>
    </row>
    <row r="201" spans="5:38">
      <c r="G201" t="s">
        <v>728</v>
      </c>
      <c r="J201">
        <v>1</v>
      </c>
      <c r="L201">
        <v>1</v>
      </c>
      <c r="AH201">
        <v>1259</v>
      </c>
      <c r="AI201" t="s">
        <v>867</v>
      </c>
      <c r="AJ201" t="s">
        <v>377</v>
      </c>
      <c r="AK201">
        <v>1</v>
      </c>
      <c r="AL201">
        <v>1</v>
      </c>
    </row>
    <row r="202" spans="5:38">
      <c r="G202" t="s">
        <v>734</v>
      </c>
      <c r="J202">
        <v>1</v>
      </c>
      <c r="L202">
        <v>1</v>
      </c>
      <c r="AF202">
        <v>230</v>
      </c>
      <c r="AG202" t="s">
        <v>928</v>
      </c>
      <c r="AH202">
        <v>1295</v>
      </c>
      <c r="AI202" t="s">
        <v>930</v>
      </c>
      <c r="AJ202" t="s">
        <v>377</v>
      </c>
      <c r="AK202">
        <v>1</v>
      </c>
      <c r="AL202">
        <v>1</v>
      </c>
    </row>
    <row r="203" spans="5:38">
      <c r="G203" t="s">
        <v>739</v>
      </c>
      <c r="K203">
        <v>1</v>
      </c>
      <c r="L203">
        <v>1</v>
      </c>
      <c r="AH203">
        <v>1296</v>
      </c>
      <c r="AI203" t="s">
        <v>931</v>
      </c>
      <c r="AJ203" t="s">
        <v>377</v>
      </c>
      <c r="AK203">
        <v>1</v>
      </c>
      <c r="AL203">
        <v>1</v>
      </c>
    </row>
    <row r="204" spans="5:38">
      <c r="G204" t="s">
        <v>740</v>
      </c>
      <c r="K204">
        <v>1</v>
      </c>
      <c r="L204">
        <v>1</v>
      </c>
      <c r="AH204">
        <v>1297</v>
      </c>
      <c r="AI204" t="s">
        <v>933</v>
      </c>
      <c r="AJ204" t="s">
        <v>377</v>
      </c>
      <c r="AK204">
        <v>3</v>
      </c>
      <c r="AL204">
        <v>1</v>
      </c>
    </row>
    <row r="205" spans="5:38">
      <c r="G205" t="s">
        <v>737</v>
      </c>
      <c r="K205">
        <v>1</v>
      </c>
      <c r="L205">
        <v>1</v>
      </c>
      <c r="AH205">
        <v>1298</v>
      </c>
      <c r="AI205" t="s">
        <v>935</v>
      </c>
      <c r="AJ205" t="s">
        <v>377</v>
      </c>
      <c r="AK205">
        <v>3</v>
      </c>
      <c r="AL205">
        <v>1</v>
      </c>
    </row>
    <row r="206" spans="5:38">
      <c r="G206" t="s">
        <v>738</v>
      </c>
      <c r="K206">
        <v>1</v>
      </c>
      <c r="L206">
        <v>1</v>
      </c>
      <c r="AH206">
        <v>1299</v>
      </c>
      <c r="AI206" t="s">
        <v>936</v>
      </c>
      <c r="AJ206" t="s">
        <v>377</v>
      </c>
      <c r="AK206">
        <v>3</v>
      </c>
      <c r="AL206">
        <v>1</v>
      </c>
    </row>
    <row r="207" spans="5:38">
      <c r="G207" t="s">
        <v>747</v>
      </c>
      <c r="I207">
        <v>1</v>
      </c>
      <c r="L207">
        <v>1</v>
      </c>
      <c r="AH207">
        <v>1300</v>
      </c>
      <c r="AI207" t="s">
        <v>938</v>
      </c>
      <c r="AJ207" t="s">
        <v>377</v>
      </c>
      <c r="AK207">
        <v>2</v>
      </c>
      <c r="AL207">
        <v>1</v>
      </c>
    </row>
    <row r="208" spans="5:38">
      <c r="G208" t="s">
        <v>744</v>
      </c>
      <c r="J208">
        <v>1</v>
      </c>
      <c r="L208">
        <v>1</v>
      </c>
      <c r="AH208">
        <v>1301</v>
      </c>
      <c r="AI208" t="s">
        <v>941</v>
      </c>
      <c r="AJ208" t="s">
        <v>377</v>
      </c>
      <c r="AK208">
        <v>1</v>
      </c>
      <c r="AL208">
        <v>1</v>
      </c>
    </row>
    <row r="209" spans="1:41">
      <c r="E209">
        <v>200</v>
      </c>
      <c r="F209" t="s">
        <v>862</v>
      </c>
      <c r="G209" t="s">
        <v>867</v>
      </c>
      <c r="J209">
        <v>1</v>
      </c>
      <c r="L209">
        <v>1</v>
      </c>
      <c r="AH209">
        <v>1302</v>
      </c>
      <c r="AI209" t="s">
        <v>943</v>
      </c>
      <c r="AJ209" t="s">
        <v>377</v>
      </c>
      <c r="AK209">
        <v>3</v>
      </c>
      <c r="AL209">
        <v>1</v>
      </c>
    </row>
    <row r="210" spans="1:41">
      <c r="G210" t="s">
        <v>864</v>
      </c>
      <c r="J210">
        <v>1</v>
      </c>
      <c r="L210">
        <v>1</v>
      </c>
      <c r="AH210">
        <v>1303</v>
      </c>
      <c r="AI210" t="s">
        <v>945</v>
      </c>
      <c r="AJ210" t="s">
        <v>377</v>
      </c>
      <c r="AK210">
        <v>3</v>
      </c>
      <c r="AL210">
        <v>1</v>
      </c>
    </row>
    <row r="211" spans="1:41">
      <c r="A211" s="87" t="s">
        <v>970</v>
      </c>
      <c r="B211" s="87"/>
      <c r="C211" s="87"/>
      <c r="D211" s="87"/>
      <c r="E211" s="87"/>
      <c r="F211" s="87"/>
      <c r="G211" s="87"/>
      <c r="H211" s="87">
        <v>5</v>
      </c>
      <c r="I211" s="87">
        <v>6</v>
      </c>
      <c r="J211" s="87">
        <v>47</v>
      </c>
      <c r="K211" s="87">
        <v>12</v>
      </c>
      <c r="L211" s="87">
        <v>70</v>
      </c>
      <c r="AC211" s="87" t="s">
        <v>970</v>
      </c>
      <c r="AD211" s="87"/>
      <c r="AE211" s="87"/>
      <c r="AF211" s="87"/>
      <c r="AG211" s="87"/>
      <c r="AH211" s="87"/>
      <c r="AI211" s="87"/>
      <c r="AJ211" s="87"/>
      <c r="AK211" s="87"/>
      <c r="AL211" s="87">
        <v>70</v>
      </c>
      <c r="AM211" s="87">
        <v>22</v>
      </c>
      <c r="AN211" s="87">
        <v>5</v>
      </c>
      <c r="AO211" s="87"/>
    </row>
    <row r="212" spans="1:41">
      <c r="A212" t="s">
        <v>971</v>
      </c>
      <c r="B212" s="81">
        <v>45936</v>
      </c>
      <c r="C212" t="s">
        <v>106</v>
      </c>
      <c r="D212" t="s">
        <v>972</v>
      </c>
      <c r="E212">
        <v>150</v>
      </c>
      <c r="F212" t="s">
        <v>767</v>
      </c>
      <c r="G212" t="s">
        <v>819</v>
      </c>
      <c r="J212">
        <v>1</v>
      </c>
      <c r="L212">
        <v>1</v>
      </c>
      <c r="AC212" t="s">
        <v>955</v>
      </c>
      <c r="AL212">
        <v>201</v>
      </c>
      <c r="AM212">
        <v>153</v>
      </c>
      <c r="AN212">
        <v>107</v>
      </c>
      <c r="AO212">
        <v>86</v>
      </c>
    </row>
    <row r="213" spans="1:41">
      <c r="G213" t="s">
        <v>20</v>
      </c>
      <c r="J213">
        <v>1</v>
      </c>
      <c r="L213">
        <v>1</v>
      </c>
    </row>
    <row r="214" spans="1:41">
      <c r="G214" t="s">
        <v>769</v>
      </c>
      <c r="J214">
        <v>1</v>
      </c>
      <c r="L214">
        <v>1</v>
      </c>
    </row>
    <row r="215" spans="1:41">
      <c r="G215" t="s">
        <v>800</v>
      </c>
      <c r="H215">
        <v>1</v>
      </c>
      <c r="L215">
        <v>1</v>
      </c>
    </row>
    <row r="216" spans="1:41">
      <c r="G216" t="s">
        <v>777</v>
      </c>
      <c r="J216">
        <v>1</v>
      </c>
      <c r="L216">
        <v>1</v>
      </c>
    </row>
    <row r="217" spans="1:41">
      <c r="G217" t="s">
        <v>779</v>
      </c>
      <c r="J217">
        <v>1</v>
      </c>
      <c r="L217">
        <v>1</v>
      </c>
    </row>
    <row r="218" spans="1:41">
      <c r="G218" t="s">
        <v>775</v>
      </c>
      <c r="J218">
        <v>1</v>
      </c>
      <c r="L218">
        <v>1</v>
      </c>
    </row>
    <row r="219" spans="1:41">
      <c r="G219" t="s">
        <v>796</v>
      </c>
      <c r="H219">
        <v>1</v>
      </c>
      <c r="L219">
        <v>1</v>
      </c>
    </row>
    <row r="220" spans="1:41">
      <c r="G220" t="s">
        <v>772</v>
      </c>
      <c r="J220">
        <v>1</v>
      </c>
      <c r="L220">
        <v>1</v>
      </c>
    </row>
    <row r="221" spans="1:41">
      <c r="G221" t="s">
        <v>99</v>
      </c>
      <c r="J221">
        <v>1</v>
      </c>
      <c r="L221">
        <v>1</v>
      </c>
    </row>
    <row r="222" spans="1:41">
      <c r="G222" t="s">
        <v>807</v>
      </c>
      <c r="J222">
        <v>1</v>
      </c>
      <c r="L222">
        <v>1</v>
      </c>
    </row>
    <row r="223" spans="1:41">
      <c r="G223" t="s">
        <v>810</v>
      </c>
      <c r="J223">
        <v>1</v>
      </c>
      <c r="L223">
        <v>1</v>
      </c>
    </row>
    <row r="224" spans="1:41">
      <c r="G224" t="s">
        <v>812</v>
      </c>
      <c r="J224">
        <v>1</v>
      </c>
      <c r="L224">
        <v>1</v>
      </c>
    </row>
    <row r="225" spans="5:12">
      <c r="G225" t="s">
        <v>793</v>
      </c>
      <c r="J225">
        <v>1</v>
      </c>
      <c r="L225">
        <v>1</v>
      </c>
    </row>
    <row r="226" spans="5:12">
      <c r="G226" t="s">
        <v>781</v>
      </c>
      <c r="J226">
        <v>1</v>
      </c>
      <c r="L226">
        <v>1</v>
      </c>
    </row>
    <row r="227" spans="5:12">
      <c r="G227" t="s">
        <v>141</v>
      </c>
      <c r="J227">
        <v>1</v>
      </c>
      <c r="L227">
        <v>1</v>
      </c>
    </row>
    <row r="228" spans="5:12">
      <c r="G228" t="s">
        <v>804</v>
      </c>
      <c r="H228">
        <v>1</v>
      </c>
      <c r="L228">
        <v>1</v>
      </c>
    </row>
    <row r="229" spans="5:12">
      <c r="G229" t="s">
        <v>788</v>
      </c>
      <c r="J229">
        <v>1</v>
      </c>
      <c r="L229">
        <v>1</v>
      </c>
    </row>
    <row r="230" spans="5:12">
      <c r="G230" t="s">
        <v>790</v>
      </c>
      <c r="J230">
        <v>1</v>
      </c>
      <c r="L230">
        <v>1</v>
      </c>
    </row>
    <row r="231" spans="5:12">
      <c r="G231" t="s">
        <v>802</v>
      </c>
      <c r="H231">
        <v>1</v>
      </c>
      <c r="L231">
        <v>1</v>
      </c>
    </row>
    <row r="232" spans="5:12">
      <c r="G232" t="s">
        <v>783</v>
      </c>
      <c r="J232">
        <v>1</v>
      </c>
      <c r="L232">
        <v>1</v>
      </c>
    </row>
    <row r="233" spans="5:12">
      <c r="G233" t="s">
        <v>786</v>
      </c>
      <c r="J233">
        <v>1</v>
      </c>
      <c r="L233">
        <v>1</v>
      </c>
    </row>
    <row r="234" spans="5:12">
      <c r="G234" t="s">
        <v>770</v>
      </c>
      <c r="J234">
        <v>1</v>
      </c>
      <c r="L234">
        <v>1</v>
      </c>
    </row>
    <row r="235" spans="5:12">
      <c r="G235" t="s">
        <v>815</v>
      </c>
      <c r="J235">
        <v>1</v>
      </c>
      <c r="L235">
        <v>1</v>
      </c>
    </row>
    <row r="236" spans="5:12">
      <c r="E236">
        <v>160</v>
      </c>
      <c r="F236" t="s">
        <v>820</v>
      </c>
      <c r="G236" t="s">
        <v>852</v>
      </c>
      <c r="J236">
        <v>1</v>
      </c>
      <c r="L236">
        <v>1</v>
      </c>
    </row>
    <row r="237" spans="5:12">
      <c r="G237" t="s">
        <v>834</v>
      </c>
      <c r="J237">
        <v>1</v>
      </c>
      <c r="L237">
        <v>1</v>
      </c>
    </row>
    <row r="238" spans="5:12">
      <c r="G238" t="s">
        <v>842</v>
      </c>
      <c r="J238">
        <v>1</v>
      </c>
      <c r="L238">
        <v>1</v>
      </c>
    </row>
    <row r="239" spans="5:12">
      <c r="G239" t="s">
        <v>840</v>
      </c>
      <c r="J239">
        <v>1</v>
      </c>
      <c r="L239">
        <v>1</v>
      </c>
    </row>
    <row r="240" spans="5:12">
      <c r="G240" t="s">
        <v>846</v>
      </c>
      <c r="J240">
        <v>1</v>
      </c>
      <c r="L240">
        <v>1</v>
      </c>
    </row>
    <row r="241" spans="1:12">
      <c r="G241" t="s">
        <v>837</v>
      </c>
      <c r="K241">
        <v>1</v>
      </c>
      <c r="L241">
        <v>1</v>
      </c>
    </row>
    <row r="242" spans="1:12">
      <c r="G242" t="s">
        <v>836</v>
      </c>
      <c r="K242">
        <v>1</v>
      </c>
      <c r="L242">
        <v>1</v>
      </c>
    </row>
    <row r="243" spans="1:12">
      <c r="G243" t="s">
        <v>838</v>
      </c>
      <c r="K243">
        <v>1</v>
      </c>
      <c r="L243">
        <v>1</v>
      </c>
    </row>
    <row r="244" spans="1:12">
      <c r="G244" t="s">
        <v>829</v>
      </c>
      <c r="J244">
        <v>1</v>
      </c>
      <c r="L244">
        <v>1</v>
      </c>
    </row>
    <row r="245" spans="1:12">
      <c r="G245" t="s">
        <v>851</v>
      </c>
      <c r="J245">
        <v>1</v>
      </c>
      <c r="L245">
        <v>1</v>
      </c>
    </row>
    <row r="246" spans="1:12">
      <c r="G246" t="s">
        <v>845</v>
      </c>
      <c r="J246">
        <v>1</v>
      </c>
      <c r="L246">
        <v>1</v>
      </c>
    </row>
    <row r="247" spans="1:12">
      <c r="G247" t="s">
        <v>827</v>
      </c>
      <c r="J247">
        <v>1</v>
      </c>
      <c r="L247">
        <v>1</v>
      </c>
    </row>
    <row r="248" spans="1:12">
      <c r="G248" t="s">
        <v>822</v>
      </c>
      <c r="K248">
        <v>1</v>
      </c>
      <c r="L248">
        <v>1</v>
      </c>
    </row>
    <row r="249" spans="1:12">
      <c r="G249" t="s">
        <v>831</v>
      </c>
      <c r="J249">
        <v>1</v>
      </c>
      <c r="L249">
        <v>1</v>
      </c>
    </row>
    <row r="250" spans="1:12">
      <c r="G250" t="s">
        <v>847</v>
      </c>
      <c r="J250">
        <v>1</v>
      </c>
      <c r="L250">
        <v>1</v>
      </c>
    </row>
    <row r="251" spans="1:12">
      <c r="G251" t="s">
        <v>825</v>
      </c>
      <c r="J251">
        <v>1</v>
      </c>
      <c r="L251">
        <v>1</v>
      </c>
    </row>
    <row r="252" spans="1:12">
      <c r="G252" t="s">
        <v>843</v>
      </c>
      <c r="J252">
        <v>1</v>
      </c>
      <c r="L252">
        <v>1</v>
      </c>
    </row>
    <row r="253" spans="1:12">
      <c r="G253" t="s">
        <v>848</v>
      </c>
      <c r="J253">
        <v>1</v>
      </c>
      <c r="L253">
        <v>1</v>
      </c>
    </row>
    <row r="254" spans="1:12">
      <c r="G254" t="s">
        <v>849</v>
      </c>
      <c r="J254">
        <v>1</v>
      </c>
      <c r="L254">
        <v>1</v>
      </c>
    </row>
    <row r="255" spans="1:12">
      <c r="A255" s="87" t="s">
        <v>973</v>
      </c>
      <c r="B255" s="87"/>
      <c r="C255" s="87"/>
      <c r="D255" s="87"/>
      <c r="E255" s="87"/>
      <c r="F255" s="87"/>
      <c r="G255" s="87"/>
      <c r="H255" s="87">
        <v>4</v>
      </c>
      <c r="I255" s="87"/>
      <c r="J255" s="87">
        <v>35</v>
      </c>
      <c r="K255" s="87">
        <v>4</v>
      </c>
      <c r="L255" s="87">
        <v>43</v>
      </c>
    </row>
    <row r="256" spans="1:12">
      <c r="A256" t="s">
        <v>974</v>
      </c>
      <c r="B256" s="81">
        <v>45943</v>
      </c>
      <c r="C256" t="s">
        <v>407</v>
      </c>
      <c r="D256" t="s">
        <v>975</v>
      </c>
      <c r="E256">
        <v>120</v>
      </c>
      <c r="F256" t="s">
        <v>754</v>
      </c>
      <c r="G256" t="s">
        <v>755</v>
      </c>
      <c r="J256">
        <v>1</v>
      </c>
      <c r="L256">
        <v>1</v>
      </c>
    </row>
    <row r="257" spans="4:12">
      <c r="G257" t="s">
        <v>751</v>
      </c>
      <c r="J257">
        <v>1</v>
      </c>
      <c r="L257">
        <v>1</v>
      </c>
    </row>
    <row r="258" spans="4:12">
      <c r="E258">
        <v>130</v>
      </c>
      <c r="F258" t="s">
        <v>757</v>
      </c>
      <c r="G258" t="s">
        <v>759</v>
      </c>
      <c r="J258">
        <v>1</v>
      </c>
      <c r="L258">
        <v>1</v>
      </c>
    </row>
    <row r="259" spans="4:12">
      <c r="E259">
        <v>140</v>
      </c>
      <c r="F259" t="s">
        <v>760</v>
      </c>
      <c r="G259" t="s">
        <v>764</v>
      </c>
      <c r="J259">
        <v>1</v>
      </c>
      <c r="L259">
        <v>1</v>
      </c>
    </row>
    <row r="260" spans="4:12">
      <c r="G260" t="s">
        <v>761</v>
      </c>
      <c r="J260">
        <v>1</v>
      </c>
      <c r="L260">
        <v>1</v>
      </c>
    </row>
    <row r="261" spans="4:12">
      <c r="G261" t="s">
        <v>766</v>
      </c>
      <c r="J261">
        <v>1</v>
      </c>
      <c r="L261">
        <v>1</v>
      </c>
    </row>
    <row r="262" spans="4:12">
      <c r="G262" t="s">
        <v>763</v>
      </c>
      <c r="J262">
        <v>1</v>
      </c>
      <c r="L262">
        <v>1</v>
      </c>
    </row>
    <row r="263" spans="4:12">
      <c r="E263">
        <v>170</v>
      </c>
      <c r="F263" t="s">
        <v>583</v>
      </c>
      <c r="G263" t="s">
        <v>856</v>
      </c>
      <c r="J263">
        <v>1</v>
      </c>
      <c r="L263">
        <v>1</v>
      </c>
    </row>
    <row r="264" spans="4:12">
      <c r="G264" t="s">
        <v>854</v>
      </c>
      <c r="J264">
        <v>1</v>
      </c>
      <c r="L264">
        <v>1</v>
      </c>
    </row>
    <row r="265" spans="4:12">
      <c r="E265">
        <v>180</v>
      </c>
      <c r="F265" t="s">
        <v>857</v>
      </c>
      <c r="G265" t="s">
        <v>859</v>
      </c>
      <c r="J265">
        <v>1</v>
      </c>
      <c r="L265">
        <v>1</v>
      </c>
    </row>
    <row r="266" spans="4:12">
      <c r="E266">
        <v>190</v>
      </c>
      <c r="F266" t="s">
        <v>860</v>
      </c>
      <c r="G266" t="s">
        <v>861</v>
      </c>
      <c r="J266">
        <v>1</v>
      </c>
      <c r="L266">
        <v>1</v>
      </c>
    </row>
    <row r="267" spans="4:12">
      <c r="D267" t="s">
        <v>976</v>
      </c>
      <c r="E267">
        <v>40</v>
      </c>
      <c r="F267" t="s">
        <v>408</v>
      </c>
      <c r="G267" t="s">
        <v>429</v>
      </c>
      <c r="J267">
        <v>1</v>
      </c>
      <c r="L267">
        <v>1</v>
      </c>
    </row>
    <row r="268" spans="4:12">
      <c r="G268" t="s">
        <v>154</v>
      </c>
      <c r="K268">
        <v>1</v>
      </c>
      <c r="L268">
        <v>1</v>
      </c>
    </row>
    <row r="269" spans="4:12">
      <c r="G269" t="s">
        <v>419</v>
      </c>
      <c r="K269">
        <v>1</v>
      </c>
      <c r="L269">
        <v>1</v>
      </c>
    </row>
    <row r="270" spans="4:12">
      <c r="G270" t="s">
        <v>424</v>
      </c>
      <c r="J270">
        <v>1</v>
      </c>
      <c r="L270">
        <v>1</v>
      </c>
    </row>
    <row r="271" spans="4:12">
      <c r="G271" t="s">
        <v>426</v>
      </c>
      <c r="K271">
        <v>1</v>
      </c>
      <c r="L271">
        <v>1</v>
      </c>
    </row>
    <row r="272" spans="4:12">
      <c r="G272" t="s">
        <v>418</v>
      </c>
      <c r="J272">
        <v>1</v>
      </c>
      <c r="L272">
        <v>1</v>
      </c>
    </row>
    <row r="273" spans="4:12">
      <c r="G273" t="s">
        <v>409</v>
      </c>
      <c r="J273">
        <v>1</v>
      </c>
      <c r="L273">
        <v>1</v>
      </c>
    </row>
    <row r="274" spans="4:12">
      <c r="G274" t="s">
        <v>428</v>
      </c>
      <c r="J274">
        <v>1</v>
      </c>
      <c r="L274">
        <v>1</v>
      </c>
    </row>
    <row r="275" spans="4:12">
      <c r="G275" t="s">
        <v>415</v>
      </c>
      <c r="J275">
        <v>1</v>
      </c>
      <c r="L275">
        <v>1</v>
      </c>
    </row>
    <row r="276" spans="4:12">
      <c r="G276" t="s">
        <v>422</v>
      </c>
      <c r="K276">
        <v>1</v>
      </c>
      <c r="L276">
        <v>1</v>
      </c>
    </row>
    <row r="277" spans="4:12">
      <c r="G277" t="s">
        <v>423</v>
      </c>
      <c r="K277">
        <v>1</v>
      </c>
      <c r="L277">
        <v>1</v>
      </c>
    </row>
    <row r="278" spans="4:12">
      <c r="G278" t="s">
        <v>425</v>
      </c>
      <c r="K278">
        <v>1</v>
      </c>
      <c r="L278">
        <v>1</v>
      </c>
    </row>
    <row r="279" spans="4:12">
      <c r="G279" t="s">
        <v>427</v>
      </c>
      <c r="K279">
        <v>1</v>
      </c>
      <c r="L279">
        <v>1</v>
      </c>
    </row>
    <row r="280" spans="4:12">
      <c r="E280">
        <v>60</v>
      </c>
      <c r="F280" t="s">
        <v>592</v>
      </c>
      <c r="G280" t="s">
        <v>594</v>
      </c>
      <c r="J280">
        <v>1</v>
      </c>
      <c r="L280">
        <v>1</v>
      </c>
    </row>
    <row r="281" spans="4:12">
      <c r="G281" t="s">
        <v>596</v>
      </c>
      <c r="J281">
        <v>1</v>
      </c>
      <c r="L281">
        <v>1</v>
      </c>
    </row>
    <row r="282" spans="4:12">
      <c r="D282" t="s">
        <v>977</v>
      </c>
      <c r="E282">
        <v>210</v>
      </c>
      <c r="F282" t="s">
        <v>869</v>
      </c>
      <c r="G282" t="s">
        <v>888</v>
      </c>
      <c r="J282">
        <v>1</v>
      </c>
      <c r="L282">
        <v>1</v>
      </c>
    </row>
    <row r="283" spans="4:12">
      <c r="G283" t="s">
        <v>892</v>
      </c>
      <c r="J283">
        <v>1</v>
      </c>
      <c r="L283">
        <v>1</v>
      </c>
    </row>
    <row r="284" spans="4:12">
      <c r="G284" t="s">
        <v>890</v>
      </c>
      <c r="J284">
        <v>1</v>
      </c>
      <c r="L284">
        <v>1</v>
      </c>
    </row>
    <row r="285" spans="4:12">
      <c r="G285" t="s">
        <v>894</v>
      </c>
      <c r="J285">
        <v>1</v>
      </c>
      <c r="L285">
        <v>1</v>
      </c>
    </row>
    <row r="286" spans="4:12">
      <c r="G286" t="s">
        <v>886</v>
      </c>
      <c r="J286">
        <v>1</v>
      </c>
      <c r="L286">
        <v>1</v>
      </c>
    </row>
    <row r="287" spans="4:12">
      <c r="G287" t="s">
        <v>887</v>
      </c>
      <c r="J287">
        <v>1</v>
      </c>
      <c r="L287">
        <v>1</v>
      </c>
    </row>
    <row r="288" spans="4:12">
      <c r="G288" t="s">
        <v>874</v>
      </c>
      <c r="J288">
        <v>1</v>
      </c>
      <c r="L288">
        <v>1</v>
      </c>
    </row>
    <row r="289" spans="5:12">
      <c r="G289" t="s">
        <v>986</v>
      </c>
      <c r="J289">
        <v>1</v>
      </c>
      <c r="L289">
        <v>1</v>
      </c>
    </row>
    <row r="290" spans="5:12">
      <c r="G290" t="s">
        <v>877</v>
      </c>
      <c r="K290">
        <v>1</v>
      </c>
      <c r="L290">
        <v>1</v>
      </c>
    </row>
    <row r="291" spans="5:12">
      <c r="G291" t="s">
        <v>879</v>
      </c>
      <c r="K291">
        <v>1</v>
      </c>
      <c r="L291">
        <v>1</v>
      </c>
    </row>
    <row r="292" spans="5:12">
      <c r="G292" t="s">
        <v>878</v>
      </c>
      <c r="K292">
        <v>1</v>
      </c>
      <c r="L292">
        <v>1</v>
      </c>
    </row>
    <row r="293" spans="5:12">
      <c r="G293" t="s">
        <v>889</v>
      </c>
      <c r="J293">
        <v>1</v>
      </c>
      <c r="L293">
        <v>1</v>
      </c>
    </row>
    <row r="294" spans="5:12">
      <c r="G294" t="s">
        <v>535</v>
      </c>
      <c r="J294">
        <v>1</v>
      </c>
      <c r="L294">
        <v>1</v>
      </c>
    </row>
    <row r="295" spans="5:12">
      <c r="G295" t="s">
        <v>449</v>
      </c>
      <c r="J295">
        <v>1</v>
      </c>
      <c r="L295">
        <v>1</v>
      </c>
    </row>
    <row r="296" spans="5:12">
      <c r="G296" t="s">
        <v>895</v>
      </c>
      <c r="J296">
        <v>1</v>
      </c>
      <c r="L296">
        <v>1</v>
      </c>
    </row>
    <row r="297" spans="5:12">
      <c r="G297" t="s">
        <v>987</v>
      </c>
      <c r="J297">
        <v>1</v>
      </c>
      <c r="L297">
        <v>1</v>
      </c>
    </row>
    <row r="298" spans="5:12">
      <c r="G298" t="s">
        <v>871</v>
      </c>
      <c r="J298">
        <v>1</v>
      </c>
      <c r="L298">
        <v>1</v>
      </c>
    </row>
    <row r="299" spans="5:12">
      <c r="G299" t="s">
        <v>872</v>
      </c>
      <c r="J299">
        <v>1</v>
      </c>
      <c r="L299">
        <v>1</v>
      </c>
    </row>
    <row r="300" spans="5:12">
      <c r="E300">
        <v>220</v>
      </c>
      <c r="F300" t="s">
        <v>896</v>
      </c>
      <c r="G300" t="s">
        <v>924</v>
      </c>
      <c r="K300">
        <v>1</v>
      </c>
      <c r="L300">
        <v>1</v>
      </c>
    </row>
    <row r="301" spans="5:12">
      <c r="G301" t="s">
        <v>914</v>
      </c>
      <c r="J301">
        <v>1</v>
      </c>
      <c r="L301">
        <v>1</v>
      </c>
    </row>
    <row r="302" spans="5:12">
      <c r="G302" t="s">
        <v>911</v>
      </c>
      <c r="J302">
        <v>1</v>
      </c>
      <c r="L302">
        <v>1</v>
      </c>
    </row>
    <row r="303" spans="5:12">
      <c r="G303" t="s">
        <v>906</v>
      </c>
      <c r="J303">
        <v>1</v>
      </c>
      <c r="L303">
        <v>1</v>
      </c>
    </row>
    <row r="304" spans="5:12">
      <c r="G304" t="s">
        <v>921</v>
      </c>
      <c r="J304">
        <v>1</v>
      </c>
      <c r="L304">
        <v>1</v>
      </c>
    </row>
    <row r="305" spans="1:12">
      <c r="G305" t="s">
        <v>908</v>
      </c>
      <c r="J305">
        <v>1</v>
      </c>
      <c r="L305">
        <v>1</v>
      </c>
    </row>
    <row r="306" spans="1:12">
      <c r="G306" t="s">
        <v>915</v>
      </c>
      <c r="J306">
        <v>1</v>
      </c>
      <c r="L306">
        <v>1</v>
      </c>
    </row>
    <row r="307" spans="1:12">
      <c r="G307" t="s">
        <v>898</v>
      </c>
      <c r="J307">
        <v>1</v>
      </c>
      <c r="L307">
        <v>1</v>
      </c>
    </row>
    <row r="308" spans="1:12">
      <c r="G308" t="s">
        <v>917</v>
      </c>
      <c r="J308">
        <v>1</v>
      </c>
      <c r="L308">
        <v>1</v>
      </c>
    </row>
    <row r="309" spans="1:12">
      <c r="G309" t="s">
        <v>910</v>
      </c>
      <c r="J309">
        <v>1</v>
      </c>
      <c r="L309">
        <v>1</v>
      </c>
    </row>
    <row r="310" spans="1:12">
      <c r="G310" t="s">
        <v>916</v>
      </c>
      <c r="J310">
        <v>1</v>
      </c>
      <c r="L310">
        <v>1</v>
      </c>
    </row>
    <row r="311" spans="1:12">
      <c r="G311" t="s">
        <v>907</v>
      </c>
      <c r="J311">
        <v>1</v>
      </c>
      <c r="L311">
        <v>1</v>
      </c>
    </row>
    <row r="312" spans="1:12">
      <c r="G312" t="s">
        <v>901</v>
      </c>
      <c r="J312">
        <v>1</v>
      </c>
      <c r="L312">
        <v>1</v>
      </c>
    </row>
    <row r="313" spans="1:12">
      <c r="G313" t="s">
        <v>904</v>
      </c>
      <c r="K313">
        <v>1</v>
      </c>
      <c r="L313">
        <v>1</v>
      </c>
    </row>
    <row r="314" spans="1:12">
      <c r="G314" t="s">
        <v>912</v>
      </c>
      <c r="J314">
        <v>1</v>
      </c>
      <c r="L314">
        <v>1</v>
      </c>
    </row>
    <row r="315" spans="1:12">
      <c r="G315" t="s">
        <v>927</v>
      </c>
      <c r="J315">
        <v>1</v>
      </c>
      <c r="L315">
        <v>1</v>
      </c>
    </row>
    <row r="316" spans="1:12">
      <c r="G316" t="s">
        <v>919</v>
      </c>
      <c r="J316">
        <v>1</v>
      </c>
      <c r="L316">
        <v>1</v>
      </c>
    </row>
    <row r="317" spans="1:12">
      <c r="D317" t="s">
        <v>978</v>
      </c>
      <c r="E317">
        <v>30</v>
      </c>
      <c r="F317" t="s">
        <v>400</v>
      </c>
      <c r="G317" t="s">
        <v>402</v>
      </c>
      <c r="J317">
        <v>1</v>
      </c>
      <c r="L317">
        <v>1</v>
      </c>
    </row>
    <row r="318" spans="1:12">
      <c r="E318">
        <v>90</v>
      </c>
      <c r="F318" t="s">
        <v>604</v>
      </c>
      <c r="G318" t="s">
        <v>606</v>
      </c>
      <c r="K318">
        <v>1</v>
      </c>
      <c r="L318">
        <v>1</v>
      </c>
    </row>
    <row r="319" spans="1:12">
      <c r="A319" s="87" t="s">
        <v>979</v>
      </c>
      <c r="B319" s="87"/>
      <c r="C319" s="87"/>
      <c r="D319" s="87"/>
      <c r="E319" s="87"/>
      <c r="F319" s="87"/>
      <c r="G319" s="87"/>
      <c r="H319" s="87"/>
      <c r="I319" s="87"/>
      <c r="J319" s="87">
        <v>50</v>
      </c>
      <c r="K319" s="87">
        <v>13</v>
      </c>
      <c r="L319" s="87">
        <v>63</v>
      </c>
    </row>
    <row r="320" spans="1:12">
      <c r="A320" t="s">
        <v>955</v>
      </c>
      <c r="H320">
        <v>19</v>
      </c>
      <c r="I320">
        <v>37</v>
      </c>
      <c r="J320">
        <v>188</v>
      </c>
      <c r="K320">
        <v>63</v>
      </c>
      <c r="L320">
        <v>307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81EF3-5695-4889-A0DB-D7FD5F3677FC}">
  <dimension ref="A1:AO196"/>
  <sheetViews>
    <sheetView topLeftCell="AB1" zoomScale="80" zoomScaleNormal="80" workbookViewId="0">
      <pane ySplit="7" topLeftCell="A23" activePane="bottomLeft" state="frozen"/>
      <selection pane="bottomLeft" activeCell="AN43" sqref="AN43"/>
    </sheetView>
  </sheetViews>
  <sheetFormatPr defaultRowHeight="14.45"/>
  <cols>
    <col min="1" max="1" width="14.85546875" customWidth="1"/>
    <col min="2" max="2" width="59.140625" bestFit="1" customWidth="1"/>
    <col min="3" max="3" width="14.140625" bestFit="1" customWidth="1"/>
    <col min="4" max="4" width="16.28515625" bestFit="1" customWidth="1"/>
    <col min="5" max="5" width="12.7109375" bestFit="1" customWidth="1"/>
    <col min="6" max="6" width="12.140625" bestFit="1" customWidth="1"/>
    <col min="7" max="7" width="7.28515625" customWidth="1"/>
    <col min="8" max="8" width="11.140625" bestFit="1" customWidth="1"/>
    <col min="9" max="9" width="16.7109375" bestFit="1" customWidth="1"/>
    <col min="10" max="10" width="14.7109375" bestFit="1" customWidth="1"/>
    <col min="11" max="11" width="11.28515625" bestFit="1" customWidth="1"/>
    <col min="12" max="12" width="10" bestFit="1" customWidth="1"/>
    <col min="13" max="13" width="11" bestFit="1" customWidth="1"/>
    <col min="14" max="16" width="5.140625" customWidth="1"/>
    <col min="17" max="17" width="5.140625" style="15" customWidth="1"/>
    <col min="18" max="18" width="14.85546875" customWidth="1"/>
    <col min="19" max="19" width="59.140625" bestFit="1" customWidth="1"/>
    <col min="20" max="20" width="17.7109375" bestFit="1" customWidth="1"/>
    <col min="21" max="21" width="33.140625" bestFit="1" customWidth="1"/>
    <col min="22" max="22" width="45.7109375" bestFit="1" customWidth="1"/>
    <col min="26" max="26" width="4" style="15" customWidth="1"/>
    <col min="27" max="27" width="14.85546875" customWidth="1"/>
    <col min="28" max="28" width="59.140625" bestFit="1" customWidth="1"/>
    <col min="29" max="29" width="17.7109375" bestFit="1" customWidth="1"/>
    <col min="30" max="30" width="51.28515625" bestFit="1" customWidth="1"/>
    <col min="31" max="31" width="55.42578125" bestFit="1" customWidth="1"/>
    <col min="35" max="35" width="4" style="15" customWidth="1"/>
    <col min="36" max="36" width="14.85546875" customWidth="1"/>
    <col min="37" max="37" width="37.7109375" bestFit="1" customWidth="1"/>
    <col min="38" max="38" width="15.85546875" bestFit="1" customWidth="1"/>
    <col min="39" max="39" width="15.7109375" bestFit="1" customWidth="1"/>
    <col min="40" max="40" width="39" bestFit="1" customWidth="1"/>
  </cols>
  <sheetData>
    <row r="1" spans="1:41">
      <c r="A1" s="44" t="s">
        <v>988</v>
      </c>
      <c r="B1" s="27"/>
      <c r="C1" s="27"/>
      <c r="D1" s="27"/>
      <c r="E1" s="27"/>
      <c r="F1" s="27"/>
      <c r="G1" s="27"/>
      <c r="H1" s="27"/>
      <c r="I1" s="27"/>
      <c r="J1" s="27"/>
      <c r="K1" s="27"/>
      <c r="L1" s="27"/>
      <c r="M1" s="27"/>
      <c r="R1" s="44" t="s">
        <v>989</v>
      </c>
      <c r="S1" s="27"/>
      <c r="T1" s="27"/>
      <c r="AA1" s="44" t="s">
        <v>990</v>
      </c>
      <c r="AB1" s="27"/>
      <c r="AC1" s="27"/>
      <c r="AJ1" s="44" t="s">
        <v>991</v>
      </c>
      <c r="AK1" s="27"/>
      <c r="AL1" s="27"/>
    </row>
    <row r="6" spans="1:41">
      <c r="A6" s="17" t="s">
        <v>952</v>
      </c>
      <c r="C6" s="17" t="s">
        <v>181</v>
      </c>
      <c r="R6" s="17" t="s">
        <v>952</v>
      </c>
      <c r="AA6" s="17" t="s">
        <v>952</v>
      </c>
      <c r="AJ6" s="17" t="s">
        <v>952</v>
      </c>
    </row>
    <row r="7" spans="1:41">
      <c r="A7" s="17" t="s">
        <v>194</v>
      </c>
      <c r="B7" s="17" t="s">
        <v>174</v>
      </c>
      <c r="C7" t="s">
        <v>583</v>
      </c>
      <c r="D7" t="s">
        <v>390</v>
      </c>
      <c r="E7" t="s">
        <v>385</v>
      </c>
      <c r="F7" t="s">
        <v>384</v>
      </c>
      <c r="G7" t="s">
        <v>218</v>
      </c>
      <c r="H7" t="s">
        <v>248</v>
      </c>
      <c r="I7" t="s">
        <v>388</v>
      </c>
      <c r="J7" t="s">
        <v>535</v>
      </c>
      <c r="K7" t="s">
        <v>387</v>
      </c>
      <c r="L7" t="s">
        <v>205</v>
      </c>
      <c r="M7" t="s">
        <v>955</v>
      </c>
      <c r="R7" s="17" t="s">
        <v>194</v>
      </c>
      <c r="S7" s="17" t="s">
        <v>954</v>
      </c>
      <c r="T7" s="17" t="s">
        <v>181</v>
      </c>
      <c r="U7" s="17" t="s">
        <v>179</v>
      </c>
      <c r="V7" s="17" t="s">
        <v>175</v>
      </c>
      <c r="W7" t="s">
        <v>960</v>
      </c>
      <c r="AA7" s="17" t="s">
        <v>194</v>
      </c>
      <c r="AB7" s="17" t="s">
        <v>954</v>
      </c>
      <c r="AC7" s="17" t="s">
        <v>181</v>
      </c>
      <c r="AD7" s="17" t="s">
        <v>179</v>
      </c>
      <c r="AE7" s="17" t="s">
        <v>175</v>
      </c>
      <c r="AF7" t="s">
        <v>960</v>
      </c>
      <c r="AJ7" s="17" t="s">
        <v>194</v>
      </c>
      <c r="AK7" s="17" t="s">
        <v>954</v>
      </c>
      <c r="AL7" s="17" t="s">
        <v>181</v>
      </c>
      <c r="AM7" s="17" t="s">
        <v>179</v>
      </c>
      <c r="AN7" s="17" t="s">
        <v>175</v>
      </c>
      <c r="AO7" t="s">
        <v>960</v>
      </c>
    </row>
    <row r="8" spans="1:41">
      <c r="A8">
        <v>3</v>
      </c>
      <c r="B8" t="s">
        <v>430</v>
      </c>
      <c r="G8">
        <v>3</v>
      </c>
      <c r="M8">
        <v>3</v>
      </c>
      <c r="R8">
        <v>3</v>
      </c>
      <c r="S8" t="s">
        <v>933</v>
      </c>
      <c r="T8" t="s">
        <v>205</v>
      </c>
      <c r="U8" t="s">
        <v>934</v>
      </c>
      <c r="V8" t="s">
        <v>929</v>
      </c>
      <c r="W8">
        <v>1</v>
      </c>
      <c r="AA8">
        <v>1</v>
      </c>
      <c r="AB8" t="s">
        <v>617</v>
      </c>
      <c r="AC8" t="s">
        <v>205</v>
      </c>
      <c r="AD8" t="s">
        <v>618</v>
      </c>
      <c r="AE8" t="s">
        <v>450</v>
      </c>
      <c r="AF8">
        <v>1</v>
      </c>
      <c r="AJ8">
        <v>0</v>
      </c>
      <c r="AK8" t="s">
        <v>539</v>
      </c>
      <c r="AL8" t="s">
        <v>218</v>
      </c>
      <c r="AM8" t="s">
        <v>203</v>
      </c>
      <c r="AN8" t="s">
        <v>528</v>
      </c>
      <c r="AO8">
        <v>1</v>
      </c>
    </row>
    <row r="9" spans="1:41">
      <c r="B9" t="s">
        <v>767</v>
      </c>
      <c r="I9">
        <v>4</v>
      </c>
      <c r="M9">
        <v>4</v>
      </c>
      <c r="S9" t="s">
        <v>935</v>
      </c>
      <c r="T9" t="s">
        <v>205</v>
      </c>
      <c r="U9" t="s">
        <v>934</v>
      </c>
      <c r="V9" t="s">
        <v>929</v>
      </c>
      <c r="W9">
        <v>1</v>
      </c>
      <c r="AB9" t="s">
        <v>623</v>
      </c>
      <c r="AC9" t="s">
        <v>205</v>
      </c>
      <c r="AD9" t="s">
        <v>618</v>
      </c>
      <c r="AE9" t="s">
        <v>450</v>
      </c>
      <c r="AF9">
        <v>1</v>
      </c>
      <c r="AK9" t="s">
        <v>621</v>
      </c>
      <c r="AL9" t="s">
        <v>205</v>
      </c>
      <c r="AM9" t="s">
        <v>203</v>
      </c>
      <c r="AN9" t="s">
        <v>450</v>
      </c>
      <c r="AO9">
        <v>1</v>
      </c>
    </row>
    <row r="10" spans="1:41">
      <c r="B10" t="s">
        <v>200</v>
      </c>
      <c r="L10">
        <v>7</v>
      </c>
      <c r="M10">
        <v>7</v>
      </c>
      <c r="S10" t="s">
        <v>515</v>
      </c>
      <c r="T10" t="s">
        <v>218</v>
      </c>
      <c r="U10" t="s">
        <v>517</v>
      </c>
      <c r="V10" t="s">
        <v>503</v>
      </c>
      <c r="W10">
        <v>1</v>
      </c>
      <c r="AB10" t="s">
        <v>286</v>
      </c>
      <c r="AC10" t="s">
        <v>205</v>
      </c>
      <c r="AD10" t="s">
        <v>242</v>
      </c>
      <c r="AE10" t="s">
        <v>285</v>
      </c>
      <c r="AF10">
        <v>1</v>
      </c>
      <c r="AK10" t="s">
        <v>627</v>
      </c>
      <c r="AL10" t="s">
        <v>205</v>
      </c>
      <c r="AM10" t="s">
        <v>203</v>
      </c>
      <c r="AN10" t="s">
        <v>450</v>
      </c>
      <c r="AO10">
        <v>1</v>
      </c>
    </row>
    <row r="11" spans="1:41">
      <c r="B11" t="s">
        <v>928</v>
      </c>
      <c r="L11">
        <v>5</v>
      </c>
      <c r="M11">
        <v>5</v>
      </c>
      <c r="S11" t="s">
        <v>107</v>
      </c>
      <c r="T11" t="s">
        <v>205</v>
      </c>
      <c r="U11" t="s">
        <v>46</v>
      </c>
      <c r="V11" t="s">
        <v>94</v>
      </c>
      <c r="W11">
        <v>1</v>
      </c>
      <c r="AB11" t="s">
        <v>914</v>
      </c>
      <c r="AC11" t="s">
        <v>248</v>
      </c>
      <c r="AD11" t="s">
        <v>816</v>
      </c>
      <c r="AE11" t="s">
        <v>913</v>
      </c>
      <c r="AF11">
        <v>1</v>
      </c>
      <c r="AK11" t="s">
        <v>154</v>
      </c>
      <c r="AL11" t="s">
        <v>248</v>
      </c>
      <c r="AM11" t="s">
        <v>203</v>
      </c>
      <c r="AN11" t="s">
        <v>414</v>
      </c>
      <c r="AO11">
        <v>1</v>
      </c>
    </row>
    <row r="12" spans="1:41">
      <c r="A12" s="73" t="s">
        <v>992</v>
      </c>
      <c r="B12" s="73"/>
      <c r="C12" s="73"/>
      <c r="D12" s="73"/>
      <c r="E12" s="73"/>
      <c r="F12" s="73"/>
      <c r="G12" s="73">
        <v>3</v>
      </c>
      <c r="H12" s="73"/>
      <c r="I12" s="73">
        <v>4</v>
      </c>
      <c r="J12" s="73"/>
      <c r="K12" s="73"/>
      <c r="L12" s="73">
        <v>12</v>
      </c>
      <c r="M12" s="73">
        <v>19</v>
      </c>
      <c r="S12" t="s">
        <v>943</v>
      </c>
      <c r="T12" t="s">
        <v>205</v>
      </c>
      <c r="U12" t="s">
        <v>934</v>
      </c>
      <c r="V12" t="s">
        <v>940</v>
      </c>
      <c r="W12">
        <v>1</v>
      </c>
      <c r="AB12" t="s">
        <v>708</v>
      </c>
      <c r="AC12" t="s">
        <v>205</v>
      </c>
      <c r="AD12" t="s">
        <v>46</v>
      </c>
      <c r="AE12" t="s">
        <v>702</v>
      </c>
      <c r="AF12">
        <v>1</v>
      </c>
      <c r="AK12" t="s">
        <v>673</v>
      </c>
      <c r="AL12" t="s">
        <v>205</v>
      </c>
      <c r="AM12" t="s">
        <v>203</v>
      </c>
      <c r="AN12" t="s">
        <v>670</v>
      </c>
      <c r="AO12">
        <v>1</v>
      </c>
    </row>
    <row r="13" spans="1:41">
      <c r="A13">
        <v>2</v>
      </c>
      <c r="B13" t="s">
        <v>430</v>
      </c>
      <c r="G13">
        <v>9</v>
      </c>
      <c r="M13">
        <v>9</v>
      </c>
      <c r="S13" t="s">
        <v>12</v>
      </c>
      <c r="T13" t="s">
        <v>205</v>
      </c>
      <c r="U13" t="s">
        <v>226</v>
      </c>
      <c r="V13" t="s">
        <v>10</v>
      </c>
      <c r="W13">
        <v>1</v>
      </c>
      <c r="AB13" t="s">
        <v>612</v>
      </c>
      <c r="AC13" t="s">
        <v>205</v>
      </c>
      <c r="AD13" t="s">
        <v>613</v>
      </c>
      <c r="AE13" t="s">
        <v>450</v>
      </c>
      <c r="AF13">
        <v>1</v>
      </c>
      <c r="AK13" t="s">
        <v>671</v>
      </c>
      <c r="AL13" t="s">
        <v>205</v>
      </c>
      <c r="AM13" t="s">
        <v>203</v>
      </c>
      <c r="AN13" t="s">
        <v>670</v>
      </c>
      <c r="AO13">
        <v>1</v>
      </c>
    </row>
    <row r="14" spans="1:41">
      <c r="B14" t="s">
        <v>373</v>
      </c>
      <c r="G14">
        <v>1</v>
      </c>
      <c r="M14">
        <v>1</v>
      </c>
      <c r="S14" t="s">
        <v>945</v>
      </c>
      <c r="T14" t="s">
        <v>205</v>
      </c>
      <c r="U14" t="s">
        <v>934</v>
      </c>
      <c r="V14" t="s">
        <v>940</v>
      </c>
      <c r="W14">
        <v>1</v>
      </c>
      <c r="AB14" t="s">
        <v>725</v>
      </c>
      <c r="AC14" t="s">
        <v>205</v>
      </c>
      <c r="AD14" t="s">
        <v>46</v>
      </c>
      <c r="AE14" t="s">
        <v>719</v>
      </c>
      <c r="AF14">
        <v>1</v>
      </c>
      <c r="AK14" t="s">
        <v>674</v>
      </c>
      <c r="AL14" t="s">
        <v>205</v>
      </c>
      <c r="AM14" t="s">
        <v>203</v>
      </c>
      <c r="AN14" t="s">
        <v>670</v>
      </c>
      <c r="AO14">
        <v>1</v>
      </c>
    </row>
    <row r="15" spans="1:41">
      <c r="B15" t="s">
        <v>598</v>
      </c>
      <c r="G15">
        <v>1</v>
      </c>
      <c r="M15">
        <v>1</v>
      </c>
      <c r="S15" t="s">
        <v>109</v>
      </c>
      <c r="T15" t="s">
        <v>205</v>
      </c>
      <c r="U15" t="s">
        <v>281</v>
      </c>
      <c r="V15" t="s">
        <v>108</v>
      </c>
      <c r="W15">
        <v>1</v>
      </c>
      <c r="AB15" t="s">
        <v>20</v>
      </c>
      <c r="AC15" t="s">
        <v>388</v>
      </c>
      <c r="AD15" t="s">
        <v>46</v>
      </c>
      <c r="AE15" t="s">
        <v>818</v>
      </c>
      <c r="AF15">
        <v>1</v>
      </c>
      <c r="AK15" t="s">
        <v>155</v>
      </c>
      <c r="AL15" t="s">
        <v>218</v>
      </c>
      <c r="AM15" t="s">
        <v>203</v>
      </c>
      <c r="AN15" t="s">
        <v>528</v>
      </c>
      <c r="AO15">
        <v>1</v>
      </c>
    </row>
    <row r="16" spans="1:41">
      <c r="B16" t="s">
        <v>726</v>
      </c>
      <c r="G16">
        <v>1</v>
      </c>
      <c r="M16">
        <v>1</v>
      </c>
      <c r="S16" t="s">
        <v>800</v>
      </c>
      <c r="T16" t="s">
        <v>388</v>
      </c>
      <c r="U16" t="s">
        <v>797</v>
      </c>
      <c r="V16" t="s">
        <v>795</v>
      </c>
      <c r="W16">
        <v>1</v>
      </c>
      <c r="AB16" t="s">
        <v>390</v>
      </c>
      <c r="AC16" t="s">
        <v>218</v>
      </c>
      <c r="AD16" t="s">
        <v>217</v>
      </c>
      <c r="AE16" t="s">
        <v>216</v>
      </c>
      <c r="AF16">
        <v>1</v>
      </c>
      <c r="AK16" t="s">
        <v>519</v>
      </c>
      <c r="AL16" t="s">
        <v>218</v>
      </c>
      <c r="AM16" t="s">
        <v>517</v>
      </c>
      <c r="AN16" t="s">
        <v>503</v>
      </c>
      <c r="AO16">
        <v>1</v>
      </c>
    </row>
    <row r="17" spans="1:41">
      <c r="B17" t="s">
        <v>200</v>
      </c>
      <c r="L17">
        <v>20</v>
      </c>
      <c r="M17">
        <v>20</v>
      </c>
      <c r="S17" t="s">
        <v>796</v>
      </c>
      <c r="T17" t="s">
        <v>388</v>
      </c>
      <c r="U17" t="s">
        <v>797</v>
      </c>
      <c r="V17" t="s">
        <v>795</v>
      </c>
      <c r="W17">
        <v>1</v>
      </c>
      <c r="AB17" t="s">
        <v>985</v>
      </c>
      <c r="AC17" t="s">
        <v>218</v>
      </c>
      <c r="AD17" t="s">
        <v>242</v>
      </c>
      <c r="AE17" t="s">
        <v>727</v>
      </c>
      <c r="AF17">
        <v>1</v>
      </c>
      <c r="AK17" t="s">
        <v>685</v>
      </c>
      <c r="AL17" t="s">
        <v>205</v>
      </c>
      <c r="AM17" t="s">
        <v>686</v>
      </c>
      <c r="AN17" t="s">
        <v>679</v>
      </c>
      <c r="AO17">
        <v>1</v>
      </c>
    </row>
    <row r="18" spans="1:41">
      <c r="B18" t="s">
        <v>928</v>
      </c>
      <c r="L18">
        <v>1</v>
      </c>
      <c r="M18">
        <v>1</v>
      </c>
      <c r="S18" t="s">
        <v>11</v>
      </c>
      <c r="T18" t="s">
        <v>205</v>
      </c>
      <c r="U18" t="s">
        <v>231</v>
      </c>
      <c r="V18" t="s">
        <v>10</v>
      </c>
      <c r="W18">
        <v>1</v>
      </c>
      <c r="AB18" t="s">
        <v>834</v>
      </c>
      <c r="AC18" t="s">
        <v>535</v>
      </c>
      <c r="AD18" t="s">
        <v>835</v>
      </c>
      <c r="AE18" t="s">
        <v>821</v>
      </c>
      <c r="AF18">
        <v>1</v>
      </c>
      <c r="AK18" t="s">
        <v>511</v>
      </c>
      <c r="AL18" t="s">
        <v>218</v>
      </c>
      <c r="AM18" t="s">
        <v>510</v>
      </c>
      <c r="AN18" t="s">
        <v>503</v>
      </c>
      <c r="AO18">
        <v>1</v>
      </c>
    </row>
    <row r="19" spans="1:41">
      <c r="B19" t="s">
        <v>449</v>
      </c>
      <c r="L19">
        <v>4</v>
      </c>
      <c r="M19">
        <v>4</v>
      </c>
      <c r="S19" t="s">
        <v>14</v>
      </c>
      <c r="T19" t="s">
        <v>205</v>
      </c>
      <c r="U19" t="s">
        <v>237</v>
      </c>
      <c r="V19" t="s">
        <v>10</v>
      </c>
      <c r="W19">
        <v>1</v>
      </c>
      <c r="AB19" t="s">
        <v>911</v>
      </c>
      <c r="AC19" t="s">
        <v>248</v>
      </c>
      <c r="AD19" t="s">
        <v>46</v>
      </c>
      <c r="AE19" t="s">
        <v>909</v>
      </c>
      <c r="AF19">
        <v>1</v>
      </c>
      <c r="AK19" t="s">
        <v>837</v>
      </c>
      <c r="AL19" t="s">
        <v>535</v>
      </c>
      <c r="AM19" t="s">
        <v>203</v>
      </c>
      <c r="AN19" t="s">
        <v>528</v>
      </c>
      <c r="AO19">
        <v>1</v>
      </c>
    </row>
    <row r="20" spans="1:41">
      <c r="A20" s="73" t="s">
        <v>993</v>
      </c>
      <c r="B20" s="73"/>
      <c r="C20" s="73"/>
      <c r="D20" s="73"/>
      <c r="E20" s="73"/>
      <c r="F20" s="73"/>
      <c r="G20" s="73">
        <v>12</v>
      </c>
      <c r="H20" s="73"/>
      <c r="I20" s="73"/>
      <c r="J20" s="73"/>
      <c r="K20" s="73"/>
      <c r="L20" s="73">
        <v>25</v>
      </c>
      <c r="M20" s="73">
        <v>37</v>
      </c>
      <c r="S20" t="s">
        <v>13</v>
      </c>
      <c r="T20" t="s">
        <v>205</v>
      </c>
      <c r="U20" t="s">
        <v>233</v>
      </c>
      <c r="V20" t="s">
        <v>10</v>
      </c>
      <c r="W20">
        <v>1</v>
      </c>
      <c r="AB20" t="s">
        <v>842</v>
      </c>
      <c r="AC20" t="s">
        <v>535</v>
      </c>
      <c r="AD20" t="s">
        <v>46</v>
      </c>
      <c r="AE20" t="s">
        <v>839</v>
      </c>
      <c r="AF20">
        <v>1</v>
      </c>
      <c r="AK20" t="s">
        <v>836</v>
      </c>
      <c r="AL20" t="s">
        <v>535</v>
      </c>
      <c r="AM20" t="s">
        <v>203</v>
      </c>
      <c r="AN20" t="s">
        <v>528</v>
      </c>
      <c r="AO20">
        <v>1</v>
      </c>
    </row>
    <row r="21" spans="1:41">
      <c r="A21">
        <v>1</v>
      </c>
      <c r="B21" t="s">
        <v>583</v>
      </c>
      <c r="C21">
        <v>2</v>
      </c>
      <c r="M21">
        <v>2</v>
      </c>
      <c r="S21" t="s">
        <v>936</v>
      </c>
      <c r="T21" t="s">
        <v>205</v>
      </c>
      <c r="U21" t="s">
        <v>934</v>
      </c>
      <c r="V21" t="s">
        <v>929</v>
      </c>
      <c r="W21">
        <v>1</v>
      </c>
      <c r="AB21" t="s">
        <v>714</v>
      </c>
      <c r="AC21" t="s">
        <v>205</v>
      </c>
      <c r="AD21" t="s">
        <v>46</v>
      </c>
      <c r="AE21" t="s">
        <v>702</v>
      </c>
      <c r="AF21">
        <v>1</v>
      </c>
      <c r="AK21" t="s">
        <v>838</v>
      </c>
      <c r="AL21" t="s">
        <v>535</v>
      </c>
      <c r="AM21" t="s">
        <v>203</v>
      </c>
      <c r="AN21" t="s">
        <v>528</v>
      </c>
      <c r="AO21">
        <v>1</v>
      </c>
    </row>
    <row r="22" spans="1:41">
      <c r="B22" t="s">
        <v>857</v>
      </c>
      <c r="D22">
        <v>1</v>
      </c>
      <c r="M22">
        <v>1</v>
      </c>
      <c r="S22" t="s">
        <v>804</v>
      </c>
      <c r="T22" t="s">
        <v>388</v>
      </c>
      <c r="U22" t="s">
        <v>797</v>
      </c>
      <c r="V22" t="s">
        <v>795</v>
      </c>
      <c r="W22">
        <v>1</v>
      </c>
      <c r="AB22" t="s">
        <v>980</v>
      </c>
      <c r="AC22" t="s">
        <v>205</v>
      </c>
      <c r="AD22" t="s">
        <v>46</v>
      </c>
      <c r="AE22" t="s">
        <v>719</v>
      </c>
      <c r="AF22">
        <v>1</v>
      </c>
      <c r="AK22" t="s">
        <v>426</v>
      </c>
      <c r="AL22" t="s">
        <v>248</v>
      </c>
      <c r="AM22" t="s">
        <v>203</v>
      </c>
      <c r="AN22" t="s">
        <v>414</v>
      </c>
      <c r="AO22">
        <v>1</v>
      </c>
    </row>
    <row r="23" spans="1:41">
      <c r="B23" t="s">
        <v>860</v>
      </c>
      <c r="E23">
        <v>1</v>
      </c>
      <c r="M23">
        <v>1</v>
      </c>
      <c r="S23" t="s">
        <v>802</v>
      </c>
      <c r="T23" t="s">
        <v>388</v>
      </c>
      <c r="U23" t="s">
        <v>797</v>
      </c>
      <c r="V23" t="s">
        <v>795</v>
      </c>
      <c r="W23">
        <v>1</v>
      </c>
      <c r="AB23" t="s">
        <v>654</v>
      </c>
      <c r="AC23" t="s">
        <v>205</v>
      </c>
      <c r="AD23" t="s">
        <v>46</v>
      </c>
      <c r="AE23" t="s">
        <v>450</v>
      </c>
      <c r="AF23">
        <v>1</v>
      </c>
      <c r="AK23" t="s">
        <v>562</v>
      </c>
      <c r="AL23" t="s">
        <v>218</v>
      </c>
      <c r="AM23" t="s">
        <v>564</v>
      </c>
      <c r="AN23" t="s">
        <v>561</v>
      </c>
      <c r="AO23">
        <v>1</v>
      </c>
    </row>
    <row r="24" spans="1:41">
      <c r="B24" t="s">
        <v>757</v>
      </c>
      <c r="E24">
        <v>1</v>
      </c>
      <c r="M24">
        <v>1</v>
      </c>
      <c r="S24" t="s">
        <v>525</v>
      </c>
      <c r="T24" t="s">
        <v>218</v>
      </c>
      <c r="U24" t="s">
        <v>526</v>
      </c>
      <c r="V24" t="s">
        <v>503</v>
      </c>
      <c r="W24">
        <v>1</v>
      </c>
      <c r="AB24" t="s">
        <v>656</v>
      </c>
      <c r="AC24" t="s">
        <v>205</v>
      </c>
      <c r="AD24" t="s">
        <v>618</v>
      </c>
      <c r="AE24" t="s">
        <v>450</v>
      </c>
      <c r="AF24">
        <v>1</v>
      </c>
      <c r="AK24" t="s">
        <v>481</v>
      </c>
      <c r="AL24" t="s">
        <v>218</v>
      </c>
      <c r="AM24" t="s">
        <v>203</v>
      </c>
      <c r="AN24" t="s">
        <v>431</v>
      </c>
      <c r="AO24">
        <v>1</v>
      </c>
    </row>
    <row r="25" spans="1:41">
      <c r="B25" t="s">
        <v>754</v>
      </c>
      <c r="F25">
        <v>2</v>
      </c>
      <c r="M25">
        <v>2</v>
      </c>
      <c r="S25" t="s">
        <v>520</v>
      </c>
      <c r="T25" t="s">
        <v>218</v>
      </c>
      <c r="U25" t="s">
        <v>522</v>
      </c>
      <c r="V25" t="s">
        <v>503</v>
      </c>
      <c r="W25">
        <v>1</v>
      </c>
      <c r="AB25" t="s">
        <v>930</v>
      </c>
      <c r="AC25" t="s">
        <v>205</v>
      </c>
      <c r="AD25" t="s">
        <v>994</v>
      </c>
      <c r="AE25" t="s">
        <v>929</v>
      </c>
      <c r="AF25">
        <v>1</v>
      </c>
      <c r="AK25" t="s">
        <v>566</v>
      </c>
      <c r="AL25" t="s">
        <v>218</v>
      </c>
      <c r="AM25" t="s">
        <v>203</v>
      </c>
      <c r="AN25" t="s">
        <v>561</v>
      </c>
      <c r="AO25">
        <v>1</v>
      </c>
    </row>
    <row r="26" spans="1:41">
      <c r="B26" t="s">
        <v>862</v>
      </c>
      <c r="G26">
        <v>2</v>
      </c>
      <c r="M26">
        <v>2</v>
      </c>
      <c r="S26" t="s">
        <v>344</v>
      </c>
      <c r="T26" t="s">
        <v>205</v>
      </c>
      <c r="U26" t="s">
        <v>242</v>
      </c>
      <c r="V26" t="s">
        <v>285</v>
      </c>
      <c r="W26">
        <v>1</v>
      </c>
      <c r="AB26" t="s">
        <v>741</v>
      </c>
      <c r="AC26" t="s">
        <v>218</v>
      </c>
      <c r="AD26" t="s">
        <v>742</v>
      </c>
      <c r="AE26" t="s">
        <v>727</v>
      </c>
      <c r="AF26">
        <v>1</v>
      </c>
      <c r="AK26" t="s">
        <v>570</v>
      </c>
      <c r="AL26" t="s">
        <v>218</v>
      </c>
      <c r="AM26" t="s">
        <v>203</v>
      </c>
      <c r="AN26" t="s">
        <v>561</v>
      </c>
      <c r="AO26">
        <v>1</v>
      </c>
    </row>
    <row r="27" spans="1:41">
      <c r="B27" t="s">
        <v>430</v>
      </c>
      <c r="G27">
        <v>17</v>
      </c>
      <c r="M27">
        <v>17</v>
      </c>
      <c r="R27">
        <v>2</v>
      </c>
      <c r="S27" t="s">
        <v>161</v>
      </c>
      <c r="T27" t="s">
        <v>205</v>
      </c>
      <c r="U27" t="s">
        <v>369</v>
      </c>
      <c r="V27" t="s">
        <v>160</v>
      </c>
      <c r="W27">
        <v>1</v>
      </c>
      <c r="AB27" t="s">
        <v>594</v>
      </c>
      <c r="AC27" t="s">
        <v>248</v>
      </c>
      <c r="AD27" t="s">
        <v>572</v>
      </c>
      <c r="AE27" t="s">
        <v>593</v>
      </c>
      <c r="AF27">
        <v>1</v>
      </c>
      <c r="AK27" t="s">
        <v>614</v>
      </c>
      <c r="AL27" t="s">
        <v>205</v>
      </c>
      <c r="AM27" t="s">
        <v>615</v>
      </c>
      <c r="AN27" t="s">
        <v>450</v>
      </c>
      <c r="AO27">
        <v>1</v>
      </c>
    </row>
    <row r="28" spans="1:41">
      <c r="B28" t="s">
        <v>373</v>
      </c>
      <c r="G28">
        <v>14</v>
      </c>
      <c r="M28">
        <v>14</v>
      </c>
      <c r="S28" t="s">
        <v>52</v>
      </c>
      <c r="T28" t="s">
        <v>205</v>
      </c>
      <c r="U28" t="s">
        <v>46</v>
      </c>
      <c r="V28" t="s">
        <v>10</v>
      </c>
      <c r="W28">
        <v>1</v>
      </c>
      <c r="AB28" t="s">
        <v>906</v>
      </c>
      <c r="AC28" t="s">
        <v>248</v>
      </c>
      <c r="AD28" t="s">
        <v>816</v>
      </c>
      <c r="AE28" t="s">
        <v>905</v>
      </c>
      <c r="AF28">
        <v>1</v>
      </c>
      <c r="AK28" t="s">
        <v>136</v>
      </c>
      <c r="AL28" t="s">
        <v>218</v>
      </c>
      <c r="AM28" t="s">
        <v>203</v>
      </c>
      <c r="AN28" t="s">
        <v>431</v>
      </c>
      <c r="AO28">
        <v>1</v>
      </c>
    </row>
    <row r="29" spans="1:41">
      <c r="B29" t="s">
        <v>400</v>
      </c>
      <c r="G29">
        <v>1</v>
      </c>
      <c r="M29">
        <v>1</v>
      </c>
      <c r="S29" t="s">
        <v>98</v>
      </c>
      <c r="T29" t="s">
        <v>205</v>
      </c>
      <c r="U29" t="s">
        <v>272</v>
      </c>
      <c r="V29" t="s">
        <v>94</v>
      </c>
      <c r="W29">
        <v>1</v>
      </c>
      <c r="AB29" t="s">
        <v>385</v>
      </c>
      <c r="AC29" t="s">
        <v>218</v>
      </c>
      <c r="AD29" t="s">
        <v>217</v>
      </c>
      <c r="AE29" t="s">
        <v>216</v>
      </c>
      <c r="AF29">
        <v>1</v>
      </c>
      <c r="AK29" t="s">
        <v>507</v>
      </c>
      <c r="AL29" t="s">
        <v>218</v>
      </c>
      <c r="AM29" t="s">
        <v>505</v>
      </c>
      <c r="AN29" t="s">
        <v>503</v>
      </c>
      <c r="AO29">
        <v>1</v>
      </c>
    </row>
    <row r="30" spans="1:41">
      <c r="B30" t="s">
        <v>726</v>
      </c>
      <c r="G30">
        <v>6</v>
      </c>
      <c r="M30">
        <v>6</v>
      </c>
      <c r="S30" t="s">
        <v>938</v>
      </c>
      <c r="T30" t="s">
        <v>205</v>
      </c>
      <c r="U30" t="s">
        <v>939</v>
      </c>
      <c r="V30" t="s">
        <v>937</v>
      </c>
      <c r="W30">
        <v>1</v>
      </c>
      <c r="AB30" t="s">
        <v>386</v>
      </c>
      <c r="AC30" t="s">
        <v>218</v>
      </c>
      <c r="AD30" t="s">
        <v>217</v>
      </c>
      <c r="AE30" t="s">
        <v>216</v>
      </c>
      <c r="AF30">
        <v>1</v>
      </c>
      <c r="AK30" t="s">
        <v>504</v>
      </c>
      <c r="AL30" t="s">
        <v>218</v>
      </c>
      <c r="AM30" t="s">
        <v>505</v>
      </c>
      <c r="AN30" t="s">
        <v>503</v>
      </c>
      <c r="AO30">
        <v>1</v>
      </c>
    </row>
    <row r="31" spans="1:41">
      <c r="B31" t="s">
        <v>602</v>
      </c>
      <c r="G31">
        <v>1</v>
      </c>
      <c r="M31">
        <v>1</v>
      </c>
      <c r="S31" t="s">
        <v>146</v>
      </c>
      <c r="T31" t="s">
        <v>205</v>
      </c>
      <c r="U31" t="s">
        <v>351</v>
      </c>
      <c r="V31" t="s">
        <v>145</v>
      </c>
      <c r="W31">
        <v>1</v>
      </c>
      <c r="AB31" t="s">
        <v>764</v>
      </c>
      <c r="AC31" t="s">
        <v>387</v>
      </c>
      <c r="AD31" t="s">
        <v>765</v>
      </c>
      <c r="AE31" t="s">
        <v>762</v>
      </c>
      <c r="AF31">
        <v>1</v>
      </c>
      <c r="AK31" t="s">
        <v>432</v>
      </c>
      <c r="AL31" t="s">
        <v>218</v>
      </c>
      <c r="AM31" t="s">
        <v>433</v>
      </c>
      <c r="AN31" t="s">
        <v>431</v>
      </c>
      <c r="AO31">
        <v>1</v>
      </c>
    </row>
    <row r="32" spans="1:41">
      <c r="B32" t="s">
        <v>869</v>
      </c>
      <c r="H32">
        <v>15</v>
      </c>
      <c r="M32">
        <v>15</v>
      </c>
      <c r="S32" t="s">
        <v>471</v>
      </c>
      <c r="T32" t="s">
        <v>218</v>
      </c>
      <c r="U32" t="s">
        <v>994</v>
      </c>
      <c r="V32" t="s">
        <v>431</v>
      </c>
      <c r="W32">
        <v>1</v>
      </c>
      <c r="AB32" t="s">
        <v>581</v>
      </c>
      <c r="AC32" t="s">
        <v>218</v>
      </c>
      <c r="AD32" t="s">
        <v>994</v>
      </c>
      <c r="AE32" t="s">
        <v>580</v>
      </c>
      <c r="AF32">
        <v>1</v>
      </c>
      <c r="AK32" t="s">
        <v>879</v>
      </c>
      <c r="AL32" t="s">
        <v>248</v>
      </c>
      <c r="AM32" t="s">
        <v>203</v>
      </c>
      <c r="AN32" t="s">
        <v>876</v>
      </c>
      <c r="AO32">
        <v>1</v>
      </c>
    </row>
    <row r="33" spans="1:41">
      <c r="B33" t="s">
        <v>896</v>
      </c>
      <c r="H33">
        <v>15</v>
      </c>
      <c r="M33">
        <v>15</v>
      </c>
      <c r="S33" t="s">
        <v>112</v>
      </c>
      <c r="T33" t="s">
        <v>205</v>
      </c>
      <c r="U33" t="s">
        <v>295</v>
      </c>
      <c r="V33" t="s">
        <v>285</v>
      </c>
      <c r="W33">
        <v>1</v>
      </c>
      <c r="AB33" t="s">
        <v>846</v>
      </c>
      <c r="AC33" t="s">
        <v>535</v>
      </c>
      <c r="AD33" t="s">
        <v>46</v>
      </c>
      <c r="AE33" t="s">
        <v>839</v>
      </c>
      <c r="AF33">
        <v>1</v>
      </c>
      <c r="AK33" t="s">
        <v>878</v>
      </c>
      <c r="AL33" t="s">
        <v>248</v>
      </c>
      <c r="AM33" t="s">
        <v>203</v>
      </c>
      <c r="AN33" t="s">
        <v>876</v>
      </c>
      <c r="AO33">
        <v>1</v>
      </c>
    </row>
    <row r="34" spans="1:41">
      <c r="B34" t="s">
        <v>408</v>
      </c>
      <c r="H34">
        <v>6</v>
      </c>
      <c r="M34">
        <v>6</v>
      </c>
      <c r="S34" t="s">
        <v>440</v>
      </c>
      <c r="T34" t="s">
        <v>218</v>
      </c>
      <c r="U34" t="s">
        <v>442</v>
      </c>
      <c r="V34" t="s">
        <v>431</v>
      </c>
      <c r="W34">
        <v>1</v>
      </c>
      <c r="AB34" t="s">
        <v>728</v>
      </c>
      <c r="AC34" t="s">
        <v>218</v>
      </c>
      <c r="AD34" t="s">
        <v>729</v>
      </c>
      <c r="AE34" t="s">
        <v>727</v>
      </c>
      <c r="AF34">
        <v>1</v>
      </c>
      <c r="AK34" t="s">
        <v>739</v>
      </c>
      <c r="AL34" t="s">
        <v>218</v>
      </c>
      <c r="AM34" t="s">
        <v>203</v>
      </c>
      <c r="AN34" t="s">
        <v>727</v>
      </c>
      <c r="AO34">
        <v>1</v>
      </c>
    </row>
    <row r="35" spans="1:41">
      <c r="B35" t="s">
        <v>592</v>
      </c>
      <c r="H35">
        <v>2</v>
      </c>
      <c r="M35">
        <v>2</v>
      </c>
      <c r="S35" t="s">
        <v>489</v>
      </c>
      <c r="T35" t="s">
        <v>218</v>
      </c>
      <c r="U35" t="s">
        <v>491</v>
      </c>
      <c r="V35" t="s">
        <v>488</v>
      </c>
      <c r="W35">
        <v>1</v>
      </c>
      <c r="AB35" t="s">
        <v>874</v>
      </c>
      <c r="AC35" t="s">
        <v>248</v>
      </c>
      <c r="AD35" t="s">
        <v>875</v>
      </c>
      <c r="AE35" t="s">
        <v>873</v>
      </c>
      <c r="AF35">
        <v>1</v>
      </c>
      <c r="AK35" t="s">
        <v>740</v>
      </c>
      <c r="AL35" t="s">
        <v>218</v>
      </c>
      <c r="AM35" t="s">
        <v>203</v>
      </c>
      <c r="AN35" t="s">
        <v>727</v>
      </c>
      <c r="AO35">
        <v>1</v>
      </c>
    </row>
    <row r="36" spans="1:41">
      <c r="B36" t="s">
        <v>767</v>
      </c>
      <c r="I36">
        <v>20</v>
      </c>
      <c r="M36">
        <v>20</v>
      </c>
      <c r="S36" t="s">
        <v>494</v>
      </c>
      <c r="T36" t="s">
        <v>218</v>
      </c>
      <c r="U36" t="s">
        <v>496</v>
      </c>
      <c r="V36" t="s">
        <v>488</v>
      </c>
      <c r="W36">
        <v>1</v>
      </c>
      <c r="AB36" t="s">
        <v>921</v>
      </c>
      <c r="AC36" t="s">
        <v>248</v>
      </c>
      <c r="AD36" t="s">
        <v>46</v>
      </c>
      <c r="AE36" t="s">
        <v>918</v>
      </c>
      <c r="AF36">
        <v>1</v>
      </c>
      <c r="AK36" t="s">
        <v>904</v>
      </c>
      <c r="AL36" t="s">
        <v>248</v>
      </c>
      <c r="AM36" t="s">
        <v>203</v>
      </c>
      <c r="AN36" t="s">
        <v>897</v>
      </c>
      <c r="AO36">
        <v>1</v>
      </c>
    </row>
    <row r="37" spans="1:41">
      <c r="B37" t="s">
        <v>820</v>
      </c>
      <c r="J37">
        <v>15</v>
      </c>
      <c r="M37">
        <v>15</v>
      </c>
      <c r="S37" t="s">
        <v>159</v>
      </c>
      <c r="T37" t="s">
        <v>205</v>
      </c>
      <c r="U37" t="s">
        <v>46</v>
      </c>
      <c r="V37" t="s">
        <v>158</v>
      </c>
      <c r="W37">
        <v>1</v>
      </c>
      <c r="AB37" t="s">
        <v>384</v>
      </c>
      <c r="AC37" t="s">
        <v>218</v>
      </c>
      <c r="AD37" t="s">
        <v>217</v>
      </c>
      <c r="AE37" t="s">
        <v>216</v>
      </c>
      <c r="AF37">
        <v>1</v>
      </c>
      <c r="AK37" t="s">
        <v>737</v>
      </c>
      <c r="AL37" t="s">
        <v>218</v>
      </c>
      <c r="AM37" t="s">
        <v>203</v>
      </c>
      <c r="AN37" t="s">
        <v>727</v>
      </c>
      <c r="AO37">
        <v>1</v>
      </c>
    </row>
    <row r="38" spans="1:41">
      <c r="B38" t="s">
        <v>760</v>
      </c>
      <c r="K38">
        <v>4</v>
      </c>
      <c r="M38">
        <v>4</v>
      </c>
      <c r="S38" t="s">
        <v>126</v>
      </c>
      <c r="T38" t="s">
        <v>205</v>
      </c>
      <c r="U38" t="s">
        <v>46</v>
      </c>
      <c r="V38" t="s">
        <v>285</v>
      </c>
      <c r="W38">
        <v>1</v>
      </c>
      <c r="AB38" t="s">
        <v>446</v>
      </c>
      <c r="AC38" t="s">
        <v>218</v>
      </c>
      <c r="AD38" t="s">
        <v>46</v>
      </c>
      <c r="AE38" t="s">
        <v>431</v>
      </c>
      <c r="AF38">
        <v>1</v>
      </c>
      <c r="AK38" t="s">
        <v>738</v>
      </c>
      <c r="AL38" t="s">
        <v>218</v>
      </c>
      <c r="AM38" t="s">
        <v>203</v>
      </c>
      <c r="AN38" t="s">
        <v>727</v>
      </c>
      <c r="AO38">
        <v>1</v>
      </c>
    </row>
    <row r="39" spans="1:41">
      <c r="B39" t="s">
        <v>200</v>
      </c>
      <c r="H39">
        <v>1</v>
      </c>
      <c r="L39">
        <v>21</v>
      </c>
      <c r="M39">
        <v>22</v>
      </c>
      <c r="S39" t="s">
        <v>131</v>
      </c>
      <c r="T39" t="s">
        <v>205</v>
      </c>
      <c r="U39" t="s">
        <v>46</v>
      </c>
      <c r="V39" t="s">
        <v>285</v>
      </c>
      <c r="W39">
        <v>1</v>
      </c>
      <c r="AB39" t="s">
        <v>629</v>
      </c>
      <c r="AC39" t="s">
        <v>205</v>
      </c>
      <c r="AD39" t="s">
        <v>630</v>
      </c>
      <c r="AE39" t="s">
        <v>450</v>
      </c>
      <c r="AF39">
        <v>1</v>
      </c>
      <c r="AK39" t="s">
        <v>631</v>
      </c>
      <c r="AL39" t="s">
        <v>205</v>
      </c>
      <c r="AM39" t="s">
        <v>203</v>
      </c>
      <c r="AN39" t="s">
        <v>450</v>
      </c>
      <c r="AO39">
        <v>1</v>
      </c>
    </row>
    <row r="40" spans="1:41">
      <c r="B40" t="s">
        <v>928</v>
      </c>
      <c r="L40">
        <v>3</v>
      </c>
      <c r="M40">
        <v>3</v>
      </c>
      <c r="S40" t="s">
        <v>151</v>
      </c>
      <c r="T40" t="s">
        <v>205</v>
      </c>
      <c r="U40" t="s">
        <v>46</v>
      </c>
      <c r="V40" t="s">
        <v>145</v>
      </c>
      <c r="W40">
        <v>1</v>
      </c>
      <c r="AB40" t="s">
        <v>859</v>
      </c>
      <c r="AC40" t="s">
        <v>390</v>
      </c>
      <c r="AD40" t="s">
        <v>46</v>
      </c>
      <c r="AE40" t="s">
        <v>858</v>
      </c>
      <c r="AF40">
        <v>1</v>
      </c>
      <c r="AK40" t="s">
        <v>822</v>
      </c>
      <c r="AL40" t="s">
        <v>535</v>
      </c>
      <c r="AM40" t="s">
        <v>203</v>
      </c>
      <c r="AN40" t="s">
        <v>821</v>
      </c>
      <c r="AO40">
        <v>1</v>
      </c>
    </row>
    <row r="41" spans="1:41">
      <c r="B41" t="s">
        <v>449</v>
      </c>
      <c r="L41">
        <v>38</v>
      </c>
      <c r="M41">
        <v>38</v>
      </c>
      <c r="S41" t="s">
        <v>476</v>
      </c>
      <c r="T41" t="s">
        <v>218</v>
      </c>
      <c r="U41" t="s">
        <v>478</v>
      </c>
      <c r="V41" t="s">
        <v>431</v>
      </c>
      <c r="W41">
        <v>1</v>
      </c>
      <c r="AB41" t="s">
        <v>695</v>
      </c>
      <c r="AC41" t="s">
        <v>205</v>
      </c>
      <c r="AD41" t="s">
        <v>46</v>
      </c>
      <c r="AE41" t="s">
        <v>694</v>
      </c>
      <c r="AF41">
        <v>1</v>
      </c>
      <c r="AK41" t="s">
        <v>684</v>
      </c>
      <c r="AL41" t="s">
        <v>205</v>
      </c>
      <c r="AM41" t="s">
        <v>683</v>
      </c>
      <c r="AN41" t="s">
        <v>679</v>
      </c>
      <c r="AO41">
        <v>1</v>
      </c>
    </row>
    <row r="42" spans="1:41">
      <c r="A42" s="73" t="s">
        <v>995</v>
      </c>
      <c r="B42" s="73"/>
      <c r="C42" s="73">
        <v>2</v>
      </c>
      <c r="D42" s="73">
        <v>1</v>
      </c>
      <c r="E42" s="73">
        <v>2</v>
      </c>
      <c r="F42" s="73">
        <v>2</v>
      </c>
      <c r="G42" s="73">
        <v>41</v>
      </c>
      <c r="H42" s="73">
        <v>39</v>
      </c>
      <c r="I42" s="73">
        <v>20</v>
      </c>
      <c r="J42" s="73">
        <v>15</v>
      </c>
      <c r="K42" s="73">
        <v>4</v>
      </c>
      <c r="L42" s="73">
        <v>62</v>
      </c>
      <c r="M42" s="73">
        <v>188</v>
      </c>
      <c r="S42" t="s">
        <v>436</v>
      </c>
      <c r="T42" t="s">
        <v>218</v>
      </c>
      <c r="U42" t="s">
        <v>438</v>
      </c>
      <c r="V42" t="s">
        <v>431</v>
      </c>
      <c r="W42">
        <v>1</v>
      </c>
      <c r="AB42" t="s">
        <v>529</v>
      </c>
      <c r="AC42" t="s">
        <v>218</v>
      </c>
      <c r="AD42" t="s">
        <v>530</v>
      </c>
      <c r="AE42" t="s">
        <v>528</v>
      </c>
      <c r="AF42">
        <v>1</v>
      </c>
      <c r="AK42" t="s">
        <v>650</v>
      </c>
      <c r="AL42" t="s">
        <v>205</v>
      </c>
      <c r="AM42" t="s">
        <v>203</v>
      </c>
      <c r="AN42" t="s">
        <v>450</v>
      </c>
      <c r="AO42">
        <v>1</v>
      </c>
    </row>
    <row r="43" spans="1:41">
      <c r="A43">
        <v>0</v>
      </c>
      <c r="B43" t="s">
        <v>430</v>
      </c>
      <c r="G43">
        <v>23</v>
      </c>
      <c r="M43">
        <v>23</v>
      </c>
      <c r="S43" t="s">
        <v>347</v>
      </c>
      <c r="T43" t="s">
        <v>205</v>
      </c>
      <c r="U43" t="s">
        <v>348</v>
      </c>
      <c r="V43" t="s">
        <v>135</v>
      </c>
      <c r="W43">
        <v>1</v>
      </c>
      <c r="AB43" t="s">
        <v>571</v>
      </c>
      <c r="AC43" t="s">
        <v>218</v>
      </c>
      <c r="AD43" t="s">
        <v>572</v>
      </c>
      <c r="AE43" t="s">
        <v>561</v>
      </c>
      <c r="AF43">
        <v>1</v>
      </c>
      <c r="AK43" t="s">
        <v>205</v>
      </c>
      <c r="AL43" t="s">
        <v>205</v>
      </c>
      <c r="AM43" t="s">
        <v>217</v>
      </c>
      <c r="AN43" t="s">
        <v>216</v>
      </c>
      <c r="AO43">
        <v>1</v>
      </c>
    </row>
    <row r="44" spans="1:41">
      <c r="B44" t="s">
        <v>726</v>
      </c>
      <c r="G44">
        <v>4</v>
      </c>
      <c r="M44">
        <v>4</v>
      </c>
      <c r="S44" t="s">
        <v>148</v>
      </c>
      <c r="T44" t="s">
        <v>205</v>
      </c>
      <c r="U44" t="s">
        <v>46</v>
      </c>
      <c r="V44" t="s">
        <v>145</v>
      </c>
      <c r="W44">
        <v>1</v>
      </c>
      <c r="AB44" t="s">
        <v>769</v>
      </c>
      <c r="AC44" t="s">
        <v>388</v>
      </c>
      <c r="AD44" t="s">
        <v>46</v>
      </c>
      <c r="AE44" t="s">
        <v>768</v>
      </c>
      <c r="AF44">
        <v>1</v>
      </c>
      <c r="AK44" t="s">
        <v>212</v>
      </c>
      <c r="AL44" t="s">
        <v>205</v>
      </c>
      <c r="AM44" t="s">
        <v>203</v>
      </c>
      <c r="AN44" t="s">
        <v>201</v>
      </c>
      <c r="AO44">
        <v>1</v>
      </c>
    </row>
    <row r="45" spans="1:41">
      <c r="B45" t="s">
        <v>869</v>
      </c>
      <c r="H45">
        <v>3</v>
      </c>
      <c r="M45">
        <v>3</v>
      </c>
      <c r="S45" t="s">
        <v>147</v>
      </c>
      <c r="T45" t="s">
        <v>205</v>
      </c>
      <c r="U45" t="s">
        <v>46</v>
      </c>
      <c r="V45" t="s">
        <v>145</v>
      </c>
      <c r="W45">
        <v>1</v>
      </c>
      <c r="AB45" t="s">
        <v>709</v>
      </c>
      <c r="AC45" t="s">
        <v>205</v>
      </c>
      <c r="AD45" t="s">
        <v>46</v>
      </c>
      <c r="AE45" t="s">
        <v>702</v>
      </c>
      <c r="AF45">
        <v>1</v>
      </c>
      <c r="AK45" t="s">
        <v>210</v>
      </c>
      <c r="AL45" t="s">
        <v>205</v>
      </c>
      <c r="AM45" t="s">
        <v>203</v>
      </c>
      <c r="AN45" t="s">
        <v>201</v>
      </c>
      <c r="AO45">
        <v>1</v>
      </c>
    </row>
    <row r="46" spans="1:41">
      <c r="B46" t="s">
        <v>896</v>
      </c>
      <c r="H46">
        <v>2</v>
      </c>
      <c r="M46">
        <v>2</v>
      </c>
      <c r="S46" t="s">
        <v>150</v>
      </c>
      <c r="T46" t="s">
        <v>205</v>
      </c>
      <c r="U46" t="s">
        <v>46</v>
      </c>
      <c r="V46" t="s">
        <v>145</v>
      </c>
      <c r="W46">
        <v>1</v>
      </c>
      <c r="AB46" t="s">
        <v>557</v>
      </c>
      <c r="AC46" t="s">
        <v>218</v>
      </c>
      <c r="AD46" t="s">
        <v>46</v>
      </c>
      <c r="AE46" t="s">
        <v>528</v>
      </c>
      <c r="AF46">
        <v>1</v>
      </c>
      <c r="AK46" t="s">
        <v>202</v>
      </c>
      <c r="AL46" t="s">
        <v>205</v>
      </c>
      <c r="AM46" t="s">
        <v>203</v>
      </c>
      <c r="AN46" t="s">
        <v>201</v>
      </c>
      <c r="AO46">
        <v>1</v>
      </c>
    </row>
    <row r="47" spans="1:41">
      <c r="B47" t="s">
        <v>408</v>
      </c>
      <c r="H47">
        <v>7</v>
      </c>
      <c r="M47">
        <v>7</v>
      </c>
      <c r="S47" t="s">
        <v>149</v>
      </c>
      <c r="T47" t="s">
        <v>205</v>
      </c>
      <c r="U47" t="s">
        <v>46</v>
      </c>
      <c r="V47" t="s">
        <v>145</v>
      </c>
      <c r="W47">
        <v>1</v>
      </c>
      <c r="AB47" t="s">
        <v>710</v>
      </c>
      <c r="AC47" t="s">
        <v>205</v>
      </c>
      <c r="AD47" t="s">
        <v>711</v>
      </c>
      <c r="AE47" t="s">
        <v>702</v>
      </c>
      <c r="AF47">
        <v>1</v>
      </c>
      <c r="AK47" t="s">
        <v>691</v>
      </c>
      <c r="AL47" t="s">
        <v>205</v>
      </c>
      <c r="AM47" t="s">
        <v>692</v>
      </c>
      <c r="AN47" t="s">
        <v>679</v>
      </c>
      <c r="AO47">
        <v>1</v>
      </c>
    </row>
    <row r="48" spans="1:41">
      <c r="B48" t="s">
        <v>820</v>
      </c>
      <c r="J48">
        <v>4</v>
      </c>
      <c r="M48">
        <v>4</v>
      </c>
      <c r="S48" t="s">
        <v>129</v>
      </c>
      <c r="T48" t="s">
        <v>205</v>
      </c>
      <c r="U48" t="s">
        <v>332</v>
      </c>
      <c r="V48" t="s">
        <v>285</v>
      </c>
      <c r="W48">
        <v>1</v>
      </c>
      <c r="AB48" t="s">
        <v>424</v>
      </c>
      <c r="AC48" t="s">
        <v>248</v>
      </c>
      <c r="AD48" t="s">
        <v>46</v>
      </c>
      <c r="AE48" t="s">
        <v>414</v>
      </c>
      <c r="AF48">
        <v>1</v>
      </c>
      <c r="AK48" t="s">
        <v>693</v>
      </c>
      <c r="AL48" t="s">
        <v>205</v>
      </c>
      <c r="AM48" t="s">
        <v>692</v>
      </c>
      <c r="AN48" t="s">
        <v>679</v>
      </c>
      <c r="AO48">
        <v>1</v>
      </c>
    </row>
    <row r="49" spans="1:41">
      <c r="B49" t="s">
        <v>200</v>
      </c>
      <c r="L49">
        <v>6</v>
      </c>
      <c r="M49">
        <v>6</v>
      </c>
      <c r="S49" t="s">
        <v>15</v>
      </c>
      <c r="T49" t="s">
        <v>205</v>
      </c>
      <c r="U49" t="s">
        <v>253</v>
      </c>
      <c r="V49" t="s">
        <v>10</v>
      </c>
      <c r="W49">
        <v>1</v>
      </c>
      <c r="AB49" t="s">
        <v>829</v>
      </c>
      <c r="AC49" t="s">
        <v>535</v>
      </c>
      <c r="AD49" t="s">
        <v>830</v>
      </c>
      <c r="AE49" t="s">
        <v>821</v>
      </c>
      <c r="AF49">
        <v>1</v>
      </c>
      <c r="AK49" t="s">
        <v>514</v>
      </c>
      <c r="AL49" t="s">
        <v>218</v>
      </c>
      <c r="AM49" t="s">
        <v>513</v>
      </c>
      <c r="AN49" t="s">
        <v>503</v>
      </c>
      <c r="AO49">
        <v>1</v>
      </c>
    </row>
    <row r="50" spans="1:41">
      <c r="B50" t="s">
        <v>449</v>
      </c>
      <c r="G50">
        <v>1</v>
      </c>
      <c r="L50">
        <v>12</v>
      </c>
      <c r="M50">
        <v>13</v>
      </c>
      <c r="S50" t="s">
        <v>95</v>
      </c>
      <c r="T50" t="s">
        <v>205</v>
      </c>
      <c r="U50" t="s">
        <v>269</v>
      </c>
      <c r="V50" t="s">
        <v>94</v>
      </c>
      <c r="W50">
        <v>1</v>
      </c>
      <c r="AB50" t="s">
        <v>549</v>
      </c>
      <c r="AC50" t="s">
        <v>218</v>
      </c>
      <c r="AD50" t="s">
        <v>46</v>
      </c>
      <c r="AE50" t="s">
        <v>528</v>
      </c>
      <c r="AF50">
        <v>1</v>
      </c>
      <c r="AK50" t="s">
        <v>512</v>
      </c>
      <c r="AL50" t="s">
        <v>218</v>
      </c>
      <c r="AM50" t="s">
        <v>513</v>
      </c>
      <c r="AN50" t="s">
        <v>503</v>
      </c>
      <c r="AO50">
        <v>1</v>
      </c>
    </row>
    <row r="51" spans="1:41">
      <c r="B51" t="s">
        <v>604</v>
      </c>
      <c r="G51">
        <v>1</v>
      </c>
      <c r="M51">
        <v>1</v>
      </c>
      <c r="S51" t="s">
        <v>96</v>
      </c>
      <c r="T51" t="s">
        <v>205</v>
      </c>
      <c r="U51" t="s">
        <v>272</v>
      </c>
      <c r="V51" t="s">
        <v>94</v>
      </c>
      <c r="W51">
        <v>1</v>
      </c>
      <c r="AB51" t="s">
        <v>469</v>
      </c>
      <c r="AC51" t="s">
        <v>218</v>
      </c>
      <c r="AD51" t="s">
        <v>46</v>
      </c>
      <c r="AE51" t="s">
        <v>431</v>
      </c>
      <c r="AF51">
        <v>1</v>
      </c>
      <c r="AK51" t="s">
        <v>527</v>
      </c>
      <c r="AL51" t="s">
        <v>218</v>
      </c>
      <c r="AM51" t="s">
        <v>526</v>
      </c>
      <c r="AN51" t="s">
        <v>503</v>
      </c>
      <c r="AO51">
        <v>1</v>
      </c>
    </row>
    <row r="52" spans="1:41">
      <c r="A52" s="73" t="s">
        <v>996</v>
      </c>
      <c r="B52" s="73"/>
      <c r="C52" s="73"/>
      <c r="D52" s="73"/>
      <c r="E52" s="73"/>
      <c r="F52" s="73"/>
      <c r="G52" s="73">
        <v>29</v>
      </c>
      <c r="H52" s="73">
        <v>12</v>
      </c>
      <c r="I52" s="73"/>
      <c r="J52" s="73">
        <v>4</v>
      </c>
      <c r="K52" s="73"/>
      <c r="L52" s="73">
        <v>18</v>
      </c>
      <c r="M52" s="73">
        <v>63</v>
      </c>
      <c r="S52" t="s">
        <v>500</v>
      </c>
      <c r="T52" t="s">
        <v>218</v>
      </c>
      <c r="U52" t="s">
        <v>501</v>
      </c>
      <c r="V52" t="s">
        <v>488</v>
      </c>
      <c r="W52">
        <v>1</v>
      </c>
      <c r="AB52" t="s">
        <v>486</v>
      </c>
      <c r="AC52" t="s">
        <v>218</v>
      </c>
      <c r="AD52" t="s">
        <v>487</v>
      </c>
      <c r="AE52" t="s">
        <v>431</v>
      </c>
      <c r="AF52">
        <v>1</v>
      </c>
      <c r="AK52" t="s">
        <v>586</v>
      </c>
      <c r="AL52" t="s">
        <v>218</v>
      </c>
      <c r="AM52" t="s">
        <v>203</v>
      </c>
      <c r="AN52" t="s">
        <v>580</v>
      </c>
      <c r="AO52">
        <v>1</v>
      </c>
    </row>
    <row r="53" spans="1:41">
      <c r="A53" t="s">
        <v>955</v>
      </c>
      <c r="C53">
        <v>2</v>
      </c>
      <c r="D53">
        <v>1</v>
      </c>
      <c r="E53">
        <v>2</v>
      </c>
      <c r="F53">
        <v>2</v>
      </c>
      <c r="G53">
        <v>85</v>
      </c>
      <c r="H53">
        <v>51</v>
      </c>
      <c r="I53">
        <v>24</v>
      </c>
      <c r="J53">
        <v>19</v>
      </c>
      <c r="K53">
        <v>4</v>
      </c>
      <c r="L53">
        <v>117</v>
      </c>
      <c r="M53">
        <v>307</v>
      </c>
      <c r="S53" t="s">
        <v>575</v>
      </c>
      <c r="T53" t="s">
        <v>218</v>
      </c>
      <c r="U53" t="s">
        <v>46</v>
      </c>
      <c r="V53" t="s">
        <v>561</v>
      </c>
      <c r="W53">
        <v>1</v>
      </c>
      <c r="AB53" t="s">
        <v>545</v>
      </c>
      <c r="AC53" t="s">
        <v>218</v>
      </c>
      <c r="AD53" t="s">
        <v>46</v>
      </c>
      <c r="AE53" t="s">
        <v>528</v>
      </c>
      <c r="AF53">
        <v>1</v>
      </c>
      <c r="AK53" t="s">
        <v>523</v>
      </c>
      <c r="AL53" t="s">
        <v>218</v>
      </c>
      <c r="AM53" t="s">
        <v>522</v>
      </c>
      <c r="AN53" t="s">
        <v>503</v>
      </c>
      <c r="AO53">
        <v>1</v>
      </c>
    </row>
    <row r="54" spans="1:41">
      <c r="S54" t="s">
        <v>676</v>
      </c>
      <c r="T54" t="s">
        <v>205</v>
      </c>
      <c r="U54" t="s">
        <v>677</v>
      </c>
      <c r="V54" t="s">
        <v>675</v>
      </c>
      <c r="W54">
        <v>1</v>
      </c>
      <c r="AB54" t="s">
        <v>218</v>
      </c>
      <c r="AC54" t="s">
        <v>205</v>
      </c>
      <c r="AD54" t="s">
        <v>217</v>
      </c>
      <c r="AE54" t="s">
        <v>216</v>
      </c>
      <c r="AF54">
        <v>1</v>
      </c>
      <c r="AK54" t="s">
        <v>551</v>
      </c>
      <c r="AL54" t="s">
        <v>218</v>
      </c>
      <c r="AM54" t="s">
        <v>203</v>
      </c>
      <c r="AN54" t="s">
        <v>528</v>
      </c>
      <c r="AO54">
        <v>1</v>
      </c>
    </row>
    <row r="55" spans="1:41">
      <c r="S55" t="s">
        <v>462</v>
      </c>
      <c r="T55" t="s">
        <v>218</v>
      </c>
      <c r="U55" t="s">
        <v>464</v>
      </c>
      <c r="V55" t="s">
        <v>431</v>
      </c>
      <c r="W55">
        <v>1</v>
      </c>
      <c r="AB55" t="s">
        <v>986</v>
      </c>
      <c r="AC55" t="s">
        <v>248</v>
      </c>
      <c r="AD55" t="s">
        <v>816</v>
      </c>
      <c r="AE55" t="s">
        <v>884</v>
      </c>
      <c r="AF55">
        <v>1</v>
      </c>
      <c r="AK55" t="s">
        <v>214</v>
      </c>
      <c r="AL55" t="s">
        <v>205</v>
      </c>
      <c r="AM55" t="s">
        <v>203</v>
      </c>
      <c r="AN55" t="s">
        <v>201</v>
      </c>
      <c r="AO55">
        <v>1</v>
      </c>
    </row>
    <row r="56" spans="1:41">
      <c r="S56" t="s">
        <v>747</v>
      </c>
      <c r="T56" t="s">
        <v>218</v>
      </c>
      <c r="U56" t="s">
        <v>748</v>
      </c>
      <c r="V56" t="s">
        <v>743</v>
      </c>
      <c r="W56">
        <v>1</v>
      </c>
      <c r="AB56" t="s">
        <v>707</v>
      </c>
      <c r="AC56" t="s">
        <v>205</v>
      </c>
      <c r="AD56" t="s">
        <v>46</v>
      </c>
      <c r="AE56" t="s">
        <v>702</v>
      </c>
      <c r="AF56">
        <v>1</v>
      </c>
      <c r="AK56" t="s">
        <v>553</v>
      </c>
      <c r="AL56" t="s">
        <v>218</v>
      </c>
      <c r="AM56" t="s">
        <v>203</v>
      </c>
      <c r="AN56" t="s">
        <v>528</v>
      </c>
      <c r="AO56">
        <v>1</v>
      </c>
    </row>
    <row r="57" spans="1:41">
      <c r="S57" t="s">
        <v>266</v>
      </c>
      <c r="T57" t="s">
        <v>205</v>
      </c>
      <c r="U57" t="s">
        <v>46</v>
      </c>
      <c r="V57" t="s">
        <v>10</v>
      </c>
      <c r="W57">
        <v>1</v>
      </c>
      <c r="AB57" t="s">
        <v>596</v>
      </c>
      <c r="AC57" t="s">
        <v>248</v>
      </c>
      <c r="AD57" t="s">
        <v>597</v>
      </c>
      <c r="AE57" t="s">
        <v>593</v>
      </c>
      <c r="AF57">
        <v>1</v>
      </c>
      <c r="AK57" t="s">
        <v>555</v>
      </c>
      <c r="AL57" t="s">
        <v>218</v>
      </c>
      <c r="AM57" t="s">
        <v>203</v>
      </c>
      <c r="AN57" t="s">
        <v>528</v>
      </c>
      <c r="AO57">
        <v>1</v>
      </c>
    </row>
    <row r="58" spans="1:41">
      <c r="S58" t="s">
        <v>644</v>
      </c>
      <c r="T58" t="s">
        <v>205</v>
      </c>
      <c r="U58" t="s">
        <v>618</v>
      </c>
      <c r="V58" t="s">
        <v>450</v>
      </c>
      <c r="W58">
        <v>1</v>
      </c>
      <c r="AB58" t="s">
        <v>248</v>
      </c>
      <c r="AC58" t="s">
        <v>218</v>
      </c>
      <c r="AD58" t="s">
        <v>217</v>
      </c>
      <c r="AE58" t="s">
        <v>216</v>
      </c>
      <c r="AF58">
        <v>1</v>
      </c>
      <c r="AK58" t="s">
        <v>559</v>
      </c>
      <c r="AL58" t="s">
        <v>218</v>
      </c>
      <c r="AM58" t="s">
        <v>203</v>
      </c>
      <c r="AN58" t="s">
        <v>528</v>
      </c>
      <c r="AO58">
        <v>1</v>
      </c>
    </row>
    <row r="59" spans="1:41">
      <c r="S59" t="s">
        <v>660</v>
      </c>
      <c r="T59" t="s">
        <v>205</v>
      </c>
      <c r="U59" t="s">
        <v>661</v>
      </c>
      <c r="V59" t="s">
        <v>450</v>
      </c>
      <c r="W59">
        <v>1</v>
      </c>
      <c r="AB59" t="s">
        <v>734</v>
      </c>
      <c r="AC59" t="s">
        <v>218</v>
      </c>
      <c r="AD59" t="s">
        <v>732</v>
      </c>
      <c r="AE59" t="s">
        <v>727</v>
      </c>
      <c r="AF59">
        <v>1</v>
      </c>
      <c r="AK59" t="s">
        <v>606</v>
      </c>
      <c r="AL59" t="s">
        <v>218</v>
      </c>
      <c r="AM59" t="s">
        <v>203</v>
      </c>
      <c r="AN59" t="s">
        <v>605</v>
      </c>
      <c r="AO59">
        <v>1</v>
      </c>
    </row>
    <row r="60" spans="1:41">
      <c r="S60" t="s">
        <v>350</v>
      </c>
      <c r="T60" t="s">
        <v>205</v>
      </c>
      <c r="U60" t="s">
        <v>351</v>
      </c>
      <c r="V60" t="s">
        <v>135</v>
      </c>
      <c r="W60">
        <v>1</v>
      </c>
      <c r="AB60" t="s">
        <v>854</v>
      </c>
      <c r="AC60" t="s">
        <v>583</v>
      </c>
      <c r="AD60" t="s">
        <v>855</v>
      </c>
      <c r="AE60" t="s">
        <v>853</v>
      </c>
      <c r="AF60">
        <v>1</v>
      </c>
      <c r="AK60" t="s">
        <v>578</v>
      </c>
      <c r="AL60" t="s">
        <v>218</v>
      </c>
      <c r="AM60" t="s">
        <v>203</v>
      </c>
      <c r="AN60" t="s">
        <v>561</v>
      </c>
      <c r="AO60">
        <v>1</v>
      </c>
    </row>
    <row r="61" spans="1:41">
      <c r="S61" t="s">
        <v>394</v>
      </c>
      <c r="T61" t="s">
        <v>218</v>
      </c>
      <c r="U61" t="s">
        <v>242</v>
      </c>
      <c r="V61" t="s">
        <v>10</v>
      </c>
      <c r="W61">
        <v>1</v>
      </c>
      <c r="AB61" t="s">
        <v>409</v>
      </c>
      <c r="AC61" t="s">
        <v>248</v>
      </c>
      <c r="AD61" t="s">
        <v>46</v>
      </c>
      <c r="AE61" t="s">
        <v>409</v>
      </c>
      <c r="AF61">
        <v>1</v>
      </c>
      <c r="AK61" t="s">
        <v>877</v>
      </c>
      <c r="AL61" t="s">
        <v>248</v>
      </c>
      <c r="AM61" t="s">
        <v>203</v>
      </c>
      <c r="AN61" t="s">
        <v>876</v>
      </c>
      <c r="AO61">
        <v>1</v>
      </c>
    </row>
    <row r="62" spans="1:41">
      <c r="S62" t="s">
        <v>599</v>
      </c>
      <c r="T62" t="s">
        <v>218</v>
      </c>
      <c r="U62" t="s">
        <v>242</v>
      </c>
      <c r="V62" t="s">
        <v>10</v>
      </c>
      <c r="W62">
        <v>1</v>
      </c>
      <c r="AB62" t="s">
        <v>898</v>
      </c>
      <c r="AC62" t="s">
        <v>248</v>
      </c>
      <c r="AD62" t="s">
        <v>902</v>
      </c>
      <c r="AE62" t="s">
        <v>897</v>
      </c>
      <c r="AF62">
        <v>1</v>
      </c>
      <c r="AK62" t="s">
        <v>419</v>
      </c>
      <c r="AL62" t="s">
        <v>248</v>
      </c>
      <c r="AM62" t="s">
        <v>203</v>
      </c>
      <c r="AN62" t="s">
        <v>414</v>
      </c>
      <c r="AO62">
        <v>1</v>
      </c>
    </row>
    <row r="63" spans="1:41">
      <c r="S63" t="s">
        <v>666</v>
      </c>
      <c r="T63" t="s">
        <v>205</v>
      </c>
      <c r="U63" t="s">
        <v>242</v>
      </c>
      <c r="V63" t="s">
        <v>503</v>
      </c>
      <c r="W63">
        <v>1</v>
      </c>
      <c r="AB63" t="s">
        <v>761</v>
      </c>
      <c r="AC63" t="s">
        <v>387</v>
      </c>
      <c r="AD63" t="s">
        <v>46</v>
      </c>
      <c r="AE63" t="s">
        <v>450</v>
      </c>
      <c r="AF63">
        <v>1</v>
      </c>
      <c r="AK63" t="s">
        <v>706</v>
      </c>
      <c r="AL63" t="s">
        <v>218</v>
      </c>
      <c r="AM63" t="s">
        <v>203</v>
      </c>
      <c r="AN63" t="s">
        <v>702</v>
      </c>
      <c r="AO63">
        <v>1</v>
      </c>
    </row>
    <row r="64" spans="1:41">
      <c r="R64" t="s">
        <v>955</v>
      </c>
      <c r="W64">
        <v>56</v>
      </c>
      <c r="AB64" t="s">
        <v>777</v>
      </c>
      <c r="AC64" t="s">
        <v>388</v>
      </c>
      <c r="AD64" t="s">
        <v>46</v>
      </c>
      <c r="AE64" t="s">
        <v>768</v>
      </c>
      <c r="AF64">
        <v>1</v>
      </c>
      <c r="AK64" t="s">
        <v>924</v>
      </c>
      <c r="AL64" t="s">
        <v>248</v>
      </c>
      <c r="AM64" t="s">
        <v>816</v>
      </c>
      <c r="AN64" t="s">
        <v>923</v>
      </c>
      <c r="AO64">
        <v>1</v>
      </c>
    </row>
    <row r="65" spans="28:41">
      <c r="AB65" t="s">
        <v>779</v>
      </c>
      <c r="AC65" t="s">
        <v>388</v>
      </c>
      <c r="AD65" t="s">
        <v>203</v>
      </c>
      <c r="AE65" t="s">
        <v>768</v>
      </c>
      <c r="AF65">
        <v>1</v>
      </c>
      <c r="AK65" t="s">
        <v>509</v>
      </c>
      <c r="AL65" t="s">
        <v>218</v>
      </c>
      <c r="AM65" t="s">
        <v>510</v>
      </c>
      <c r="AN65" t="s">
        <v>503</v>
      </c>
      <c r="AO65">
        <v>1</v>
      </c>
    </row>
    <row r="66" spans="28:41">
      <c r="AB66" t="s">
        <v>467</v>
      </c>
      <c r="AC66" t="s">
        <v>218</v>
      </c>
      <c r="AD66" t="s">
        <v>46</v>
      </c>
      <c r="AE66" t="s">
        <v>431</v>
      </c>
      <c r="AF66">
        <v>1</v>
      </c>
      <c r="AK66" t="s">
        <v>365</v>
      </c>
      <c r="AL66" t="s">
        <v>205</v>
      </c>
      <c r="AM66" t="s">
        <v>203</v>
      </c>
      <c r="AN66" t="s">
        <v>152</v>
      </c>
      <c r="AO66">
        <v>1</v>
      </c>
    </row>
    <row r="67" spans="28:41">
      <c r="AB67" t="s">
        <v>775</v>
      </c>
      <c r="AC67" t="s">
        <v>388</v>
      </c>
      <c r="AD67" t="s">
        <v>203</v>
      </c>
      <c r="AE67" t="s">
        <v>768</v>
      </c>
      <c r="AF67">
        <v>1</v>
      </c>
      <c r="AK67" t="s">
        <v>422</v>
      </c>
      <c r="AL67" t="s">
        <v>248</v>
      </c>
      <c r="AM67" t="s">
        <v>203</v>
      </c>
      <c r="AN67" t="s">
        <v>414</v>
      </c>
      <c r="AO67">
        <v>1</v>
      </c>
    </row>
    <row r="68" spans="28:41">
      <c r="AB68" t="s">
        <v>772</v>
      </c>
      <c r="AC68" t="s">
        <v>388</v>
      </c>
      <c r="AD68" t="s">
        <v>46</v>
      </c>
      <c r="AE68" t="s">
        <v>768</v>
      </c>
      <c r="AF68">
        <v>1</v>
      </c>
      <c r="AK68" t="s">
        <v>423</v>
      </c>
      <c r="AL68" t="s">
        <v>248</v>
      </c>
      <c r="AM68" t="s">
        <v>203</v>
      </c>
      <c r="AN68" t="s">
        <v>414</v>
      </c>
      <c r="AO68">
        <v>1</v>
      </c>
    </row>
    <row r="69" spans="28:41">
      <c r="AB69" t="s">
        <v>766</v>
      </c>
      <c r="AC69" t="s">
        <v>387</v>
      </c>
      <c r="AD69" t="s">
        <v>242</v>
      </c>
      <c r="AE69" t="s">
        <v>762</v>
      </c>
      <c r="AF69">
        <v>1</v>
      </c>
      <c r="AK69" t="s">
        <v>425</v>
      </c>
      <c r="AL69" t="s">
        <v>248</v>
      </c>
      <c r="AM69" t="s">
        <v>203</v>
      </c>
      <c r="AN69" t="s">
        <v>414</v>
      </c>
      <c r="AO69">
        <v>1</v>
      </c>
    </row>
    <row r="70" spans="28:41">
      <c r="AB70" t="s">
        <v>465</v>
      </c>
      <c r="AC70" t="s">
        <v>218</v>
      </c>
      <c r="AD70" t="s">
        <v>46</v>
      </c>
      <c r="AE70" t="s">
        <v>431</v>
      </c>
      <c r="AF70">
        <v>1</v>
      </c>
      <c r="AK70" t="s">
        <v>427</v>
      </c>
      <c r="AL70" t="s">
        <v>248</v>
      </c>
      <c r="AM70" t="s">
        <v>203</v>
      </c>
      <c r="AN70" t="s">
        <v>414</v>
      </c>
      <c r="AO70">
        <v>1</v>
      </c>
    </row>
    <row r="71" spans="28:41">
      <c r="AB71" t="s">
        <v>712</v>
      </c>
      <c r="AC71" t="s">
        <v>205</v>
      </c>
      <c r="AD71" t="s">
        <v>46</v>
      </c>
      <c r="AE71" t="s">
        <v>702</v>
      </c>
      <c r="AF71">
        <v>1</v>
      </c>
      <c r="AJ71" t="s">
        <v>955</v>
      </c>
      <c r="AO71">
        <v>63</v>
      </c>
    </row>
    <row r="72" spans="28:41">
      <c r="AB72" t="s">
        <v>851</v>
      </c>
      <c r="AC72" t="s">
        <v>535</v>
      </c>
      <c r="AD72" t="s">
        <v>46</v>
      </c>
      <c r="AE72" t="s">
        <v>850</v>
      </c>
      <c r="AF72">
        <v>1</v>
      </c>
    </row>
    <row r="73" spans="28:41">
      <c r="AB73" t="s">
        <v>713</v>
      </c>
      <c r="AC73" t="s">
        <v>205</v>
      </c>
      <c r="AD73" t="s">
        <v>711</v>
      </c>
      <c r="AE73" t="s">
        <v>702</v>
      </c>
      <c r="AF73">
        <v>1</v>
      </c>
    </row>
    <row r="74" spans="28:41">
      <c r="AB74" t="s">
        <v>917</v>
      </c>
      <c r="AC74" t="s">
        <v>248</v>
      </c>
      <c r="AD74" t="s">
        <v>46</v>
      </c>
      <c r="AE74" t="s">
        <v>913</v>
      </c>
      <c r="AF74">
        <v>1</v>
      </c>
    </row>
    <row r="75" spans="28:41">
      <c r="AB75" t="s">
        <v>716</v>
      </c>
      <c r="AC75" t="s">
        <v>205</v>
      </c>
      <c r="AD75" t="s">
        <v>46</v>
      </c>
      <c r="AE75" t="s">
        <v>702</v>
      </c>
      <c r="AF75">
        <v>1</v>
      </c>
    </row>
    <row r="76" spans="28:41">
      <c r="AB76" t="s">
        <v>845</v>
      </c>
      <c r="AC76" t="s">
        <v>535</v>
      </c>
      <c r="AD76" t="s">
        <v>46</v>
      </c>
      <c r="AE76" t="s">
        <v>839</v>
      </c>
      <c r="AF76">
        <v>1</v>
      </c>
    </row>
    <row r="77" spans="28:41">
      <c r="AB77" t="s">
        <v>388</v>
      </c>
      <c r="AC77" t="s">
        <v>218</v>
      </c>
      <c r="AD77" t="s">
        <v>217</v>
      </c>
      <c r="AE77" t="s">
        <v>216</v>
      </c>
      <c r="AF77">
        <v>1</v>
      </c>
    </row>
    <row r="78" spans="28:41">
      <c r="AB78" t="s">
        <v>910</v>
      </c>
      <c r="AC78" t="s">
        <v>248</v>
      </c>
      <c r="AD78" t="s">
        <v>46</v>
      </c>
      <c r="AE78" t="s">
        <v>909</v>
      </c>
      <c r="AF78">
        <v>1</v>
      </c>
    </row>
    <row r="79" spans="28:41">
      <c r="AB79" t="s">
        <v>916</v>
      </c>
      <c r="AC79" t="s">
        <v>248</v>
      </c>
      <c r="AD79" t="s">
        <v>46</v>
      </c>
      <c r="AE79" t="s">
        <v>913</v>
      </c>
      <c r="AF79">
        <v>1</v>
      </c>
    </row>
    <row r="80" spans="28:41">
      <c r="AB80" t="s">
        <v>657</v>
      </c>
      <c r="AC80" t="s">
        <v>205</v>
      </c>
      <c r="AD80" t="s">
        <v>658</v>
      </c>
      <c r="AE80" t="s">
        <v>450</v>
      </c>
      <c r="AF80">
        <v>1</v>
      </c>
    </row>
    <row r="81" spans="28:32">
      <c r="AB81" t="s">
        <v>633</v>
      </c>
      <c r="AC81" t="s">
        <v>205</v>
      </c>
      <c r="AD81" t="s">
        <v>634</v>
      </c>
      <c r="AE81" t="s">
        <v>450</v>
      </c>
      <c r="AF81">
        <v>1</v>
      </c>
    </row>
    <row r="82" spans="28:32">
      <c r="AB82" t="s">
        <v>99</v>
      </c>
      <c r="AC82" t="s">
        <v>388</v>
      </c>
      <c r="AD82" t="s">
        <v>46</v>
      </c>
      <c r="AE82" t="s">
        <v>818</v>
      </c>
      <c r="AF82">
        <v>1</v>
      </c>
    </row>
    <row r="83" spans="28:32">
      <c r="AB83" t="s">
        <v>807</v>
      </c>
      <c r="AC83" t="s">
        <v>388</v>
      </c>
      <c r="AD83" t="s">
        <v>46</v>
      </c>
      <c r="AE83" t="s">
        <v>806</v>
      </c>
      <c r="AF83">
        <v>1</v>
      </c>
    </row>
    <row r="84" spans="28:32">
      <c r="AB84" t="s">
        <v>810</v>
      </c>
      <c r="AC84" t="s">
        <v>388</v>
      </c>
      <c r="AD84" t="s">
        <v>46</v>
      </c>
      <c r="AE84" t="s">
        <v>806</v>
      </c>
      <c r="AF84">
        <v>1</v>
      </c>
    </row>
    <row r="85" spans="28:32">
      <c r="AB85" t="s">
        <v>812</v>
      </c>
      <c r="AC85" t="s">
        <v>388</v>
      </c>
      <c r="AD85" t="s">
        <v>46</v>
      </c>
      <c r="AE85" t="s">
        <v>806</v>
      </c>
      <c r="AF85">
        <v>1</v>
      </c>
    </row>
    <row r="86" spans="28:32">
      <c r="AB86" t="s">
        <v>715</v>
      </c>
      <c r="AC86" t="s">
        <v>205</v>
      </c>
      <c r="AD86" t="s">
        <v>46</v>
      </c>
      <c r="AE86" t="s">
        <v>702</v>
      </c>
      <c r="AF86">
        <v>1</v>
      </c>
    </row>
    <row r="87" spans="28:32">
      <c r="AB87" t="s">
        <v>827</v>
      </c>
      <c r="AC87" t="s">
        <v>535</v>
      </c>
      <c r="AD87" t="s">
        <v>828</v>
      </c>
      <c r="AE87" t="s">
        <v>821</v>
      </c>
      <c r="AF87">
        <v>1</v>
      </c>
    </row>
    <row r="88" spans="28:32">
      <c r="AB88" t="s">
        <v>389</v>
      </c>
      <c r="AC88" t="s">
        <v>218</v>
      </c>
      <c r="AD88" t="s">
        <v>217</v>
      </c>
      <c r="AE88" t="s">
        <v>216</v>
      </c>
      <c r="AF88">
        <v>1</v>
      </c>
    </row>
    <row r="89" spans="28:32">
      <c r="AB89" t="s">
        <v>392</v>
      </c>
      <c r="AC89" t="s">
        <v>218</v>
      </c>
      <c r="AD89" t="s">
        <v>217</v>
      </c>
      <c r="AE89" t="s">
        <v>216</v>
      </c>
      <c r="AF89">
        <v>1</v>
      </c>
    </row>
    <row r="90" spans="28:32">
      <c r="AB90" t="s">
        <v>763</v>
      </c>
      <c r="AC90" t="s">
        <v>387</v>
      </c>
      <c r="AD90" t="s">
        <v>242</v>
      </c>
      <c r="AE90" t="s">
        <v>762</v>
      </c>
      <c r="AF90">
        <v>1</v>
      </c>
    </row>
    <row r="91" spans="28:32">
      <c r="AB91" t="s">
        <v>981</v>
      </c>
      <c r="AC91" t="s">
        <v>205</v>
      </c>
      <c r="AD91" t="s">
        <v>46</v>
      </c>
      <c r="AE91" t="s">
        <v>719</v>
      </c>
      <c r="AF91">
        <v>1</v>
      </c>
    </row>
    <row r="92" spans="28:32">
      <c r="AB92" t="s">
        <v>637</v>
      </c>
      <c r="AC92" t="s">
        <v>205</v>
      </c>
      <c r="AD92" t="s">
        <v>638</v>
      </c>
      <c r="AE92" t="s">
        <v>450</v>
      </c>
      <c r="AF92">
        <v>1</v>
      </c>
    </row>
    <row r="93" spans="28:32">
      <c r="AB93" t="s">
        <v>907</v>
      </c>
      <c r="AC93" t="s">
        <v>248</v>
      </c>
      <c r="AD93" t="s">
        <v>46</v>
      </c>
      <c r="AE93" t="s">
        <v>905</v>
      </c>
      <c r="AF93">
        <v>1</v>
      </c>
    </row>
    <row r="94" spans="28:32">
      <c r="AB94" t="s">
        <v>901</v>
      </c>
      <c r="AC94" t="s">
        <v>248</v>
      </c>
      <c r="AD94" t="s">
        <v>902</v>
      </c>
      <c r="AE94" t="s">
        <v>897</v>
      </c>
      <c r="AF94">
        <v>1</v>
      </c>
    </row>
    <row r="95" spans="28:32">
      <c r="AB95" t="s">
        <v>141</v>
      </c>
      <c r="AC95" t="s">
        <v>388</v>
      </c>
      <c r="AD95" t="s">
        <v>46</v>
      </c>
      <c r="AE95" t="s">
        <v>818</v>
      </c>
      <c r="AF95">
        <v>1</v>
      </c>
    </row>
    <row r="96" spans="28:32">
      <c r="AB96" t="s">
        <v>700</v>
      </c>
      <c r="AC96" t="s">
        <v>205</v>
      </c>
      <c r="AD96" t="s">
        <v>46</v>
      </c>
      <c r="AE96" t="s">
        <v>694</v>
      </c>
      <c r="AF96">
        <v>1</v>
      </c>
    </row>
    <row r="97" spans="28:32">
      <c r="AB97" t="s">
        <v>374</v>
      </c>
      <c r="AC97" t="s">
        <v>218</v>
      </c>
      <c r="AD97" t="s">
        <v>375</v>
      </c>
      <c r="AE97" t="s">
        <v>374</v>
      </c>
      <c r="AF97">
        <v>1</v>
      </c>
    </row>
    <row r="98" spans="28:32">
      <c r="AB98" t="s">
        <v>45</v>
      </c>
      <c r="AC98" t="s">
        <v>205</v>
      </c>
      <c r="AD98" t="s">
        <v>46</v>
      </c>
      <c r="AE98" t="s">
        <v>10</v>
      </c>
      <c r="AF98">
        <v>1</v>
      </c>
    </row>
    <row r="99" spans="28:32">
      <c r="AB99" t="s">
        <v>982</v>
      </c>
      <c r="AC99" t="s">
        <v>205</v>
      </c>
      <c r="AD99" t="s">
        <v>683</v>
      </c>
      <c r="AE99" t="s">
        <v>679</v>
      </c>
      <c r="AF99">
        <v>1</v>
      </c>
    </row>
    <row r="100" spans="28:32">
      <c r="AB100" t="s">
        <v>609</v>
      </c>
      <c r="AC100" t="s">
        <v>205</v>
      </c>
      <c r="AD100" t="s">
        <v>610</v>
      </c>
      <c r="AE100" t="s">
        <v>450</v>
      </c>
      <c r="AF100">
        <v>1</v>
      </c>
    </row>
    <row r="101" spans="28:32">
      <c r="AB101" t="s">
        <v>607</v>
      </c>
      <c r="AC101" t="s">
        <v>205</v>
      </c>
      <c r="AD101" t="s">
        <v>46</v>
      </c>
      <c r="AE101" t="s">
        <v>450</v>
      </c>
      <c r="AF101">
        <v>1</v>
      </c>
    </row>
    <row r="102" spans="28:32">
      <c r="AB102" t="s">
        <v>912</v>
      </c>
      <c r="AC102" t="s">
        <v>248</v>
      </c>
      <c r="AD102" t="s">
        <v>46</v>
      </c>
      <c r="AE102" t="s">
        <v>909</v>
      </c>
      <c r="AF102">
        <v>1</v>
      </c>
    </row>
    <row r="103" spans="28:32">
      <c r="AB103" t="s">
        <v>387</v>
      </c>
      <c r="AC103" t="s">
        <v>218</v>
      </c>
      <c r="AD103" t="s">
        <v>217</v>
      </c>
      <c r="AE103" t="s">
        <v>216</v>
      </c>
      <c r="AF103">
        <v>1</v>
      </c>
    </row>
    <row r="104" spans="28:32">
      <c r="AB104" t="s">
        <v>455</v>
      </c>
      <c r="AC104" t="s">
        <v>218</v>
      </c>
      <c r="AD104" t="s">
        <v>46</v>
      </c>
      <c r="AE104" t="s">
        <v>431</v>
      </c>
      <c r="AF104">
        <v>1</v>
      </c>
    </row>
    <row r="105" spans="28:32">
      <c r="AB105" t="s">
        <v>449</v>
      </c>
      <c r="AC105" t="s">
        <v>248</v>
      </c>
      <c r="AD105" t="s">
        <v>816</v>
      </c>
      <c r="AE105" t="s">
        <v>884</v>
      </c>
      <c r="AF105">
        <v>1</v>
      </c>
    </row>
    <row r="106" spans="28:32">
      <c r="AB106" t="s">
        <v>931</v>
      </c>
      <c r="AC106" t="s">
        <v>205</v>
      </c>
      <c r="AD106" t="s">
        <v>46</v>
      </c>
      <c r="AE106" t="s">
        <v>929</v>
      </c>
      <c r="AF106">
        <v>1</v>
      </c>
    </row>
    <row r="107" spans="28:32">
      <c r="AB107" t="s">
        <v>688</v>
      </c>
      <c r="AC107" t="s">
        <v>205</v>
      </c>
      <c r="AD107" t="s">
        <v>689</v>
      </c>
      <c r="AE107" t="s">
        <v>679</v>
      </c>
      <c r="AF107">
        <v>1</v>
      </c>
    </row>
    <row r="108" spans="28:32">
      <c r="AB108" t="s">
        <v>831</v>
      </c>
      <c r="AC108" t="s">
        <v>535</v>
      </c>
      <c r="AD108" t="s">
        <v>832</v>
      </c>
      <c r="AE108" t="s">
        <v>821</v>
      </c>
      <c r="AF108">
        <v>1</v>
      </c>
    </row>
    <row r="109" spans="28:32">
      <c r="AB109" t="s">
        <v>361</v>
      </c>
      <c r="AC109" t="s">
        <v>205</v>
      </c>
      <c r="AD109" t="s">
        <v>242</v>
      </c>
      <c r="AE109" t="s">
        <v>160</v>
      </c>
      <c r="AF109">
        <v>1</v>
      </c>
    </row>
    <row r="110" spans="28:32">
      <c r="AB110" t="s">
        <v>40</v>
      </c>
      <c r="AC110" t="s">
        <v>248</v>
      </c>
      <c r="AD110" t="s">
        <v>46</v>
      </c>
      <c r="AE110" t="s">
        <v>10</v>
      </c>
      <c r="AF110">
        <v>1</v>
      </c>
    </row>
    <row r="111" spans="28:32">
      <c r="AB111" t="s">
        <v>381</v>
      </c>
      <c r="AC111" t="s">
        <v>218</v>
      </c>
      <c r="AD111" t="s">
        <v>383</v>
      </c>
      <c r="AE111" t="s">
        <v>380</v>
      </c>
      <c r="AF111">
        <v>1</v>
      </c>
    </row>
    <row r="112" spans="28:32">
      <c r="AB112" t="s">
        <v>895</v>
      </c>
      <c r="AC112" t="s">
        <v>248</v>
      </c>
      <c r="AD112" t="s">
        <v>572</v>
      </c>
      <c r="AE112" t="s">
        <v>884</v>
      </c>
      <c r="AF112">
        <v>1</v>
      </c>
    </row>
    <row r="113" spans="28:32">
      <c r="AB113" t="s">
        <v>49</v>
      </c>
      <c r="AC113" t="s">
        <v>205</v>
      </c>
      <c r="AD113" t="s">
        <v>258</v>
      </c>
      <c r="AE113" t="s">
        <v>10</v>
      </c>
      <c r="AF113">
        <v>1</v>
      </c>
    </row>
    <row r="114" spans="28:32">
      <c r="AB114" t="s">
        <v>79</v>
      </c>
      <c r="AC114" t="s">
        <v>205</v>
      </c>
      <c r="AD114" t="s">
        <v>242</v>
      </c>
      <c r="AE114" t="s">
        <v>450</v>
      </c>
      <c r="AF114">
        <v>1</v>
      </c>
    </row>
    <row r="115" spans="28:32">
      <c r="AB115" t="s">
        <v>641</v>
      </c>
      <c r="AC115" t="s">
        <v>205</v>
      </c>
      <c r="AD115" t="s">
        <v>642</v>
      </c>
      <c r="AE115" t="s">
        <v>450</v>
      </c>
      <c r="AF115">
        <v>1</v>
      </c>
    </row>
    <row r="116" spans="28:32">
      <c r="AB116" t="s">
        <v>698</v>
      </c>
      <c r="AC116" t="s">
        <v>205</v>
      </c>
      <c r="AD116" t="s">
        <v>699</v>
      </c>
      <c r="AE116" t="s">
        <v>694</v>
      </c>
      <c r="AF116">
        <v>1</v>
      </c>
    </row>
    <row r="117" spans="28:32">
      <c r="AB117" t="s">
        <v>451</v>
      </c>
      <c r="AC117" t="s">
        <v>205</v>
      </c>
      <c r="AD117" t="s">
        <v>453</v>
      </c>
      <c r="AE117" t="s">
        <v>450</v>
      </c>
      <c r="AF117">
        <v>1</v>
      </c>
    </row>
    <row r="118" spans="28:32">
      <c r="AB118" t="s">
        <v>790</v>
      </c>
      <c r="AC118" t="s">
        <v>388</v>
      </c>
      <c r="AD118" t="s">
        <v>791</v>
      </c>
      <c r="AE118" t="s">
        <v>768</v>
      </c>
      <c r="AF118">
        <v>1</v>
      </c>
    </row>
    <row r="119" spans="28:32">
      <c r="AB119" t="s">
        <v>783</v>
      </c>
      <c r="AC119" t="s">
        <v>388</v>
      </c>
      <c r="AD119" t="s">
        <v>46</v>
      </c>
      <c r="AE119" t="s">
        <v>768</v>
      </c>
      <c r="AF119">
        <v>1</v>
      </c>
    </row>
    <row r="120" spans="28:32">
      <c r="AB120" t="s">
        <v>786</v>
      </c>
      <c r="AC120" t="s">
        <v>388</v>
      </c>
      <c r="AD120" t="s">
        <v>203</v>
      </c>
      <c r="AE120" t="s">
        <v>768</v>
      </c>
      <c r="AF120">
        <v>1</v>
      </c>
    </row>
    <row r="121" spans="28:32">
      <c r="AB121" t="s">
        <v>102</v>
      </c>
      <c r="AC121" t="s">
        <v>205</v>
      </c>
      <c r="AD121" t="s">
        <v>46</v>
      </c>
      <c r="AE121" t="s">
        <v>94</v>
      </c>
      <c r="AF121">
        <v>1</v>
      </c>
    </row>
    <row r="122" spans="28:32">
      <c r="AB122" t="s">
        <v>97</v>
      </c>
      <c r="AC122" t="s">
        <v>205</v>
      </c>
      <c r="AD122" t="s">
        <v>277</v>
      </c>
      <c r="AE122" t="s">
        <v>94</v>
      </c>
      <c r="AF122">
        <v>1</v>
      </c>
    </row>
    <row r="123" spans="28:32">
      <c r="AB123" t="s">
        <v>647</v>
      </c>
      <c r="AC123" t="s">
        <v>205</v>
      </c>
      <c r="AD123" t="s">
        <v>618</v>
      </c>
      <c r="AE123" t="s">
        <v>450</v>
      </c>
      <c r="AF123">
        <v>1</v>
      </c>
    </row>
    <row r="124" spans="28:32">
      <c r="AB124" t="s">
        <v>751</v>
      </c>
      <c r="AC124" t="s">
        <v>384</v>
      </c>
      <c r="AD124" t="s">
        <v>752</v>
      </c>
      <c r="AE124" t="s">
        <v>750</v>
      </c>
      <c r="AF124">
        <v>1</v>
      </c>
    </row>
    <row r="125" spans="28:32">
      <c r="AB125" t="s">
        <v>847</v>
      </c>
      <c r="AC125" t="s">
        <v>535</v>
      </c>
      <c r="AD125" t="s">
        <v>46</v>
      </c>
      <c r="AE125" t="s">
        <v>839</v>
      </c>
      <c r="AF125">
        <v>1</v>
      </c>
    </row>
    <row r="126" spans="28:32">
      <c r="AB126" t="s">
        <v>588</v>
      </c>
      <c r="AC126" t="s">
        <v>218</v>
      </c>
      <c r="AD126" t="s">
        <v>589</v>
      </c>
      <c r="AE126" t="s">
        <v>580</v>
      </c>
      <c r="AF126">
        <v>1</v>
      </c>
    </row>
    <row r="127" spans="28:32">
      <c r="AB127" t="s">
        <v>987</v>
      </c>
      <c r="AC127" t="s">
        <v>248</v>
      </c>
      <c r="AD127" t="s">
        <v>46</v>
      </c>
      <c r="AE127" t="s">
        <v>876</v>
      </c>
      <c r="AF127">
        <v>1</v>
      </c>
    </row>
    <row r="128" spans="28:32">
      <c r="AB128" t="s">
        <v>663</v>
      </c>
      <c r="AC128" t="s">
        <v>205</v>
      </c>
      <c r="AD128" t="s">
        <v>46</v>
      </c>
      <c r="AE128" t="s">
        <v>450</v>
      </c>
      <c r="AF128">
        <v>1</v>
      </c>
    </row>
    <row r="129" spans="28:32">
      <c r="AB129" t="s">
        <v>825</v>
      </c>
      <c r="AC129" t="s">
        <v>535</v>
      </c>
      <c r="AD129" t="s">
        <v>826</v>
      </c>
      <c r="AE129" t="s">
        <v>821</v>
      </c>
      <c r="AF129">
        <v>1</v>
      </c>
    </row>
    <row r="130" spans="28:32">
      <c r="AB130" t="s">
        <v>843</v>
      </c>
      <c r="AC130" t="s">
        <v>535</v>
      </c>
      <c r="AD130" t="s">
        <v>902</v>
      </c>
      <c r="AE130" t="s">
        <v>839</v>
      </c>
      <c r="AF130">
        <v>1</v>
      </c>
    </row>
    <row r="131" spans="28:32">
      <c r="AB131" t="s">
        <v>927</v>
      </c>
      <c r="AC131" t="s">
        <v>248</v>
      </c>
      <c r="AD131" t="s">
        <v>572</v>
      </c>
      <c r="AE131" t="s">
        <v>926</v>
      </c>
      <c r="AF131">
        <v>1</v>
      </c>
    </row>
    <row r="132" spans="28:32">
      <c r="AB132" t="s">
        <v>983</v>
      </c>
      <c r="AC132" t="s">
        <v>205</v>
      </c>
      <c r="AD132" t="s">
        <v>46</v>
      </c>
      <c r="AE132" t="s">
        <v>719</v>
      </c>
      <c r="AF132">
        <v>1</v>
      </c>
    </row>
    <row r="133" spans="28:32">
      <c r="AB133" t="s">
        <v>770</v>
      </c>
      <c r="AC133" t="s">
        <v>388</v>
      </c>
      <c r="AD133" t="s">
        <v>771</v>
      </c>
      <c r="AE133" t="s">
        <v>768</v>
      </c>
      <c r="AF133">
        <v>1</v>
      </c>
    </row>
    <row r="134" spans="28:32">
      <c r="AB134" t="s">
        <v>547</v>
      </c>
      <c r="AC134" t="s">
        <v>218</v>
      </c>
      <c r="AD134" t="s">
        <v>46</v>
      </c>
      <c r="AE134" t="s">
        <v>528</v>
      </c>
      <c r="AF134">
        <v>1</v>
      </c>
    </row>
    <row r="135" spans="28:32">
      <c r="AB135" t="s">
        <v>984</v>
      </c>
      <c r="AC135" t="s">
        <v>205</v>
      </c>
      <c r="AD135" t="s">
        <v>46</v>
      </c>
      <c r="AE135" t="s">
        <v>719</v>
      </c>
      <c r="AF135">
        <v>1</v>
      </c>
    </row>
    <row r="136" spans="28:32">
      <c r="AB136" t="s">
        <v>533</v>
      </c>
      <c r="AC136" t="s">
        <v>218</v>
      </c>
      <c r="AD136" t="s">
        <v>46</v>
      </c>
      <c r="AE136" t="s">
        <v>528</v>
      </c>
      <c r="AF136">
        <v>1</v>
      </c>
    </row>
    <row r="137" spans="28:32">
      <c r="AB137" t="s">
        <v>541</v>
      </c>
      <c r="AC137" t="s">
        <v>218</v>
      </c>
      <c r="AD137" t="s">
        <v>46</v>
      </c>
      <c r="AE137" t="s">
        <v>528</v>
      </c>
      <c r="AF137">
        <v>1</v>
      </c>
    </row>
    <row r="138" spans="28:32">
      <c r="AB138" t="s">
        <v>871</v>
      </c>
      <c r="AC138" t="s">
        <v>248</v>
      </c>
      <c r="AD138" t="s">
        <v>46</v>
      </c>
      <c r="AE138" t="s">
        <v>870</v>
      </c>
      <c r="AF138">
        <v>1</v>
      </c>
    </row>
    <row r="139" spans="28:32">
      <c r="AB139" t="s">
        <v>872</v>
      </c>
      <c r="AC139" t="s">
        <v>248</v>
      </c>
      <c r="AD139" t="s">
        <v>46</v>
      </c>
      <c r="AE139" t="s">
        <v>870</v>
      </c>
      <c r="AF139">
        <v>1</v>
      </c>
    </row>
    <row r="140" spans="28:32">
      <c r="AB140" t="s">
        <v>887</v>
      </c>
      <c r="AC140" t="s">
        <v>248</v>
      </c>
      <c r="AD140" t="s">
        <v>816</v>
      </c>
      <c r="AE140" t="s">
        <v>884</v>
      </c>
      <c r="AF140">
        <v>1</v>
      </c>
    </row>
    <row r="141" spans="28:32">
      <c r="AB141" t="s">
        <v>703</v>
      </c>
      <c r="AC141" t="s">
        <v>205</v>
      </c>
      <c r="AD141" t="s">
        <v>46</v>
      </c>
      <c r="AE141" t="s">
        <v>702</v>
      </c>
      <c r="AF141">
        <v>1</v>
      </c>
    </row>
    <row r="142" spans="28:32">
      <c r="AB142" t="s">
        <v>391</v>
      </c>
      <c r="AC142" t="s">
        <v>218</v>
      </c>
      <c r="AD142" t="s">
        <v>217</v>
      </c>
      <c r="AE142" t="s">
        <v>216</v>
      </c>
      <c r="AF142">
        <v>1</v>
      </c>
    </row>
    <row r="143" spans="28:32">
      <c r="AB143" t="s">
        <v>393</v>
      </c>
      <c r="AC143" t="s">
        <v>218</v>
      </c>
      <c r="AD143" t="s">
        <v>217</v>
      </c>
      <c r="AE143" t="s">
        <v>216</v>
      </c>
      <c r="AF143">
        <v>1</v>
      </c>
    </row>
    <row r="144" spans="28:32">
      <c r="AB144" t="s">
        <v>399</v>
      </c>
      <c r="AC144" t="s">
        <v>218</v>
      </c>
      <c r="AD144" t="s">
        <v>46</v>
      </c>
      <c r="AE144" t="s">
        <v>398</v>
      </c>
      <c r="AF144">
        <v>1</v>
      </c>
    </row>
    <row r="145" spans="28:32">
      <c r="AB145" t="s">
        <v>415</v>
      </c>
      <c r="AC145" t="s">
        <v>248</v>
      </c>
      <c r="AD145" t="s">
        <v>46</v>
      </c>
      <c r="AE145" t="s">
        <v>414</v>
      </c>
      <c r="AF145">
        <v>1</v>
      </c>
    </row>
    <row r="146" spans="28:32">
      <c r="AB146" t="s">
        <v>418</v>
      </c>
      <c r="AC146" t="s">
        <v>248</v>
      </c>
      <c r="AD146" t="s">
        <v>46</v>
      </c>
      <c r="AE146" t="s">
        <v>414</v>
      </c>
      <c r="AF146">
        <v>1</v>
      </c>
    </row>
    <row r="147" spans="28:32">
      <c r="AB147" t="s">
        <v>428</v>
      </c>
      <c r="AC147" t="s">
        <v>248</v>
      </c>
      <c r="AD147" t="s">
        <v>46</v>
      </c>
      <c r="AE147" t="s">
        <v>414</v>
      </c>
      <c r="AF147">
        <v>1</v>
      </c>
    </row>
    <row r="148" spans="28:32">
      <c r="AB148" t="s">
        <v>429</v>
      </c>
      <c r="AC148" t="s">
        <v>248</v>
      </c>
      <c r="AD148" t="s">
        <v>46</v>
      </c>
      <c r="AE148" t="s">
        <v>398</v>
      </c>
      <c r="AF148">
        <v>1</v>
      </c>
    </row>
    <row r="149" spans="28:32">
      <c r="AB149" t="s">
        <v>603</v>
      </c>
      <c r="AC149" t="s">
        <v>218</v>
      </c>
      <c r="AD149" t="s">
        <v>46</v>
      </c>
      <c r="AE149" t="s">
        <v>398</v>
      </c>
      <c r="AF149">
        <v>1</v>
      </c>
    </row>
    <row r="150" spans="28:32">
      <c r="AB150" t="s">
        <v>746</v>
      </c>
      <c r="AC150" t="s">
        <v>218</v>
      </c>
      <c r="AD150" t="s">
        <v>46</v>
      </c>
      <c r="AE150" t="s">
        <v>398</v>
      </c>
      <c r="AF150">
        <v>1</v>
      </c>
    </row>
    <row r="151" spans="28:32">
      <c r="AB151" t="s">
        <v>755</v>
      </c>
      <c r="AC151" t="s">
        <v>384</v>
      </c>
      <c r="AD151" t="s">
        <v>46</v>
      </c>
      <c r="AE151" t="s">
        <v>398</v>
      </c>
      <c r="AF151">
        <v>1</v>
      </c>
    </row>
    <row r="152" spans="28:32">
      <c r="AB152" t="s">
        <v>759</v>
      </c>
      <c r="AC152" t="s">
        <v>385</v>
      </c>
      <c r="AD152" t="s">
        <v>46</v>
      </c>
      <c r="AE152" t="s">
        <v>758</v>
      </c>
      <c r="AF152">
        <v>1</v>
      </c>
    </row>
    <row r="153" spans="28:32">
      <c r="AB153" t="s">
        <v>781</v>
      </c>
      <c r="AC153" t="s">
        <v>388</v>
      </c>
      <c r="AD153" t="s">
        <v>46</v>
      </c>
      <c r="AE153" t="s">
        <v>768</v>
      </c>
      <c r="AF153">
        <v>1</v>
      </c>
    </row>
    <row r="154" spans="28:32">
      <c r="AB154" t="s">
        <v>788</v>
      </c>
      <c r="AC154" t="s">
        <v>388</v>
      </c>
      <c r="AD154" t="s">
        <v>46</v>
      </c>
      <c r="AE154" t="s">
        <v>768</v>
      </c>
      <c r="AF154">
        <v>1</v>
      </c>
    </row>
    <row r="155" spans="28:32">
      <c r="AB155" t="s">
        <v>793</v>
      </c>
      <c r="AC155" t="s">
        <v>388</v>
      </c>
      <c r="AD155" t="s">
        <v>46</v>
      </c>
      <c r="AE155" t="s">
        <v>768</v>
      </c>
      <c r="AF155">
        <v>1</v>
      </c>
    </row>
    <row r="156" spans="28:32">
      <c r="AB156" t="s">
        <v>819</v>
      </c>
      <c r="AC156" t="s">
        <v>388</v>
      </c>
      <c r="AD156" t="s">
        <v>46</v>
      </c>
      <c r="AE156" t="s">
        <v>818</v>
      </c>
      <c r="AF156">
        <v>1</v>
      </c>
    </row>
    <row r="157" spans="28:32">
      <c r="AB157" t="s">
        <v>840</v>
      </c>
      <c r="AC157" t="s">
        <v>535</v>
      </c>
      <c r="AD157" t="s">
        <v>46</v>
      </c>
      <c r="AE157" t="s">
        <v>839</v>
      </c>
      <c r="AF157">
        <v>1</v>
      </c>
    </row>
    <row r="158" spans="28:32">
      <c r="AB158" t="s">
        <v>852</v>
      </c>
      <c r="AC158" t="s">
        <v>535</v>
      </c>
      <c r="AD158" t="s">
        <v>46</v>
      </c>
      <c r="AE158" t="s">
        <v>850</v>
      </c>
      <c r="AF158">
        <v>1</v>
      </c>
    </row>
    <row r="159" spans="28:32">
      <c r="AB159" t="s">
        <v>856</v>
      </c>
      <c r="AC159" t="s">
        <v>583</v>
      </c>
      <c r="AD159" t="s">
        <v>46</v>
      </c>
      <c r="AE159" t="s">
        <v>853</v>
      </c>
      <c r="AF159">
        <v>1</v>
      </c>
    </row>
    <row r="160" spans="28:32">
      <c r="AB160" t="s">
        <v>861</v>
      </c>
      <c r="AC160" t="s">
        <v>385</v>
      </c>
      <c r="AD160" t="s">
        <v>46</v>
      </c>
      <c r="AE160" t="s">
        <v>398</v>
      </c>
      <c r="AF160">
        <v>1</v>
      </c>
    </row>
    <row r="161" spans="28:32">
      <c r="AB161" t="s">
        <v>864</v>
      </c>
      <c r="AC161" t="s">
        <v>218</v>
      </c>
      <c r="AD161" t="s">
        <v>217</v>
      </c>
      <c r="AE161" t="s">
        <v>863</v>
      </c>
      <c r="AF161">
        <v>1</v>
      </c>
    </row>
    <row r="162" spans="28:32">
      <c r="AB162" t="s">
        <v>867</v>
      </c>
      <c r="AC162" t="s">
        <v>218</v>
      </c>
      <c r="AD162" t="s">
        <v>46</v>
      </c>
      <c r="AE162" t="s">
        <v>863</v>
      </c>
      <c r="AF162">
        <v>1</v>
      </c>
    </row>
    <row r="163" spans="28:32">
      <c r="AB163" t="s">
        <v>886</v>
      </c>
      <c r="AC163" t="s">
        <v>248</v>
      </c>
      <c r="AD163" t="s">
        <v>46</v>
      </c>
      <c r="AE163" t="s">
        <v>884</v>
      </c>
      <c r="AF163">
        <v>1</v>
      </c>
    </row>
    <row r="164" spans="28:32">
      <c r="AB164" t="s">
        <v>888</v>
      </c>
      <c r="AC164" t="s">
        <v>248</v>
      </c>
      <c r="AD164" t="s">
        <v>46</v>
      </c>
      <c r="AE164" t="s">
        <v>884</v>
      </c>
      <c r="AF164">
        <v>1</v>
      </c>
    </row>
    <row r="165" spans="28:32">
      <c r="AB165" t="s">
        <v>889</v>
      </c>
      <c r="AC165" t="s">
        <v>248</v>
      </c>
      <c r="AD165" t="s">
        <v>816</v>
      </c>
      <c r="AE165" t="s">
        <v>884</v>
      </c>
      <c r="AF165">
        <v>1</v>
      </c>
    </row>
    <row r="166" spans="28:32">
      <c r="AB166" t="s">
        <v>890</v>
      </c>
      <c r="AC166" t="s">
        <v>248</v>
      </c>
      <c r="AD166" t="s">
        <v>46</v>
      </c>
      <c r="AE166" t="s">
        <v>884</v>
      </c>
      <c r="AF166">
        <v>1</v>
      </c>
    </row>
    <row r="167" spans="28:32">
      <c r="AB167" t="s">
        <v>892</v>
      </c>
      <c r="AC167" t="s">
        <v>248</v>
      </c>
      <c r="AD167" t="s">
        <v>46</v>
      </c>
      <c r="AE167" t="s">
        <v>884</v>
      </c>
      <c r="AF167">
        <v>1</v>
      </c>
    </row>
    <row r="168" spans="28:32">
      <c r="AB168" t="s">
        <v>535</v>
      </c>
      <c r="AC168" t="s">
        <v>248</v>
      </c>
      <c r="AD168" t="s">
        <v>816</v>
      </c>
      <c r="AE168" t="s">
        <v>884</v>
      </c>
      <c r="AF168">
        <v>1</v>
      </c>
    </row>
    <row r="169" spans="28:32">
      <c r="AB169" t="s">
        <v>894</v>
      </c>
      <c r="AC169" t="s">
        <v>248</v>
      </c>
      <c r="AD169" t="s">
        <v>46</v>
      </c>
      <c r="AE169" t="s">
        <v>884</v>
      </c>
      <c r="AF169">
        <v>1</v>
      </c>
    </row>
    <row r="170" spans="28:32">
      <c r="AB170" t="s">
        <v>908</v>
      </c>
      <c r="AC170" t="s">
        <v>248</v>
      </c>
      <c r="AD170" t="s">
        <v>46</v>
      </c>
      <c r="AE170" t="s">
        <v>905</v>
      </c>
      <c r="AF170">
        <v>1</v>
      </c>
    </row>
    <row r="171" spans="28:32">
      <c r="AB171" t="s">
        <v>915</v>
      </c>
      <c r="AC171" t="s">
        <v>248</v>
      </c>
      <c r="AD171" t="s">
        <v>46</v>
      </c>
      <c r="AE171" t="s">
        <v>913</v>
      </c>
      <c r="AF171">
        <v>1</v>
      </c>
    </row>
    <row r="172" spans="28:32">
      <c r="AB172" t="s">
        <v>402</v>
      </c>
      <c r="AC172" t="s">
        <v>218</v>
      </c>
      <c r="AD172" t="s">
        <v>404</v>
      </c>
      <c r="AE172" t="s">
        <v>401</v>
      </c>
      <c r="AF172">
        <v>1</v>
      </c>
    </row>
    <row r="173" spans="28:32">
      <c r="AB173" t="s">
        <v>16</v>
      </c>
      <c r="AC173" t="s">
        <v>205</v>
      </c>
      <c r="AD173" t="s">
        <v>223</v>
      </c>
      <c r="AE173" t="s">
        <v>10</v>
      </c>
      <c r="AF173">
        <v>1</v>
      </c>
    </row>
    <row r="174" spans="28:32">
      <c r="AB174" t="s">
        <v>241</v>
      </c>
      <c r="AC174" t="s">
        <v>205</v>
      </c>
      <c r="AD174" t="s">
        <v>242</v>
      </c>
      <c r="AE174" t="s">
        <v>10</v>
      </c>
      <c r="AF174">
        <v>1</v>
      </c>
    </row>
    <row r="175" spans="28:32">
      <c r="AB175" t="s">
        <v>244</v>
      </c>
      <c r="AC175" t="s">
        <v>205</v>
      </c>
      <c r="AD175" t="s">
        <v>242</v>
      </c>
      <c r="AE175" t="s">
        <v>10</v>
      </c>
      <c r="AF175">
        <v>1</v>
      </c>
    </row>
    <row r="176" spans="28:32">
      <c r="AB176" t="s">
        <v>291</v>
      </c>
      <c r="AC176" t="s">
        <v>205</v>
      </c>
      <c r="AD176" t="s">
        <v>242</v>
      </c>
      <c r="AE176" t="s">
        <v>285</v>
      </c>
      <c r="AF176">
        <v>1</v>
      </c>
    </row>
    <row r="177" spans="28:32">
      <c r="AB177" t="s">
        <v>298</v>
      </c>
      <c r="AC177" t="s">
        <v>205</v>
      </c>
      <c r="AD177" t="s">
        <v>242</v>
      </c>
      <c r="AE177" t="s">
        <v>285</v>
      </c>
      <c r="AF177">
        <v>1</v>
      </c>
    </row>
    <row r="178" spans="28:32">
      <c r="AB178" t="s">
        <v>301</v>
      </c>
      <c r="AC178" t="s">
        <v>205</v>
      </c>
      <c r="AD178" t="s">
        <v>242</v>
      </c>
      <c r="AE178" t="s">
        <v>285</v>
      </c>
      <c r="AF178">
        <v>1</v>
      </c>
    </row>
    <row r="179" spans="28:32">
      <c r="AB179" t="s">
        <v>305</v>
      </c>
      <c r="AC179" t="s">
        <v>205</v>
      </c>
      <c r="AD179" t="s">
        <v>242</v>
      </c>
      <c r="AE179" t="s">
        <v>285</v>
      </c>
      <c r="AF179">
        <v>1</v>
      </c>
    </row>
    <row r="180" spans="28:32">
      <c r="AB180" t="s">
        <v>308</v>
      </c>
      <c r="AC180" t="s">
        <v>205</v>
      </c>
      <c r="AD180" t="s">
        <v>242</v>
      </c>
      <c r="AE180" t="s">
        <v>285</v>
      </c>
      <c r="AF180">
        <v>1</v>
      </c>
    </row>
    <row r="181" spans="28:32">
      <c r="AB181" t="s">
        <v>314</v>
      </c>
      <c r="AC181" t="s">
        <v>205</v>
      </c>
      <c r="AD181" t="s">
        <v>242</v>
      </c>
      <c r="AE181" t="s">
        <v>285</v>
      </c>
      <c r="AF181">
        <v>1</v>
      </c>
    </row>
    <row r="182" spans="28:32">
      <c r="AB182" t="s">
        <v>318</v>
      </c>
      <c r="AC182" t="s">
        <v>205</v>
      </c>
      <c r="AD182" t="s">
        <v>242</v>
      </c>
      <c r="AE182" t="s">
        <v>285</v>
      </c>
      <c r="AF182">
        <v>1</v>
      </c>
    </row>
    <row r="183" spans="28:32">
      <c r="AB183" t="s">
        <v>322</v>
      </c>
      <c r="AC183" t="s">
        <v>205</v>
      </c>
      <c r="AD183" t="s">
        <v>242</v>
      </c>
      <c r="AE183" t="s">
        <v>285</v>
      </c>
      <c r="AF183">
        <v>1</v>
      </c>
    </row>
    <row r="184" spans="28:32">
      <c r="AB184" t="s">
        <v>329</v>
      </c>
      <c r="AC184" t="s">
        <v>205</v>
      </c>
      <c r="AD184" t="s">
        <v>242</v>
      </c>
      <c r="AE184" t="s">
        <v>285</v>
      </c>
      <c r="AF184">
        <v>1</v>
      </c>
    </row>
    <row r="185" spans="28:32">
      <c r="AB185" t="s">
        <v>335</v>
      </c>
      <c r="AC185" t="s">
        <v>205</v>
      </c>
      <c r="AD185" t="s">
        <v>242</v>
      </c>
      <c r="AE185" t="s">
        <v>285</v>
      </c>
      <c r="AF185">
        <v>1</v>
      </c>
    </row>
    <row r="186" spans="28:32">
      <c r="AB186" t="s">
        <v>340</v>
      </c>
      <c r="AC186" t="s">
        <v>205</v>
      </c>
      <c r="AD186" t="s">
        <v>242</v>
      </c>
      <c r="AE186" t="s">
        <v>285</v>
      </c>
      <c r="AF186">
        <v>1</v>
      </c>
    </row>
    <row r="187" spans="28:32">
      <c r="AB187" t="s">
        <v>483</v>
      </c>
      <c r="AC187" t="s">
        <v>218</v>
      </c>
      <c r="AD187" t="s">
        <v>484</v>
      </c>
      <c r="AE187" t="s">
        <v>431</v>
      </c>
      <c r="AF187">
        <v>1</v>
      </c>
    </row>
    <row r="188" spans="28:32">
      <c r="AB188" t="s">
        <v>652</v>
      </c>
      <c r="AC188" t="s">
        <v>205</v>
      </c>
      <c r="AD188" t="s">
        <v>242</v>
      </c>
      <c r="AE188" t="s">
        <v>450</v>
      </c>
      <c r="AF188">
        <v>1</v>
      </c>
    </row>
    <row r="189" spans="28:32">
      <c r="AB189" t="s">
        <v>717</v>
      </c>
      <c r="AC189" t="s">
        <v>205</v>
      </c>
      <c r="AD189" t="s">
        <v>242</v>
      </c>
      <c r="AE189" t="s">
        <v>702</v>
      </c>
      <c r="AF189">
        <v>1</v>
      </c>
    </row>
    <row r="190" spans="28:32">
      <c r="AB190" t="s">
        <v>744</v>
      </c>
      <c r="AC190" t="s">
        <v>218</v>
      </c>
      <c r="AD190" t="s">
        <v>242</v>
      </c>
      <c r="AE190" t="s">
        <v>743</v>
      </c>
      <c r="AF190">
        <v>1</v>
      </c>
    </row>
    <row r="191" spans="28:32">
      <c r="AB191" t="s">
        <v>815</v>
      </c>
      <c r="AC191" t="s">
        <v>388</v>
      </c>
      <c r="AD191" t="s">
        <v>816</v>
      </c>
      <c r="AE191" t="s">
        <v>814</v>
      </c>
      <c r="AF191">
        <v>1</v>
      </c>
    </row>
    <row r="192" spans="28:32">
      <c r="AB192" t="s">
        <v>848</v>
      </c>
      <c r="AC192" t="s">
        <v>535</v>
      </c>
      <c r="AD192" t="s">
        <v>242</v>
      </c>
      <c r="AE192" t="s">
        <v>839</v>
      </c>
      <c r="AF192">
        <v>1</v>
      </c>
    </row>
    <row r="193" spans="27:32">
      <c r="AB193" t="s">
        <v>849</v>
      </c>
      <c r="AC193" t="s">
        <v>535</v>
      </c>
      <c r="AD193" t="s">
        <v>242</v>
      </c>
      <c r="AE193" t="s">
        <v>839</v>
      </c>
      <c r="AF193">
        <v>1</v>
      </c>
    </row>
    <row r="194" spans="27:32">
      <c r="AB194" t="s">
        <v>919</v>
      </c>
      <c r="AC194" t="s">
        <v>248</v>
      </c>
      <c r="AD194" t="s">
        <v>242</v>
      </c>
      <c r="AE194" t="s">
        <v>918</v>
      </c>
      <c r="AF194">
        <v>1</v>
      </c>
    </row>
    <row r="195" spans="27:32">
      <c r="AB195" t="s">
        <v>941</v>
      </c>
      <c r="AC195" t="s">
        <v>205</v>
      </c>
      <c r="AD195" t="s">
        <v>242</v>
      </c>
      <c r="AE195" t="s">
        <v>940</v>
      </c>
      <c r="AF195">
        <v>1</v>
      </c>
    </row>
    <row r="196" spans="27:32">
      <c r="AA196" t="s">
        <v>955</v>
      </c>
      <c r="AF196">
        <v>188</v>
      </c>
    </row>
  </sheetData>
  <conditionalFormatting sqref="AB1:AB1048576">
    <cfRule type="duplicateValues" dxfId="13"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1F118-4416-4095-B5EC-511BD724CD85}">
  <dimension ref="A1:D36"/>
  <sheetViews>
    <sheetView tabSelected="1" topLeftCell="A15" workbookViewId="0">
      <selection activeCell="C34" sqref="C34"/>
    </sheetView>
  </sheetViews>
  <sheetFormatPr defaultRowHeight="14.45"/>
  <cols>
    <col min="1" max="1" width="19.42578125" customWidth="1"/>
    <col min="2" max="2" width="90.42578125" customWidth="1"/>
    <col min="3" max="3" width="92.5703125" customWidth="1"/>
  </cols>
  <sheetData>
    <row r="1" spans="1:3">
      <c r="A1" s="145"/>
      <c r="B1" s="146"/>
      <c r="C1" s="146" t="s">
        <v>997</v>
      </c>
    </row>
    <row r="2" spans="1:3" ht="28.9">
      <c r="A2" s="11" t="s">
        <v>998</v>
      </c>
      <c r="B2" s="115" t="s">
        <v>999</v>
      </c>
      <c r="C2" s="125" t="s">
        <v>1000</v>
      </c>
    </row>
    <row r="3" spans="1:3">
      <c r="A3" s="11"/>
      <c r="B3" s="11"/>
      <c r="C3" s="126" t="s">
        <v>1001</v>
      </c>
    </row>
    <row r="4" spans="1:3" ht="28.9">
      <c r="A4" s="11" t="s">
        <v>1002</v>
      </c>
      <c r="B4" s="147" t="s">
        <v>1003</v>
      </c>
      <c r="C4" s="127" t="s">
        <v>1004</v>
      </c>
    </row>
    <row r="5" spans="1:3">
      <c r="A5" s="11"/>
      <c r="B5" s="11"/>
      <c r="C5" s="113" t="s">
        <v>1005</v>
      </c>
    </row>
    <row r="6" spans="1:3" ht="28.9">
      <c r="A6" s="11" t="s">
        <v>1006</v>
      </c>
      <c r="B6" s="147" t="s">
        <v>1007</v>
      </c>
      <c r="C6" s="113" t="s">
        <v>1008</v>
      </c>
    </row>
    <row r="7" spans="1:3">
      <c r="A7" s="11"/>
      <c r="B7" s="11"/>
      <c r="C7" s="129" t="s">
        <v>1009</v>
      </c>
    </row>
    <row r="8" spans="1:3" ht="28.9">
      <c r="A8" s="11" t="s">
        <v>1010</v>
      </c>
      <c r="B8" s="148" t="s">
        <v>1011</v>
      </c>
      <c r="C8" s="129" t="s">
        <v>1012</v>
      </c>
    </row>
    <row r="9" spans="1:3">
      <c r="A9" s="11"/>
      <c r="B9" s="11"/>
      <c r="C9" s="130" t="s">
        <v>1013</v>
      </c>
    </row>
    <row r="10" spans="1:3" ht="28.9">
      <c r="A10" s="11" t="s">
        <v>1014</v>
      </c>
      <c r="B10" s="148" t="s">
        <v>1015</v>
      </c>
      <c r="C10" s="130" t="s">
        <v>1016</v>
      </c>
    </row>
    <row r="11" spans="1:3">
      <c r="A11" s="11"/>
      <c r="B11" s="11"/>
      <c r="C11" s="131" t="s">
        <v>1017</v>
      </c>
    </row>
    <row r="12" spans="1:3" ht="28.9">
      <c r="A12" s="11" t="s">
        <v>1018</v>
      </c>
      <c r="B12" s="148" t="s">
        <v>1019</v>
      </c>
      <c r="C12" s="131" t="s">
        <v>1020</v>
      </c>
    </row>
    <row r="13" spans="1:3">
      <c r="A13" s="11"/>
      <c r="B13" s="11"/>
      <c r="C13" s="132" t="s">
        <v>1021</v>
      </c>
    </row>
    <row r="14" spans="1:3" ht="28.9">
      <c r="A14" s="11" t="s">
        <v>1022</v>
      </c>
      <c r="B14" s="11" t="s">
        <v>1023</v>
      </c>
      <c r="C14" s="132" t="s">
        <v>1024</v>
      </c>
    </row>
    <row r="15" spans="1:3">
      <c r="A15" s="11"/>
      <c r="B15" s="11"/>
      <c r="C15" s="133" t="s">
        <v>1025</v>
      </c>
    </row>
    <row r="16" spans="1:3">
      <c r="A16" s="11"/>
      <c r="B16" s="11"/>
      <c r="C16" s="133" t="s">
        <v>1026</v>
      </c>
    </row>
    <row r="18" spans="1:4" s="160" customFormat="1"/>
    <row r="19" spans="1:4">
      <c r="A19" s="11"/>
      <c r="B19" s="115"/>
      <c r="C19" s="162" t="s">
        <v>1027</v>
      </c>
    </row>
    <row r="20" spans="1:4" ht="28.9">
      <c r="A20" s="11" t="s">
        <v>1022</v>
      </c>
      <c r="B20" s="11" t="s">
        <v>1023</v>
      </c>
      <c r="C20" s="161" t="s">
        <v>1025</v>
      </c>
    </row>
    <row r="21" spans="1:4">
      <c r="A21" s="11"/>
      <c r="B21" s="11"/>
      <c r="C21" s="161" t="s">
        <v>1026</v>
      </c>
    </row>
    <row r="22" spans="1:4" ht="28.9">
      <c r="A22" s="11" t="s">
        <v>998</v>
      </c>
      <c r="B22" s="115" t="s">
        <v>999</v>
      </c>
      <c r="C22" s="163" t="s">
        <v>1028</v>
      </c>
    </row>
    <row r="23" spans="1:4">
      <c r="A23" s="11"/>
      <c r="B23" s="11"/>
      <c r="C23" s="126" t="s">
        <v>1001</v>
      </c>
    </row>
    <row r="24" spans="1:4" ht="28.9">
      <c r="A24" s="11" t="s">
        <v>1002</v>
      </c>
      <c r="B24" s="147" t="s">
        <v>1003</v>
      </c>
      <c r="C24" s="127" t="s">
        <v>1029</v>
      </c>
      <c r="D24" s="164"/>
    </row>
    <row r="25" spans="1:4">
      <c r="A25" s="11"/>
      <c r="B25" s="11"/>
      <c r="C25" s="113" t="s">
        <v>1005</v>
      </c>
    </row>
    <row r="26" spans="1:4" ht="28.9">
      <c r="A26" s="11" t="s">
        <v>1006</v>
      </c>
      <c r="B26" s="147" t="s">
        <v>1007</v>
      </c>
      <c r="C26" s="113" t="s">
        <v>1008</v>
      </c>
    </row>
    <row r="27" spans="1:4">
      <c r="A27" s="11"/>
      <c r="B27" s="11"/>
      <c r="C27" s="129" t="s">
        <v>1009</v>
      </c>
    </row>
    <row r="28" spans="1:4" ht="28.9">
      <c r="A28" s="11" t="s">
        <v>1010</v>
      </c>
      <c r="B28" s="148" t="s">
        <v>1011</v>
      </c>
      <c r="C28" s="129" t="s">
        <v>1012</v>
      </c>
    </row>
    <row r="29" spans="1:4">
      <c r="A29" s="11"/>
      <c r="B29" s="11"/>
      <c r="C29" s="130" t="s">
        <v>1013</v>
      </c>
    </row>
    <row r="30" spans="1:4" ht="28.9">
      <c r="A30" s="11" t="s">
        <v>1014</v>
      </c>
      <c r="B30" s="148" t="s">
        <v>1015</v>
      </c>
      <c r="C30" s="130" t="s">
        <v>1016</v>
      </c>
    </row>
    <row r="31" spans="1:4">
      <c r="A31" s="11"/>
      <c r="B31" s="11"/>
      <c r="C31" s="131" t="s">
        <v>1017</v>
      </c>
    </row>
    <row r="32" spans="1:4" ht="28.9">
      <c r="A32" s="11" t="s">
        <v>1018</v>
      </c>
      <c r="B32" s="148" t="s">
        <v>1019</v>
      </c>
      <c r="C32" s="131" t="s">
        <v>1020</v>
      </c>
    </row>
    <row r="33" spans="1:3">
      <c r="A33" s="11"/>
      <c r="B33" s="11"/>
      <c r="C33" s="132" t="s">
        <v>1021</v>
      </c>
    </row>
    <row r="34" spans="1:3" ht="28.9">
      <c r="A34" s="11" t="s">
        <v>1022</v>
      </c>
      <c r="B34" s="11" t="s">
        <v>1023</v>
      </c>
      <c r="C34" s="132" t="s">
        <v>1030</v>
      </c>
    </row>
    <row r="35" spans="1:3">
      <c r="A35" s="11"/>
      <c r="B35" s="11"/>
      <c r="C35" s="133"/>
    </row>
    <row r="36" spans="1:3">
      <c r="A36" s="11"/>
      <c r="B36" s="11"/>
      <c r="C36" s="13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98ACB-0426-42A9-A92B-845C91BEF051}">
  <sheetPr>
    <tabColor rgb="FF7030A0"/>
  </sheetPr>
  <dimension ref="B1:N28"/>
  <sheetViews>
    <sheetView workbookViewId="0">
      <selection activeCell="B6" sqref="B6"/>
    </sheetView>
  </sheetViews>
  <sheetFormatPr defaultRowHeight="14.45"/>
  <cols>
    <col min="2" max="2" width="50" customWidth="1"/>
    <col min="3" max="3" width="15.28515625" style="31" bestFit="1" customWidth="1"/>
    <col min="4" max="4" width="20.5703125" style="31" bestFit="1" customWidth="1"/>
    <col min="5" max="5" width="8.85546875" style="15"/>
    <col min="6" max="6" width="6.42578125" style="84" customWidth="1"/>
    <col min="7" max="7" width="6.42578125" customWidth="1"/>
    <col min="8" max="8" width="10.28515625" bestFit="1" customWidth="1"/>
    <col min="9" max="9" width="10.28515625" style="84" bestFit="1" customWidth="1"/>
    <col min="10" max="10" width="10.7109375" bestFit="1" customWidth="1"/>
    <col min="11" max="11" width="10" style="84" customWidth="1"/>
    <col min="12" max="12" width="19.85546875" bestFit="1" customWidth="1"/>
  </cols>
  <sheetData>
    <row r="1" spans="2:14">
      <c r="F1"/>
      <c r="I1"/>
      <c r="K1"/>
    </row>
    <row r="2" spans="2:14">
      <c r="F2"/>
      <c r="I2"/>
      <c r="K2"/>
    </row>
    <row r="3" spans="2:14">
      <c r="F3"/>
      <c r="I3"/>
      <c r="K3"/>
    </row>
    <row r="4" spans="2:14">
      <c r="F4" s="27" t="s">
        <v>1031</v>
      </c>
      <c r="G4" s="27"/>
      <c r="H4" s="27"/>
      <c r="I4" s="27"/>
      <c r="J4" s="27"/>
      <c r="K4" s="27"/>
      <c r="L4" s="27"/>
    </row>
    <row r="5" spans="2:14">
      <c r="B5" s="58" t="s">
        <v>174</v>
      </c>
      <c r="C5" s="83" t="s">
        <v>189</v>
      </c>
      <c r="D5" s="83" t="s">
        <v>190</v>
      </c>
      <c r="F5" s="86" t="s">
        <v>196</v>
      </c>
      <c r="G5" s="9" t="s">
        <v>191</v>
      </c>
      <c r="H5" s="9" t="s">
        <v>1032</v>
      </c>
      <c r="I5" s="86" t="s">
        <v>1033</v>
      </c>
      <c r="J5" s="9" t="s">
        <v>1034</v>
      </c>
      <c r="K5" s="86" t="s">
        <v>1035</v>
      </c>
      <c r="L5" s="1" t="s">
        <v>192</v>
      </c>
    </row>
    <row r="6" spans="2:14">
      <c r="B6" s="71" t="s">
        <v>200</v>
      </c>
      <c r="C6" s="31">
        <v>10</v>
      </c>
      <c r="D6" s="31" t="s">
        <v>962</v>
      </c>
      <c r="F6" s="84" t="s">
        <v>230</v>
      </c>
      <c r="G6" t="s">
        <v>961</v>
      </c>
      <c r="H6" s="81">
        <v>45916</v>
      </c>
      <c r="I6" s="85">
        <v>45919</v>
      </c>
      <c r="J6" s="81">
        <v>45916</v>
      </c>
      <c r="K6" s="85">
        <v>45919</v>
      </c>
      <c r="L6" s="89">
        <v>45916</v>
      </c>
    </row>
    <row r="7" spans="2:14">
      <c r="B7" s="71" t="s">
        <v>430</v>
      </c>
      <c r="C7" s="31">
        <v>50</v>
      </c>
      <c r="D7" s="31" t="s">
        <v>965</v>
      </c>
      <c r="F7" s="84" t="s">
        <v>252</v>
      </c>
      <c r="G7" t="s">
        <v>961</v>
      </c>
      <c r="H7" s="81">
        <v>45922</v>
      </c>
      <c r="I7" s="85">
        <v>45926</v>
      </c>
      <c r="J7" s="81">
        <v>45919</v>
      </c>
      <c r="K7" s="85">
        <v>45922</v>
      </c>
      <c r="L7" s="89">
        <v>45916</v>
      </c>
    </row>
    <row r="8" spans="2:14">
      <c r="B8" s="71" t="s">
        <v>449</v>
      </c>
      <c r="C8" s="31">
        <v>100</v>
      </c>
      <c r="D8" s="31" t="s">
        <v>966</v>
      </c>
      <c r="F8" s="84" t="s">
        <v>313</v>
      </c>
      <c r="G8" t="s">
        <v>964</v>
      </c>
      <c r="H8" s="81">
        <v>45929</v>
      </c>
      <c r="I8" s="85">
        <v>45933</v>
      </c>
      <c r="J8" s="81">
        <v>45922</v>
      </c>
      <c r="K8" s="85">
        <v>45922</v>
      </c>
      <c r="L8" s="89">
        <v>45922</v>
      </c>
    </row>
    <row r="9" spans="2:14">
      <c r="B9" s="71" t="s">
        <v>928</v>
      </c>
      <c r="C9" s="31">
        <v>230</v>
      </c>
      <c r="D9" s="31" t="s">
        <v>966</v>
      </c>
      <c r="F9" s="84" t="s">
        <v>222</v>
      </c>
      <c r="G9" t="s">
        <v>964</v>
      </c>
      <c r="H9" s="81">
        <v>45936</v>
      </c>
      <c r="I9" s="85">
        <v>45940</v>
      </c>
      <c r="J9" s="81">
        <v>45922</v>
      </c>
      <c r="K9" s="85">
        <v>45923</v>
      </c>
      <c r="L9" s="89">
        <v>45922</v>
      </c>
    </row>
    <row r="10" spans="2:14">
      <c r="B10" s="71" t="s">
        <v>373</v>
      </c>
      <c r="C10" s="31">
        <v>20</v>
      </c>
      <c r="D10" s="31" t="s">
        <v>969</v>
      </c>
      <c r="F10" s="84" t="s">
        <v>209</v>
      </c>
      <c r="G10" t="s">
        <v>964</v>
      </c>
      <c r="H10" s="81">
        <v>45923</v>
      </c>
      <c r="I10" s="85">
        <v>45926</v>
      </c>
      <c r="J10" s="81">
        <v>45922</v>
      </c>
      <c r="L10" s="89">
        <v>45922</v>
      </c>
    </row>
    <row r="11" spans="2:14">
      <c r="B11" s="71" t="s">
        <v>598</v>
      </c>
      <c r="C11" s="31">
        <v>70</v>
      </c>
      <c r="D11" s="31" t="s">
        <v>969</v>
      </c>
      <c r="F11" s="84" t="s">
        <v>379</v>
      </c>
      <c r="G11" t="s">
        <v>968</v>
      </c>
      <c r="H11" s="81">
        <v>45929</v>
      </c>
      <c r="I11" s="85">
        <v>45933</v>
      </c>
      <c r="L11" s="89">
        <v>45929</v>
      </c>
    </row>
    <row r="12" spans="2:14">
      <c r="B12" s="71" t="s">
        <v>602</v>
      </c>
      <c r="C12" s="31">
        <v>80</v>
      </c>
      <c r="D12" s="31" t="s">
        <v>969</v>
      </c>
      <c r="F12" s="84" t="s">
        <v>106</v>
      </c>
      <c r="G12" t="s">
        <v>971</v>
      </c>
      <c r="H12" s="81">
        <v>45936</v>
      </c>
      <c r="I12" s="85">
        <v>45940</v>
      </c>
      <c r="L12" s="89">
        <v>45936</v>
      </c>
      <c r="N12" t="s">
        <v>1036</v>
      </c>
    </row>
    <row r="13" spans="2:14">
      <c r="B13" s="71" t="s">
        <v>726</v>
      </c>
      <c r="C13" s="31">
        <v>110</v>
      </c>
      <c r="D13" s="31" t="s">
        <v>969</v>
      </c>
      <c r="F13" s="84" t="s">
        <v>407</v>
      </c>
      <c r="G13" t="s">
        <v>974</v>
      </c>
      <c r="H13" s="81">
        <v>45943</v>
      </c>
      <c r="I13" s="85">
        <v>45947</v>
      </c>
      <c r="L13" s="89">
        <v>45943</v>
      </c>
    </row>
    <row r="14" spans="2:14">
      <c r="B14" s="71" t="s">
        <v>862</v>
      </c>
      <c r="C14" s="31">
        <v>200</v>
      </c>
      <c r="D14" s="31" t="s">
        <v>969</v>
      </c>
    </row>
    <row r="15" spans="2:14">
      <c r="B15" s="71" t="s">
        <v>767</v>
      </c>
      <c r="C15" s="31">
        <v>150</v>
      </c>
      <c r="D15" s="31" t="s">
        <v>972</v>
      </c>
    </row>
    <row r="16" spans="2:14">
      <c r="B16" s="71" t="s">
        <v>820</v>
      </c>
      <c r="C16" s="31">
        <v>160</v>
      </c>
      <c r="D16" s="31" t="s">
        <v>972</v>
      </c>
    </row>
    <row r="17" spans="2:4">
      <c r="B17" s="71" t="s">
        <v>583</v>
      </c>
      <c r="C17" s="31">
        <v>170</v>
      </c>
      <c r="D17" s="31" t="s">
        <v>975</v>
      </c>
    </row>
    <row r="18" spans="2:4">
      <c r="B18" s="71" t="s">
        <v>857</v>
      </c>
      <c r="C18" s="31">
        <v>180</v>
      </c>
      <c r="D18" s="31" t="s">
        <v>975</v>
      </c>
    </row>
    <row r="19" spans="2:4">
      <c r="B19" s="71" t="s">
        <v>860</v>
      </c>
      <c r="C19" s="31">
        <v>190</v>
      </c>
      <c r="D19" s="31" t="s">
        <v>975</v>
      </c>
    </row>
    <row r="20" spans="2:4">
      <c r="B20" s="71" t="s">
        <v>757</v>
      </c>
      <c r="C20" s="31">
        <v>130</v>
      </c>
      <c r="D20" s="31" t="s">
        <v>975</v>
      </c>
    </row>
    <row r="21" spans="2:4">
      <c r="B21" s="71" t="s">
        <v>754</v>
      </c>
      <c r="C21" s="31">
        <v>120</v>
      </c>
      <c r="D21" s="31" t="s">
        <v>975</v>
      </c>
    </row>
    <row r="22" spans="2:4">
      <c r="B22" s="71" t="s">
        <v>760</v>
      </c>
      <c r="C22" s="31">
        <v>140</v>
      </c>
      <c r="D22" s="31" t="s">
        <v>975</v>
      </c>
    </row>
    <row r="23" spans="2:4">
      <c r="B23" s="71" t="s">
        <v>408</v>
      </c>
      <c r="C23" s="31">
        <v>40</v>
      </c>
      <c r="D23" s="31" t="s">
        <v>976</v>
      </c>
    </row>
    <row r="24" spans="2:4">
      <c r="B24" s="71" t="s">
        <v>592</v>
      </c>
      <c r="C24" s="31">
        <v>60</v>
      </c>
      <c r="D24" s="31" t="s">
        <v>976</v>
      </c>
    </row>
    <row r="25" spans="2:4">
      <c r="B25" s="71" t="s">
        <v>869</v>
      </c>
      <c r="C25" s="31">
        <v>210</v>
      </c>
      <c r="D25" s="31" t="s">
        <v>977</v>
      </c>
    </row>
    <row r="26" spans="2:4">
      <c r="B26" s="71" t="s">
        <v>896</v>
      </c>
      <c r="C26" s="31">
        <v>220</v>
      </c>
      <c r="D26" s="31" t="s">
        <v>977</v>
      </c>
    </row>
    <row r="27" spans="2:4">
      <c r="B27" s="71" t="s">
        <v>604</v>
      </c>
      <c r="C27" s="31">
        <v>90</v>
      </c>
      <c r="D27" s="31" t="s">
        <v>978</v>
      </c>
    </row>
    <row r="28" spans="2:4">
      <c r="B28" s="71" t="s">
        <v>400</v>
      </c>
      <c r="C28" s="31">
        <v>30</v>
      </c>
      <c r="D28" s="31" t="s">
        <v>978</v>
      </c>
    </row>
  </sheetData>
  <autoFilter ref="B5:D28" xr:uid="{22298ACB-0426-42A9-A92B-845C91BEF051}">
    <sortState xmlns:xlrd2="http://schemas.microsoft.com/office/spreadsheetml/2017/richdata2" ref="B6:D28">
      <sortCondition ref="D27:D28"/>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F640D-8A62-43DF-BB49-7F576C8CC4DB}">
  <dimension ref="B1:B108"/>
  <sheetViews>
    <sheetView workbookViewId="0">
      <selection activeCell="B1" sqref="B1"/>
    </sheetView>
  </sheetViews>
  <sheetFormatPr defaultRowHeight="14.45"/>
  <cols>
    <col min="2" max="2" width="234.7109375" customWidth="1"/>
  </cols>
  <sheetData>
    <row r="1" spans="2:2">
      <c r="B1" s="1" t="s">
        <v>1037</v>
      </c>
    </row>
    <row r="4" spans="2:2">
      <c r="B4" s="104" t="s">
        <v>1038</v>
      </c>
    </row>
    <row r="5" spans="2:2" ht="15.6">
      <c r="B5" s="105" t="s">
        <v>1039</v>
      </c>
    </row>
    <row r="6" spans="2:2" ht="15.6">
      <c r="B6" s="105" t="s">
        <v>1040</v>
      </c>
    </row>
    <row r="7" spans="2:2" ht="15.6">
      <c r="B7" s="105" t="s">
        <v>1041</v>
      </c>
    </row>
    <row r="8" spans="2:2">
      <c r="B8" s="104" t="s">
        <v>1042</v>
      </c>
    </row>
    <row r="9" spans="2:2">
      <c r="B9" s="104" t="s">
        <v>1043</v>
      </c>
    </row>
    <row r="10" spans="2:2" ht="15.6">
      <c r="B10" s="105" t="s">
        <v>1039</v>
      </c>
    </row>
    <row r="11" spans="2:2" ht="15.6">
      <c r="B11" s="105" t="s">
        <v>1044</v>
      </c>
    </row>
    <row r="12" spans="2:2" ht="15.6">
      <c r="B12" s="105" t="s">
        <v>1041</v>
      </c>
    </row>
    <row r="13" spans="2:2">
      <c r="B13" s="104" t="s">
        <v>1045</v>
      </c>
    </row>
    <row r="14" spans="2:2">
      <c r="B14" s="104" t="s">
        <v>1046</v>
      </c>
    </row>
    <row r="15" spans="2:2" ht="15.6">
      <c r="B15" s="105" t="s">
        <v>1039</v>
      </c>
    </row>
    <row r="16" spans="2:2" ht="15.6">
      <c r="B16" s="105" t="s">
        <v>1047</v>
      </c>
    </row>
    <row r="17" spans="2:2" ht="15.6">
      <c r="B17" s="105" t="s">
        <v>1041</v>
      </c>
    </row>
    <row r="18" spans="2:2">
      <c r="B18" s="104" t="s">
        <v>1048</v>
      </c>
    </row>
    <row r="19" spans="2:2">
      <c r="B19" s="104" t="s">
        <v>1049</v>
      </c>
    </row>
    <row r="20" spans="2:2" ht="15.6">
      <c r="B20" s="105" t="s">
        <v>1039</v>
      </c>
    </row>
    <row r="21" spans="2:2" ht="15.6">
      <c r="B21" s="105" t="s">
        <v>1050</v>
      </c>
    </row>
    <row r="22" spans="2:2" ht="15.6">
      <c r="B22" s="105" t="s">
        <v>1041</v>
      </c>
    </row>
    <row r="23" spans="2:2">
      <c r="B23" s="104" t="s">
        <v>1051</v>
      </c>
    </row>
    <row r="24" spans="2:2">
      <c r="B24" s="104" t="s">
        <v>1052</v>
      </c>
    </row>
    <row r="25" spans="2:2" ht="15.6">
      <c r="B25" s="105" t="s">
        <v>1039</v>
      </c>
    </row>
    <row r="26" spans="2:2" ht="15.6">
      <c r="B26" s="105" t="s">
        <v>1053</v>
      </c>
    </row>
    <row r="27" spans="2:2" ht="15.6">
      <c r="B27" s="105" t="s">
        <v>1041</v>
      </c>
    </row>
    <row r="28" spans="2:2">
      <c r="B28" s="104" t="s">
        <v>1054</v>
      </c>
    </row>
    <row r="29" spans="2:2">
      <c r="B29" s="104" t="s">
        <v>1055</v>
      </c>
    </row>
    <row r="30" spans="2:2" ht="15.6">
      <c r="B30" s="105" t="s">
        <v>1039</v>
      </c>
    </row>
    <row r="31" spans="2:2" ht="15.6">
      <c r="B31" s="105" t="s">
        <v>1056</v>
      </c>
    </row>
    <row r="32" spans="2:2" ht="15.6">
      <c r="B32" s="105" t="s">
        <v>1041</v>
      </c>
    </row>
    <row r="33" spans="2:2">
      <c r="B33" s="104" t="s">
        <v>1057</v>
      </c>
    </row>
    <row r="34" spans="2:2">
      <c r="B34" s="104" t="s">
        <v>1058</v>
      </c>
    </row>
    <row r="35" spans="2:2" ht="15.6">
      <c r="B35" s="105" t="s">
        <v>1039</v>
      </c>
    </row>
    <row r="36" spans="2:2" ht="15.6">
      <c r="B36" s="105" t="s">
        <v>1059</v>
      </c>
    </row>
    <row r="37" spans="2:2" ht="15.6">
      <c r="B37" s="105" t="s">
        <v>1041</v>
      </c>
    </row>
    <row r="38" spans="2:2">
      <c r="B38" s="104" t="s">
        <v>1060</v>
      </c>
    </row>
    <row r="39" spans="2:2">
      <c r="B39" s="104" t="s">
        <v>1061</v>
      </c>
    </row>
    <row r="40" spans="2:2" ht="15.6">
      <c r="B40" s="105" t="s">
        <v>1039</v>
      </c>
    </row>
    <row r="41" spans="2:2" ht="15.6">
      <c r="B41" s="105" t="s">
        <v>1053</v>
      </c>
    </row>
    <row r="42" spans="2:2" ht="15.6">
      <c r="B42" s="105" t="s">
        <v>1041</v>
      </c>
    </row>
    <row r="43" spans="2:2">
      <c r="B43" s="104" t="s">
        <v>1062</v>
      </c>
    </row>
    <row r="44" spans="2:2">
      <c r="B44" s="104" t="s">
        <v>1063</v>
      </c>
    </row>
    <row r="45" spans="2:2" ht="15.6">
      <c r="B45" s="105" t="s">
        <v>1039</v>
      </c>
    </row>
    <row r="46" spans="2:2" ht="15.6">
      <c r="B46" s="105" t="s">
        <v>1064</v>
      </c>
    </row>
    <row r="47" spans="2:2" ht="15.6">
      <c r="B47" s="105" t="s">
        <v>1041</v>
      </c>
    </row>
    <row r="48" spans="2:2">
      <c r="B48" s="104" t="s">
        <v>1065</v>
      </c>
    </row>
    <row r="49" spans="2:2">
      <c r="B49" s="104" t="s">
        <v>1066</v>
      </c>
    </row>
    <row r="50" spans="2:2" ht="15.6">
      <c r="B50" s="105" t="s">
        <v>1039</v>
      </c>
    </row>
    <row r="51" spans="2:2" ht="15.6">
      <c r="B51" s="105" t="s">
        <v>1067</v>
      </c>
    </row>
    <row r="52" spans="2:2" ht="15.6">
      <c r="B52" s="105" t="s">
        <v>1041</v>
      </c>
    </row>
    <row r="53" spans="2:2">
      <c r="B53" s="104" t="s">
        <v>1068</v>
      </c>
    </row>
    <row r="54" spans="2:2">
      <c r="B54" s="104" t="s">
        <v>1069</v>
      </c>
    </row>
    <row r="55" spans="2:2" ht="15.6">
      <c r="B55" s="105" t="s">
        <v>1039</v>
      </c>
    </row>
    <row r="56" spans="2:2" ht="15.6">
      <c r="B56" s="105" t="s">
        <v>1070</v>
      </c>
    </row>
    <row r="57" spans="2:2" ht="15.6">
      <c r="B57" s="105" t="s">
        <v>1041</v>
      </c>
    </row>
    <row r="58" spans="2:2">
      <c r="B58" s="104" t="s">
        <v>1071</v>
      </c>
    </row>
    <row r="59" spans="2:2">
      <c r="B59" s="104" t="s">
        <v>1072</v>
      </c>
    </row>
    <row r="60" spans="2:2" ht="15.6">
      <c r="B60" s="105" t="s">
        <v>1039</v>
      </c>
    </row>
    <row r="61" spans="2:2" ht="15.6">
      <c r="B61" s="105" t="s">
        <v>1073</v>
      </c>
    </row>
    <row r="62" spans="2:2" ht="15.6">
      <c r="B62" s="105" t="s">
        <v>1041</v>
      </c>
    </row>
    <row r="63" spans="2:2">
      <c r="B63" s="104" t="s">
        <v>1074</v>
      </c>
    </row>
    <row r="64" spans="2:2">
      <c r="B64" s="104" t="s">
        <v>1075</v>
      </c>
    </row>
    <row r="65" spans="2:2" ht="15.6">
      <c r="B65" s="105" t="s">
        <v>1039</v>
      </c>
    </row>
    <row r="66" spans="2:2" ht="15.6">
      <c r="B66" s="105" t="s">
        <v>1076</v>
      </c>
    </row>
    <row r="67" spans="2:2" ht="15.6">
      <c r="B67" s="105" t="s">
        <v>1041</v>
      </c>
    </row>
    <row r="68" spans="2:2">
      <c r="B68" s="104" t="s">
        <v>1077</v>
      </c>
    </row>
    <row r="69" spans="2:2">
      <c r="B69" s="104" t="s">
        <v>1078</v>
      </c>
    </row>
    <row r="70" spans="2:2" ht="15.6">
      <c r="B70" s="105" t="s">
        <v>1039</v>
      </c>
    </row>
    <row r="71" spans="2:2" ht="15.6">
      <c r="B71" s="105" t="s">
        <v>1079</v>
      </c>
    </row>
    <row r="72" spans="2:2" ht="15.6">
      <c r="B72" s="105" t="s">
        <v>1041</v>
      </c>
    </row>
    <row r="73" spans="2:2">
      <c r="B73" s="104" t="s">
        <v>1080</v>
      </c>
    </row>
    <row r="74" spans="2:2">
      <c r="B74" s="104" t="s">
        <v>1081</v>
      </c>
    </row>
    <row r="75" spans="2:2" ht="15.6">
      <c r="B75" s="105" t="s">
        <v>1039</v>
      </c>
    </row>
    <row r="76" spans="2:2" ht="15.6">
      <c r="B76" s="105" t="s">
        <v>1082</v>
      </c>
    </row>
    <row r="77" spans="2:2" ht="15.6">
      <c r="B77" s="105" t="s">
        <v>1041</v>
      </c>
    </row>
    <row r="78" spans="2:2">
      <c r="B78" s="104" t="s">
        <v>1083</v>
      </c>
    </row>
    <row r="79" spans="2:2">
      <c r="B79" s="104" t="s">
        <v>1084</v>
      </c>
    </row>
    <row r="80" spans="2:2" ht="15.6">
      <c r="B80" s="105" t="s">
        <v>1039</v>
      </c>
    </row>
    <row r="81" spans="2:2" ht="15.6">
      <c r="B81" s="105" t="s">
        <v>1085</v>
      </c>
    </row>
    <row r="82" spans="2:2" ht="15.6">
      <c r="B82" s="105" t="s">
        <v>1041</v>
      </c>
    </row>
    <row r="83" spans="2:2">
      <c r="B83" s="104" t="s">
        <v>1086</v>
      </c>
    </row>
    <row r="84" spans="2:2">
      <c r="B84" s="104" t="s">
        <v>1087</v>
      </c>
    </row>
    <row r="85" spans="2:2" ht="15.6">
      <c r="B85" s="105" t="s">
        <v>1039</v>
      </c>
    </row>
    <row r="86" spans="2:2" ht="15.6">
      <c r="B86" s="105" t="s">
        <v>1088</v>
      </c>
    </row>
    <row r="87" spans="2:2" ht="15.6">
      <c r="B87" s="105" t="s">
        <v>1041</v>
      </c>
    </row>
    <row r="88" spans="2:2">
      <c r="B88" s="104" t="s">
        <v>1089</v>
      </c>
    </row>
    <row r="89" spans="2:2">
      <c r="B89" s="104" t="s">
        <v>1090</v>
      </c>
    </row>
    <row r="90" spans="2:2" ht="15.6">
      <c r="B90" s="105" t="s">
        <v>1039</v>
      </c>
    </row>
    <row r="91" spans="2:2" ht="15.6">
      <c r="B91" s="105" t="s">
        <v>1091</v>
      </c>
    </row>
    <row r="92" spans="2:2" ht="15.6">
      <c r="B92" s="105" t="s">
        <v>1041</v>
      </c>
    </row>
    <row r="93" spans="2:2">
      <c r="B93" s="104" t="s">
        <v>1092</v>
      </c>
    </row>
    <row r="94" spans="2:2">
      <c r="B94" s="104" t="s">
        <v>1093</v>
      </c>
    </row>
    <row r="95" spans="2:2" ht="15.6">
      <c r="B95" s="105" t="s">
        <v>1039</v>
      </c>
    </row>
    <row r="96" spans="2:2" ht="15.6">
      <c r="B96" s="105" t="s">
        <v>1094</v>
      </c>
    </row>
    <row r="97" spans="2:2" ht="15.6">
      <c r="B97" s="105" t="s">
        <v>1041</v>
      </c>
    </row>
    <row r="98" spans="2:2">
      <c r="B98" s="104" t="s">
        <v>1095</v>
      </c>
    </row>
    <row r="99" spans="2:2">
      <c r="B99" s="104" t="s">
        <v>1096</v>
      </c>
    </row>
    <row r="100" spans="2:2" ht="15.6">
      <c r="B100" s="105" t="s">
        <v>1039</v>
      </c>
    </row>
    <row r="101" spans="2:2" ht="15.6">
      <c r="B101" s="105" t="s">
        <v>1097</v>
      </c>
    </row>
    <row r="102" spans="2:2" ht="15.6">
      <c r="B102" s="105" t="s">
        <v>1041</v>
      </c>
    </row>
    <row r="103" spans="2:2">
      <c r="B103" s="104" t="s">
        <v>1098</v>
      </c>
    </row>
    <row r="104" spans="2:2">
      <c r="B104" s="104" t="s">
        <v>1099</v>
      </c>
    </row>
    <row r="105" spans="2:2" ht="15.6">
      <c r="B105" s="105" t="s">
        <v>1039</v>
      </c>
    </row>
    <row r="106" spans="2:2" ht="15.6">
      <c r="B106" s="105" t="s">
        <v>1100</v>
      </c>
    </row>
    <row r="107" spans="2:2" ht="15.6">
      <c r="B107" s="105" t="s">
        <v>1041</v>
      </c>
    </row>
    <row r="108" spans="2:2">
      <c r="B108" s="104" t="s">
        <v>1101</v>
      </c>
    </row>
  </sheetData>
  <hyperlinks>
    <hyperlink ref="B4" r:id="rId1" tooltip="if ($form.getValue('/my:myFields/my:Form_Only_Fields/my:Pringles') == 'No') { _x000a_ $form.setValue('/my:myFields/my:Form_Only_Fields/my:Draft_Material_Desc',concat($form.getValue('/my:myFields/my:Form_Only_Fields/my:Brand_Abbr'),&quot; &quot;, $form.getValue('/my:myFie" display="javascript:void(0);" xr:uid="{A7C6EC7B-51B4-47D9-8F22-149DADB50215}"/>
    <hyperlink ref="B8" r:id="rId2" tooltip="/my:myFields/my:Form_Only_Fields/my:Draft_Material_Desc" display="javascript:void(0);" xr:uid="{196AB29F-ADC2-4844-B229-C387941B74F4}"/>
    <hyperlink ref="B9" r:id="rId3" tooltip="if ($form.getValue('/my:myFields/my:Class_Fields/my:SUB_FOOD_FORM') !== '') { _x000a_ $form.setValue('/my:myFields/my:Form_Only_Fields/my:Draft_Material_Desc',concat($form.getValue('/my:myFields/my:Form_Only_Fields/my:Draft_Material_Desc'),$form.getValue('/my:m" display="javascript:void(0);" xr:uid="{2C4BF91B-D015-4ACD-BB94-A9F2552193B6}"/>
    <hyperlink ref="B13" r:id="rId4" tooltip="/my:myFields/my:Form_Only_Fields/my:Draft_Material_Desc" display="javascript:void(0);" xr:uid="{2F9DEC89-5FBE-41A7-854A-563B059C687B}"/>
    <hyperlink ref="B14" r:id="rId5" tooltip="if ($form.getValue('/my:myFields/my:Form_Only_Fields/my:Pringles') == &quot;No&quot; &amp;&amp; $form.getValue('/my:myFields/my:Form_Only_Fields/my:Display_Vehicle') === '') { _x000a_ $form.setValue('/my:myFields/my:Form_Only_Fields/my:Draft_Material_Desc',concat($form.getValue(" display="javascript:void(0);" xr:uid="{DFB5725A-216F-4DD4-B6CC-FAF480ADE1C2}"/>
    <hyperlink ref="B18" r:id="rId6" tooltip="/my:myFields/my:Form_Only_Fields/my:Draft_Material_Desc" display="javascript:void(0);" xr:uid="{370158A4-9FA5-4AA0-81B6-5F041927010C}"/>
    <hyperlink ref="B19" r:id="rId7" tooltip="if ($form.getValue('/my:myFields/my:Form_Only_Fields/my:Pringles') == &quot;No&quot; &amp;&amp; $form.getValue('/my:myFields/my:Form_Only_Fields/my:Display_Vehicle') !== '') { _x000a_ $form.setValue('/my:myFields/my:Form_Only_Fields/my:Draft_Material_Desc',concat($form.getValue(" display="javascript:void(0);" xr:uid="{9A915C07-C647-4EDD-8035-2E81FC0CBDBC}"/>
    <hyperlink ref="B23" r:id="rId8" tooltip="/my:myFields/my:Form_Only_Fields/my:Draft_Material_Desc" display="javascript:void(0);" xr:uid="{86D430D1-7C19-43DB-97AA-36655F45401B}"/>
    <hyperlink ref="B24" r:id="rId9" tooltip="if ($form.getValue('/my:myFields/my:Form_Only_Fields/my:Pringles') == &quot;No&quot; &amp;&amp; $form.getValue('/my:myFields/my:Form_Only_Fields/my:Promo_Short_Desc') !== '') { _x000a_ $form.setValue('/my:myFields/my:Form_Only_Fields/my:Draft_Material_Desc',concat($form.getValue" display="javascript:void(0);" xr:uid="{A463443B-022A-4CD0-93AA-65A1908DD901}"/>
    <hyperlink ref="B28" r:id="rId10" tooltip="/my:myFields/my:Form_Only_Fields/my:Draft_Material_Desc" display="javascript:void(0);" xr:uid="{AEEDA6D2-3843-4B2D-B6AD-1A02966D32A5}"/>
    <hyperlink ref="B29" r:id="rId11" tooltip="if ($form.getValue('/my:myFields/my:Form_Only_Fields/my:Pringles') == &quot;No&quot; &amp;&amp; $form.getValue('/my:myFields/my:Form_Only_Fields/my:Desig_Cust_Abbr_In_Desc') == &quot;Yes&quot;) { _x000a_ $form.setValue('/my:myFields/my:Form_Only_Fields/my:Draft_Material_Desc',concat($form" display="javascript:void(0);" xr:uid="{55D9CD92-22A5-4DFE-8137-03F0348066F4}"/>
    <hyperlink ref="B33" r:id="rId12" tooltip="/my:myFields/my:Form_Only_Fields/my:Draft_Material_Desc" display="javascript:void(0);" xr:uid="{BAE428F8-C00D-4D22-BF98-4D5C8D159249}"/>
    <hyperlink ref="B34" r:id="rId13" tooltip="if ($form.getValue('/my:myFields/my:Form_Only_Fields/my:Pringles') == &quot;No&quot; &amp;&amp; $form.getValue('/my:myFields/my:Form_Only_Fields/my:Special_Pack_Type') !== '') { _x000a_ $form.setValue('/my:myFields/my:Form_Only_Fields/my:Draft_Material_Desc',concat($form.getValu" display="javascript:void(0);" xr:uid="{DC1CF63A-0A93-46CF-A159-5036E5F8EEEC}"/>
    <hyperlink ref="B38" r:id="rId14" tooltip="/my:myFields/my:Form_Only_Fields/my:Draft_Material_Desc" display="javascript:void(0);" xr:uid="{57F4A328-7141-4566-AA94-213A8E0CFCB3}"/>
    <hyperlink ref="B39" r:id="rId15" tooltip="if ($form.getValue('/my:myFields/my:Form_Only_Fields/my:Pringles') == &quot;No&quot; &amp;&amp; $form.getValue('/my:myFields/my:Form_Only_Fields/my:Promo_Short_Desc') !== '') { _x000a_ $form.setValue('/my:myFields/my:Form_Only_Fields/my:Draft_Material_Desc',concat($form.getValue" display="javascript:void(0);" xr:uid="{6B0E8C1D-4151-4143-ABB7-56C3B144CF43}"/>
    <hyperlink ref="B43" r:id="rId16" tooltip="/my:myFields/my:Form_Only_Fields/my:Draft_Material_Desc" display="javascript:void(0);" xr:uid="{B5A8BDE2-716E-4ACB-8041-66E4CF98F92E}"/>
    <hyperlink ref="B44" r:id="rId17" tooltip="if ($form.getValue('/my:myFields/my:Form_Only_Fields/my:Pringles') == 'Yes') { _x000a_ $form.setValue('/my:myFields/my:Form_Only_Fields/my:Draft_Material_Desc',concat(&quot;PRG &quot;,$form.getValue('/my:myFields/my:Form_Only_Fields/my:Pringles_Country_Sold_In'),&quot; &quot;,$for" display="javascript:void(0);" xr:uid="{A0C5F934-D6A0-492C-A3FB-0D6660D74BA3}"/>
    <hyperlink ref="B48" r:id="rId18" tooltip="/my:myFields/my:Form_Only_Fields/my:Draft_Material_Desc" display="javascript:void(0);" xr:uid="{FE8E60E9-6A10-4A52-8859-F71B9F40ABF7}"/>
    <hyperlink ref="B49" r:id="rId19" tooltip="if ($form.getValue('/my:myFields/my:Form_Only_Fields/my:Promo_Short_Desc') !== '' &amp;&amp; $form.getValue('/my:myFields/my:Form_Only_Fields/my:Pringles') == 'Yes') { _x000a_ $form.setValue('/my:myFields/my:Form_Only_Fields/my:Draft_Material_Desc',concat($form.getValu" display="javascript:void(0);" xr:uid="{6FBD7BD7-D95A-45B0-994B-788651EF0FF8}"/>
    <hyperlink ref="B53" r:id="rId20" tooltip="/my:myFields/my:Form_Only_Fields/my:Draft_Material_Desc" display="javascript:void(0);" xr:uid="{E91D8A83-C03E-4FD0-BB58-9F52A970C9D9}"/>
    <hyperlink ref="B54" r:id="rId21" tooltip="if ($form.getValue('/my:myFields/my:Form_Only_Fields/my:Desig_Cust_Abbr_In_Desc') !== '' &amp;&amp; $form.getValue('/my:myFields/my:Form_Only_Fields/my:Pringles') == 'Yes') { _x000a_ $form.setValue('/my:myFields/my:Form_Only_Fields/my:Draft_Material_Desc',concat($form." display="javascript:void(0);" xr:uid="{A24C42C6-01B0-402D-9ADD-BFBE794D5970}"/>
    <hyperlink ref="B58" r:id="rId22" tooltip="/my:myFields/my:Form_Only_Fields/my:Draft_Material_Desc" display="javascript:void(0);" xr:uid="{1206F3D4-8926-4CC4-B8CF-2EEFAAAFF885}"/>
    <hyperlink ref="B59" r:id="rId23" tooltip="if ($form.getValue('/my:myFields/my:Form_Only_Fields/my:Setup_Type').toString().match(/Single/) !== null) { _x000a_ $form.setValue('/my:myFields/my:Form_Only_Fields/my:Draft_Material_Desc',concat($form.getValue('/my:myFields/my:Form_Only_Fields/my:Draft_Materia" display="javascript:void(0);" xr:uid="{B3E54119-DC40-416F-9263-0A83CEC69EFF}"/>
    <hyperlink ref="B63" r:id="rId24" tooltip="/my:myFields/my:Form_Only_Fields/my:Draft_Material_Desc" display="javascript:void(0);" xr:uid="{580C688D-A5D2-497B-B466-CF4F8487C4BE}"/>
    <hyperlink ref="B64" r:id="rId25" tooltip="if ($form.getValue('/my:myFields/my:Form_Only_Fields/my:Setup_Type').toString().match(/Club/) !== null) { _x000a_ $form.setValue('/my:myFields/my:Form_Only_Fields/my:Draft_Material_Desc',concat($form.getValue('/my:myFields/my:Form_Only_Fields/my:Draft_Material_" display="javascript:void(0);" xr:uid="{4192ACA3-C1FE-48A0-8905-C36C46509479}"/>
    <hyperlink ref="B68" r:id="rId26" tooltip="/my:myFields/my:Form_Only_Fields/my:Draft_Material_Desc" display="javascript:void(0);" xr:uid="{001EE323-702B-4D21-8510-425D72257A0B}"/>
    <hyperlink ref="B69" r:id="rId27" tooltip="if ($form.getValue('/my:myFields/my:Form_Only_Fields/my:Setup_Type').toString().match(/Bulk/) !== null) { _x000a_ $form.setValue('/my:myFields/my:Form_Only_Fields/my:Draft_Material_Desc',concat($form.getValue('/my:myFields/my:Form_Only_Fields/my:Draft_Material_" display="javascript:void(0);" xr:uid="{AE05D031-E539-47C6-B198-813DCDA6755C}"/>
    <hyperlink ref="B73" r:id="rId28" tooltip="/my:myFields/my:Form_Only_Fields/my:Draft_Material_Desc" display="javascript:void(0);" xr:uid="{DBBF8184-571C-47C1-A534-81885B4DDB19}"/>
    <hyperlink ref="B74" r:id="rId29" tooltip="if ($form.getValue('/my:myFields/my:Form_Only_Fields/my:Setup_Type').toString().match(/EComm/) !== null) { _x000a_ $form.setValue('/my:myFields/my:Form_Only_Fields/my:Draft_Material_Desc',concat($form.getValue('/my:myFields/my:Form_Only_Fields/my:Draft_Material" display="javascript:void(0);" xr:uid="{35241AA6-BF96-409B-AB71-4FF890832EF8}"/>
    <hyperlink ref="B78" r:id="rId30" tooltip="/my:myFields/my:Form_Only_Fields/my:Draft_Material_Desc" display="javascript:void(0);" xr:uid="{1C8CE46A-C2D2-4117-ACCD-BC5753190AA1}"/>
    <hyperlink ref="B79" r:id="rId31" tooltip="if ($form.getValue('/my:myFields/my:Form_Only_Fields/my:Setup_Type').toString().match(/Repack/) !== null) { _x000a_ $form.setValue('/my:myFields/my:Form_Only_Fields/my:Draft_Material_Desc',concat($form.getValue('/my:myFields/my:Form_Only_Fields/my:Draft_Materia" display="javascript:void(0);" xr:uid="{3B4B4ED8-F454-42E9-B5DE-DA64F8335489}"/>
    <hyperlink ref="B83" r:id="rId32" tooltip="/my:myFields/my:Form_Only_Fields/my:Draft_Material_Desc" display="javascript:void(0);" xr:uid="{80AD726B-C1F9-4C11-8623-D3848DD4BD17}"/>
    <hyperlink ref="B84" r:id="rId33" tooltip="if ($form.getValue('/my:myFields/my:Form_Only_Fields/my:Setup_Type').toString().match(/Rainbow/) !== null) { _x000a_ $form.setValue('/my:myFields/my:Form_Only_Fields/my:Draft_Material_Desc',concat($form.getValue('/my:myFields/my:Form_Only_Fields/my:Draft_Materi" display="javascript:void(0);" xr:uid="{860F695B-6196-402C-8653-AAB900F6DF1E}"/>
    <hyperlink ref="B88" r:id="rId34" tooltip="/my:myFields/my:Form_Only_Fields/my:Draft_Material_Desc" display="javascript:void(0);" xr:uid="{0BF0B7F4-7C73-466F-B820-F5E4D2D165A8}"/>
    <hyperlink ref="B89" r:id="rId35" tooltip="if ($form.getValue('/my:myFields/my:Form_Only_Fields/my:Setup_Type').toString().match(/WIP\ Case/) !== null) { _x000a_ $form.setValue('/my:myFields/my:Form_Only_Fields/my:Draft_Material_Desc',concat($form.getValue('/my:myFields/my:Form_Only_Fields/my:Draft_Mate" display="javascript:void(0);" xr:uid="{3C8AC157-643B-4DE7-A889-129B1ADE18A4}"/>
    <hyperlink ref="B93" r:id="rId36" tooltip="/my:myFields/my:Form_Only_Fields/my:Draft_Material_Desc" display="javascript:void(0);" xr:uid="{0C27DAB2-D53D-4E47-88F5-8DC7D4F9B167}"/>
    <hyperlink ref="B94" r:id="rId37" tooltip="if ($form.getValue('/my:myFields/my:Form_Only_Fields/my:Setup_Type').toString().match(/^WIP\ Tote/) !== null) { _x000a_ $form.setValue('/my:myFields/my:Form_Only_Fields/my:Draft_Material_Desc',concat($form.getValue('/my:myFields/my:Form_Only_Fields/my:Draft_Mat" display="javascript:void(0);" xr:uid="{8B42E2DD-A80C-4CA7-A300-25E212F67654}"/>
    <hyperlink ref="B98" r:id="rId38" tooltip="/my:myFields/my:Form_Only_Fields/my:Draft_Material_Desc" display="javascript:void(0);" xr:uid="{A20EBAD5-48BF-4F1A-B097-7E44CD7355C0}"/>
    <hyperlink ref="B99" r:id="rId39" tooltip="if ($form.getValue('/my:myFields/my:Form_Only_Fields/my:Variety_Pack_Question') == 'Yes') { _x000a_ $form.setValue('/my:myFields/my:Form_Only_Fields/my:Draft_Material_Desc',concat($form.getValue('/my:myFields/my:Form_Only_Fields/my:Draft_Material_Desc'), ' VRTY" display="javascript:void(0);" xr:uid="{00E841FB-DBA8-4E96-862A-E96F132FC3FE}"/>
    <hyperlink ref="B103" r:id="rId40" tooltip="/my:myFields/my:Form_Only_Fields/my:Draft_Material_Desc" display="javascript:void(0);" xr:uid="{B0490789-EAD3-4334-8A1B-14E8DBE41550}"/>
    <hyperlink ref="B104" r:id="rId41" tooltip="if ($form.getValue('/my:myFields/my:Form_Only_Fields/my:Setup_Type').toString().match(/DTC\ Case/) !== null) { _x000a_ $form.setValue('/my:myFields/my:Form_Only_Fields/my:Draft_Material_Desc',concat($form.getValue('/my:myFields/my:Form_Only_Fields/my:Draft_Mate" display="javascript:void(0);" xr:uid="{DD23D0BC-3DF0-48B3-A76C-B86DEC900E0A}"/>
    <hyperlink ref="B108" r:id="rId42" tooltip="/my:myFields/my:Form_Only_Fields/my:Draft_Material_Desc" display="javascript:void(0);" xr:uid="{4141094B-77EE-4103-A895-8F9D54039A8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FFBF2-BDC7-4016-873E-4B851C48734B}">
  <sheetPr>
    <tabColor rgb="FF92D050"/>
  </sheetPr>
  <dimension ref="A1:F345"/>
  <sheetViews>
    <sheetView zoomScale="90" zoomScaleNormal="90" workbookViewId="0">
      <pane ySplit="1" topLeftCell="A304" activePane="bottomLeft" state="frozen"/>
      <selection pane="bottomLeft" activeCell="D13" sqref="D13"/>
    </sheetView>
  </sheetViews>
  <sheetFormatPr defaultColWidth="9.140625" defaultRowHeight="13.15"/>
  <cols>
    <col min="1" max="1" width="17.42578125" style="176" customWidth="1"/>
    <col min="2" max="2" width="28.85546875" style="176" customWidth="1"/>
    <col min="3" max="3" width="24" style="176" customWidth="1"/>
    <col min="4" max="4" width="27.85546875" style="176" customWidth="1"/>
    <col min="5" max="5" width="95.140625" style="166" customWidth="1"/>
    <col min="6" max="6" width="47.140625" style="166" customWidth="1"/>
    <col min="7" max="16384" width="9.140625" style="166"/>
  </cols>
  <sheetData>
    <row r="1" spans="1:6" s="165" customFormat="1">
      <c r="A1" s="182" t="s">
        <v>1102</v>
      </c>
      <c r="B1" s="197" t="s">
        <v>174</v>
      </c>
      <c r="C1" s="197" t="s">
        <v>175</v>
      </c>
      <c r="D1" s="182" t="s">
        <v>1103</v>
      </c>
      <c r="E1" s="198" t="s">
        <v>1104</v>
      </c>
      <c r="F1" s="198"/>
    </row>
    <row r="2" spans="1:6">
      <c r="A2" s="199">
        <v>1001</v>
      </c>
      <c r="B2" s="200" t="s">
        <v>200</v>
      </c>
      <c r="C2" s="201" t="s">
        <v>201</v>
      </c>
      <c r="D2" s="202" t="s">
        <v>202</v>
      </c>
      <c r="E2" s="119" t="s">
        <v>1105</v>
      </c>
      <c r="F2" s="119"/>
    </row>
    <row r="3" spans="1:6">
      <c r="A3" s="199">
        <v>1002</v>
      </c>
      <c r="B3" s="200" t="s">
        <v>200</v>
      </c>
      <c r="C3" s="201" t="s">
        <v>201</v>
      </c>
      <c r="D3" s="202" t="s">
        <v>210</v>
      </c>
      <c r="E3" s="119" t="s">
        <v>1106</v>
      </c>
      <c r="F3" s="119"/>
    </row>
    <row r="4" spans="1:6">
      <c r="A4" s="199">
        <v>1003</v>
      </c>
      <c r="B4" s="200" t="s">
        <v>200</v>
      </c>
      <c r="C4" s="201" t="s">
        <v>201</v>
      </c>
      <c r="D4" s="202" t="s">
        <v>212</v>
      </c>
      <c r="E4" s="119" t="s">
        <v>1107</v>
      </c>
      <c r="F4" s="119"/>
    </row>
    <row r="5" spans="1:6">
      <c r="A5" s="199">
        <v>1004</v>
      </c>
      <c r="B5" s="200" t="s">
        <v>200</v>
      </c>
      <c r="C5" s="201" t="s">
        <v>201</v>
      </c>
      <c r="D5" s="202" t="s">
        <v>214</v>
      </c>
      <c r="E5" s="119" t="s">
        <v>1108</v>
      </c>
      <c r="F5" s="119"/>
    </row>
    <row r="6" spans="1:6">
      <c r="A6" s="199">
        <v>1005</v>
      </c>
      <c r="B6" s="200" t="s">
        <v>200</v>
      </c>
      <c r="C6" s="201" t="s">
        <v>216</v>
      </c>
      <c r="D6" s="202" t="s">
        <v>205</v>
      </c>
      <c r="E6" s="167" t="s">
        <v>1109</v>
      </c>
      <c r="F6" s="119"/>
    </row>
    <row r="7" spans="1:6">
      <c r="A7" s="199">
        <v>1006</v>
      </c>
      <c r="B7" s="200" t="s">
        <v>200</v>
      </c>
      <c r="C7" s="201" t="s">
        <v>216</v>
      </c>
      <c r="D7" s="202" t="s">
        <v>218</v>
      </c>
      <c r="E7" s="168" t="s">
        <v>1110</v>
      </c>
      <c r="F7" s="119"/>
    </row>
    <row r="8" spans="1:6">
      <c r="A8" s="199">
        <v>1305</v>
      </c>
      <c r="B8" s="200" t="s">
        <v>200</v>
      </c>
      <c r="C8" s="201" t="s">
        <v>216</v>
      </c>
      <c r="D8" s="202" t="s">
        <v>16</v>
      </c>
      <c r="E8" s="168" t="s">
        <v>1111</v>
      </c>
      <c r="F8" s="119"/>
    </row>
    <row r="9" spans="1:6" ht="26.45">
      <c r="A9" s="199">
        <v>1007</v>
      </c>
      <c r="B9" s="200" t="s">
        <v>200</v>
      </c>
      <c r="C9" s="201" t="s">
        <v>10</v>
      </c>
      <c r="D9" s="202" t="s">
        <v>12</v>
      </c>
      <c r="E9" s="168" t="s">
        <v>1112</v>
      </c>
      <c r="F9" s="119"/>
    </row>
    <row r="10" spans="1:6">
      <c r="A10" s="199">
        <v>1008</v>
      </c>
      <c r="B10" s="200" t="s">
        <v>200</v>
      </c>
      <c r="C10" s="201" t="s">
        <v>10</v>
      </c>
      <c r="D10" s="202" t="s">
        <v>11</v>
      </c>
      <c r="E10" s="168" t="s">
        <v>1113</v>
      </c>
      <c r="F10" s="119"/>
    </row>
    <row r="11" spans="1:6" ht="26.45">
      <c r="A11" s="199">
        <v>1009</v>
      </c>
      <c r="B11" s="200" t="s">
        <v>200</v>
      </c>
      <c r="C11" s="201" t="s">
        <v>10</v>
      </c>
      <c r="D11" s="202" t="s">
        <v>13</v>
      </c>
      <c r="E11" s="168" t="s">
        <v>1114</v>
      </c>
      <c r="F11" s="119"/>
    </row>
    <row r="12" spans="1:6" ht="39.6">
      <c r="A12" s="199">
        <v>1010</v>
      </c>
      <c r="B12" s="200" t="s">
        <v>200</v>
      </c>
      <c r="C12" s="201" t="s">
        <v>10</v>
      </c>
      <c r="D12" s="202" t="s">
        <v>14</v>
      </c>
      <c r="E12" s="203" t="s">
        <v>1115</v>
      </c>
      <c r="F12" s="119"/>
    </row>
    <row r="13" spans="1:6">
      <c r="A13" s="199">
        <v>1011</v>
      </c>
      <c r="B13" s="200" t="s">
        <v>200</v>
      </c>
      <c r="C13" s="201" t="s">
        <v>10</v>
      </c>
      <c r="D13" s="202" t="s">
        <v>241</v>
      </c>
      <c r="E13" s="168" t="s">
        <v>1116</v>
      </c>
      <c r="F13" s="119"/>
    </row>
    <row r="14" spans="1:6" ht="26.45">
      <c r="A14" s="199">
        <v>1012</v>
      </c>
      <c r="B14" s="200" t="s">
        <v>200</v>
      </c>
      <c r="C14" s="201" t="s">
        <v>10</v>
      </c>
      <c r="D14" s="202" t="s">
        <v>244</v>
      </c>
      <c r="E14" s="204" t="s">
        <v>1117</v>
      </c>
      <c r="F14" s="119"/>
    </row>
    <row r="15" spans="1:6">
      <c r="A15" s="199">
        <v>1013</v>
      </c>
      <c r="B15" s="200" t="s">
        <v>200</v>
      </c>
      <c r="C15" s="201" t="s">
        <v>10</v>
      </c>
      <c r="D15" s="202" t="s">
        <v>40</v>
      </c>
      <c r="E15" s="169" t="s">
        <v>1118</v>
      </c>
      <c r="F15" s="119"/>
    </row>
    <row r="16" spans="1:6">
      <c r="A16" s="199">
        <v>1014</v>
      </c>
      <c r="B16" s="200" t="s">
        <v>200</v>
      </c>
      <c r="C16" s="201" t="s">
        <v>10</v>
      </c>
      <c r="D16" s="202" t="s">
        <v>15</v>
      </c>
      <c r="E16" s="169" t="s">
        <v>1119</v>
      </c>
      <c r="F16" s="119"/>
    </row>
    <row r="17" spans="1:5" ht="26.45">
      <c r="A17" s="199">
        <v>1015</v>
      </c>
      <c r="B17" s="200" t="s">
        <v>200</v>
      </c>
      <c r="C17" s="201" t="s">
        <v>10</v>
      </c>
      <c r="D17" s="202" t="s">
        <v>45</v>
      </c>
      <c r="E17" s="204" t="s">
        <v>1120</v>
      </c>
    </row>
    <row r="18" spans="1:5">
      <c r="A18" s="199">
        <v>1016</v>
      </c>
      <c r="B18" s="200" t="s">
        <v>200</v>
      </c>
      <c r="C18" s="201" t="s">
        <v>10</v>
      </c>
      <c r="D18" s="202" t="s">
        <v>49</v>
      </c>
      <c r="E18" s="205" t="s">
        <v>1121</v>
      </c>
    </row>
    <row r="19" spans="1:5" ht="26.45">
      <c r="A19" s="199">
        <v>1017</v>
      </c>
      <c r="B19" s="200" t="s">
        <v>200</v>
      </c>
      <c r="C19" s="201" t="s">
        <v>10</v>
      </c>
      <c r="D19" s="202" t="s">
        <v>52</v>
      </c>
      <c r="E19" s="168" t="s">
        <v>1122</v>
      </c>
    </row>
    <row r="20" spans="1:5" ht="26.45">
      <c r="A20" s="199">
        <v>1018</v>
      </c>
      <c r="B20" s="200" t="s">
        <v>200</v>
      </c>
      <c r="C20" s="201" t="s">
        <v>10</v>
      </c>
      <c r="D20" s="202" t="s">
        <v>266</v>
      </c>
      <c r="E20" s="168" t="s">
        <v>1123</v>
      </c>
    </row>
    <row r="21" spans="1:5" ht="26.45">
      <c r="A21" s="199">
        <v>1019</v>
      </c>
      <c r="B21" s="200" t="s">
        <v>200</v>
      </c>
      <c r="C21" s="201" t="s">
        <v>94</v>
      </c>
      <c r="D21" s="202" t="s">
        <v>95</v>
      </c>
      <c r="E21" s="170" t="s">
        <v>1124</v>
      </c>
    </row>
    <row r="22" spans="1:5">
      <c r="A22" s="199">
        <v>1020</v>
      </c>
      <c r="B22" s="200" t="s">
        <v>200</v>
      </c>
      <c r="C22" s="201" t="s">
        <v>94</v>
      </c>
      <c r="D22" s="202" t="s">
        <v>96</v>
      </c>
      <c r="E22" s="170" t="s">
        <v>1125</v>
      </c>
    </row>
    <row r="23" spans="1:5">
      <c r="A23" s="199">
        <v>1021</v>
      </c>
      <c r="B23" s="200" t="s">
        <v>200</v>
      </c>
      <c r="C23" s="201" t="s">
        <v>94</v>
      </c>
      <c r="D23" s="202" t="s">
        <v>102</v>
      </c>
      <c r="E23" s="170" t="s">
        <v>1126</v>
      </c>
    </row>
    <row r="24" spans="1:5">
      <c r="A24" s="199">
        <v>1022</v>
      </c>
      <c r="B24" s="200" t="s">
        <v>200</v>
      </c>
      <c r="C24" s="201" t="s">
        <v>94</v>
      </c>
      <c r="D24" s="202" t="s">
        <v>97</v>
      </c>
      <c r="E24" s="170" t="s">
        <v>1127</v>
      </c>
    </row>
    <row r="25" spans="1:5">
      <c r="A25" s="199">
        <v>1023</v>
      </c>
      <c r="B25" s="200" t="s">
        <v>200</v>
      </c>
      <c r="C25" s="201" t="s">
        <v>94</v>
      </c>
      <c r="D25" s="202" t="s">
        <v>98</v>
      </c>
      <c r="E25" s="170" t="s">
        <v>1128</v>
      </c>
    </row>
    <row r="26" spans="1:5">
      <c r="A26" s="199">
        <v>1024</v>
      </c>
      <c r="B26" s="200" t="s">
        <v>200</v>
      </c>
      <c r="C26" s="201" t="s">
        <v>94</v>
      </c>
      <c r="D26" s="202" t="s">
        <v>107</v>
      </c>
      <c r="E26" s="170" t="s">
        <v>1129</v>
      </c>
    </row>
    <row r="27" spans="1:5" ht="39.6">
      <c r="A27" s="199">
        <v>1025</v>
      </c>
      <c r="B27" s="200" t="s">
        <v>200</v>
      </c>
      <c r="C27" s="201" t="s">
        <v>108</v>
      </c>
      <c r="D27" s="202" t="s">
        <v>109</v>
      </c>
      <c r="E27" s="168" t="s">
        <v>1130</v>
      </c>
    </row>
    <row r="28" spans="1:5" ht="52.9">
      <c r="A28" s="199">
        <v>1026</v>
      </c>
      <c r="B28" s="200" t="s">
        <v>200</v>
      </c>
      <c r="C28" s="201" t="s">
        <v>285</v>
      </c>
      <c r="D28" s="202" t="s">
        <v>286</v>
      </c>
      <c r="E28" s="203" t="s">
        <v>1131</v>
      </c>
    </row>
    <row r="29" spans="1:5" ht="26.45">
      <c r="A29" s="199">
        <v>1027</v>
      </c>
      <c r="B29" s="200" t="s">
        <v>200</v>
      </c>
      <c r="C29" s="201" t="s">
        <v>285</v>
      </c>
      <c r="D29" s="202" t="s">
        <v>291</v>
      </c>
      <c r="E29" s="168" t="s">
        <v>1132</v>
      </c>
    </row>
    <row r="30" spans="1:5" s="172" customFormat="1" ht="66">
      <c r="A30" s="206">
        <v>1028</v>
      </c>
      <c r="B30" s="207" t="s">
        <v>200</v>
      </c>
      <c r="C30" s="208" t="s">
        <v>285</v>
      </c>
      <c r="D30" s="208" t="s">
        <v>112</v>
      </c>
      <c r="E30" s="171" t="s">
        <v>1133</v>
      </c>
    </row>
    <row r="31" spans="1:5" ht="26.45">
      <c r="A31" s="199">
        <v>1029</v>
      </c>
      <c r="B31" s="200" t="s">
        <v>200</v>
      </c>
      <c r="C31" s="201" t="s">
        <v>285</v>
      </c>
      <c r="D31" s="202" t="s">
        <v>298</v>
      </c>
      <c r="E31" s="173" t="s">
        <v>1134</v>
      </c>
    </row>
    <row r="32" spans="1:5">
      <c r="A32" s="199">
        <v>1030</v>
      </c>
      <c r="B32" s="200" t="s">
        <v>200</v>
      </c>
      <c r="C32" s="201" t="s">
        <v>285</v>
      </c>
      <c r="D32" s="202" t="s">
        <v>301</v>
      </c>
      <c r="E32" s="168" t="s">
        <v>1135</v>
      </c>
    </row>
    <row r="33" spans="1:6" ht="52.9">
      <c r="A33" s="199">
        <v>1031</v>
      </c>
      <c r="B33" s="200" t="s">
        <v>200</v>
      </c>
      <c r="C33" s="201" t="s">
        <v>285</v>
      </c>
      <c r="D33" s="202" t="s">
        <v>305</v>
      </c>
      <c r="E33" s="168" t="s">
        <v>1136</v>
      </c>
      <c r="F33" s="119"/>
    </row>
    <row r="34" spans="1:6" ht="39.6">
      <c r="A34" s="199">
        <v>1032</v>
      </c>
      <c r="B34" s="200" t="s">
        <v>200</v>
      </c>
      <c r="C34" s="201" t="s">
        <v>285</v>
      </c>
      <c r="D34" s="202" t="s">
        <v>308</v>
      </c>
      <c r="E34" s="203" t="s">
        <v>1137</v>
      </c>
      <c r="F34" s="119"/>
    </row>
    <row r="35" spans="1:6" ht="39.6">
      <c r="A35" s="199">
        <v>1033</v>
      </c>
      <c r="B35" s="200" t="s">
        <v>200</v>
      </c>
      <c r="C35" s="201" t="s">
        <v>285</v>
      </c>
      <c r="D35" s="202" t="s">
        <v>314</v>
      </c>
      <c r="E35" s="204" t="s">
        <v>1138</v>
      </c>
      <c r="F35" s="119"/>
    </row>
    <row r="36" spans="1:6" ht="26.45">
      <c r="A36" s="199">
        <v>1034</v>
      </c>
      <c r="B36" s="200" t="s">
        <v>200</v>
      </c>
      <c r="C36" s="201" t="s">
        <v>285</v>
      </c>
      <c r="D36" s="202" t="s">
        <v>318</v>
      </c>
      <c r="E36" s="204" t="s">
        <v>1139</v>
      </c>
      <c r="F36" s="119"/>
    </row>
    <row r="37" spans="1:6" ht="26.45">
      <c r="A37" s="199">
        <v>1035</v>
      </c>
      <c r="B37" s="200" t="s">
        <v>200</v>
      </c>
      <c r="C37" s="201" t="s">
        <v>285</v>
      </c>
      <c r="D37" s="202" t="s">
        <v>322</v>
      </c>
      <c r="E37" s="168" t="s">
        <v>1140</v>
      </c>
      <c r="F37" s="119"/>
    </row>
    <row r="38" spans="1:6" ht="26.45">
      <c r="A38" s="199">
        <v>1036</v>
      </c>
      <c r="B38" s="200" t="s">
        <v>200</v>
      </c>
      <c r="C38" s="201" t="s">
        <v>285</v>
      </c>
      <c r="D38" s="202" t="s">
        <v>126</v>
      </c>
      <c r="E38" s="168" t="s">
        <v>1141</v>
      </c>
      <c r="F38" s="119"/>
    </row>
    <row r="39" spans="1:6">
      <c r="A39" s="199">
        <v>1037</v>
      </c>
      <c r="B39" s="200" t="s">
        <v>200</v>
      </c>
      <c r="C39" s="201" t="s">
        <v>285</v>
      </c>
      <c r="D39" s="202" t="s">
        <v>329</v>
      </c>
      <c r="E39" s="168" t="s">
        <v>1142</v>
      </c>
      <c r="F39" s="119"/>
    </row>
    <row r="40" spans="1:6" ht="26.45">
      <c r="A40" s="199">
        <v>1038</v>
      </c>
      <c r="B40" s="200" t="s">
        <v>200</v>
      </c>
      <c r="C40" s="201" t="s">
        <v>285</v>
      </c>
      <c r="D40" s="202" t="s">
        <v>129</v>
      </c>
      <c r="E40" s="168" t="s">
        <v>1143</v>
      </c>
      <c r="F40" s="119"/>
    </row>
    <row r="41" spans="1:6" ht="26.45">
      <c r="A41" s="199">
        <v>1039</v>
      </c>
      <c r="B41" s="200" t="s">
        <v>200</v>
      </c>
      <c r="C41" s="201" t="s">
        <v>285</v>
      </c>
      <c r="D41" s="202" t="s">
        <v>335</v>
      </c>
      <c r="E41" s="168" t="s">
        <v>1144</v>
      </c>
      <c r="F41" s="119"/>
    </row>
    <row r="42" spans="1:6" ht="26.45">
      <c r="A42" s="199">
        <v>1040</v>
      </c>
      <c r="B42" s="200" t="s">
        <v>200</v>
      </c>
      <c r="C42" s="201" t="s">
        <v>285</v>
      </c>
      <c r="D42" s="202" t="s">
        <v>131</v>
      </c>
      <c r="E42" s="168" t="s">
        <v>1145</v>
      </c>
      <c r="F42" s="119"/>
    </row>
    <row r="43" spans="1:6" ht="26.45">
      <c r="A43" s="199">
        <v>1041</v>
      </c>
      <c r="B43" s="200" t="s">
        <v>200</v>
      </c>
      <c r="C43" s="201" t="s">
        <v>285</v>
      </c>
      <c r="D43" s="202" t="s">
        <v>340</v>
      </c>
      <c r="E43" s="168" t="s">
        <v>1146</v>
      </c>
      <c r="F43" s="119"/>
    </row>
    <row r="44" spans="1:6" ht="39" customHeight="1">
      <c r="A44" s="199">
        <v>1304</v>
      </c>
      <c r="B44" s="201" t="s">
        <v>200</v>
      </c>
      <c r="C44" s="201" t="s">
        <v>285</v>
      </c>
      <c r="D44" s="202" t="s">
        <v>344</v>
      </c>
      <c r="E44" s="209" t="s">
        <v>1147</v>
      </c>
      <c r="F44" s="119"/>
    </row>
    <row r="45" spans="1:6" ht="48.75" customHeight="1">
      <c r="A45" s="199">
        <v>1042</v>
      </c>
      <c r="B45" s="200" t="s">
        <v>200</v>
      </c>
      <c r="C45" s="201" t="s">
        <v>135</v>
      </c>
      <c r="D45" s="202" t="s">
        <v>347</v>
      </c>
      <c r="E45" s="204" t="s">
        <v>1148</v>
      </c>
      <c r="F45" s="119"/>
    </row>
    <row r="46" spans="1:6">
      <c r="A46" s="199">
        <v>1088</v>
      </c>
      <c r="B46" s="200" t="s">
        <v>200</v>
      </c>
      <c r="C46" s="201" t="s">
        <v>135</v>
      </c>
      <c r="D46" s="202" t="s">
        <v>1149</v>
      </c>
      <c r="E46" s="119" t="s">
        <v>1150</v>
      </c>
      <c r="F46" s="119"/>
    </row>
    <row r="47" spans="1:6" ht="26.45">
      <c r="A47" s="199">
        <v>1043</v>
      </c>
      <c r="B47" s="200" t="s">
        <v>200</v>
      </c>
      <c r="C47" s="201" t="s">
        <v>135</v>
      </c>
      <c r="D47" s="202" t="s">
        <v>350</v>
      </c>
      <c r="E47" s="168" t="s">
        <v>1151</v>
      </c>
      <c r="F47" s="119"/>
    </row>
    <row r="48" spans="1:6" ht="26.45">
      <c r="A48" s="199">
        <v>1044</v>
      </c>
      <c r="B48" s="200" t="s">
        <v>200</v>
      </c>
      <c r="C48" s="201" t="s">
        <v>145</v>
      </c>
      <c r="D48" s="202" t="s">
        <v>147</v>
      </c>
      <c r="E48" s="170" t="s">
        <v>1152</v>
      </c>
      <c r="F48" s="221"/>
    </row>
    <row r="49" spans="1:6" ht="26.45">
      <c r="A49" s="199">
        <v>1045</v>
      </c>
      <c r="B49" s="200" t="s">
        <v>200</v>
      </c>
      <c r="C49" s="201" t="s">
        <v>145</v>
      </c>
      <c r="D49" s="202" t="s">
        <v>148</v>
      </c>
      <c r="E49" s="170" t="s">
        <v>1153</v>
      </c>
      <c r="F49" s="221"/>
    </row>
    <row r="50" spans="1:6" ht="39.6">
      <c r="A50" s="199">
        <v>1046</v>
      </c>
      <c r="B50" s="200" t="s">
        <v>200</v>
      </c>
      <c r="C50" s="201" t="s">
        <v>145</v>
      </c>
      <c r="D50" s="202" t="s">
        <v>149</v>
      </c>
      <c r="E50" s="170" t="s">
        <v>1154</v>
      </c>
      <c r="F50" s="221"/>
    </row>
    <row r="51" spans="1:6" ht="39.6">
      <c r="A51" s="199">
        <v>1047</v>
      </c>
      <c r="B51" s="200" t="s">
        <v>200</v>
      </c>
      <c r="C51" s="201" t="s">
        <v>145</v>
      </c>
      <c r="D51" s="202" t="s">
        <v>150</v>
      </c>
      <c r="E51" s="170" t="s">
        <v>1155</v>
      </c>
      <c r="F51" s="221"/>
    </row>
    <row r="52" spans="1:6" ht="26.45">
      <c r="A52" s="199">
        <v>1048</v>
      </c>
      <c r="B52" s="200" t="s">
        <v>200</v>
      </c>
      <c r="C52" s="201" t="s">
        <v>145</v>
      </c>
      <c r="D52" s="202" t="s">
        <v>151</v>
      </c>
      <c r="E52" s="170" t="s">
        <v>1156</v>
      </c>
      <c r="F52" s="221"/>
    </row>
    <row r="53" spans="1:6" ht="39.6">
      <c r="A53" s="199">
        <v>1049</v>
      </c>
      <c r="B53" s="200" t="s">
        <v>200</v>
      </c>
      <c r="C53" s="201" t="s">
        <v>145</v>
      </c>
      <c r="D53" s="202" t="s">
        <v>146</v>
      </c>
      <c r="E53" s="168" t="s">
        <v>1157</v>
      </c>
      <c r="F53" s="119"/>
    </row>
    <row r="54" spans="1:6" ht="39.6">
      <c r="A54" s="199">
        <v>1050</v>
      </c>
      <c r="B54" s="200" t="s">
        <v>200</v>
      </c>
      <c r="C54" s="201" t="s">
        <v>160</v>
      </c>
      <c r="D54" s="202" t="s">
        <v>361</v>
      </c>
      <c r="E54" s="208" t="s">
        <v>1158</v>
      </c>
      <c r="F54" s="119"/>
    </row>
    <row r="55" spans="1:6" ht="26.45">
      <c r="A55" s="199">
        <v>1051</v>
      </c>
      <c r="B55" s="200" t="s">
        <v>200</v>
      </c>
      <c r="C55" s="201" t="s">
        <v>152</v>
      </c>
      <c r="D55" s="210" t="s">
        <v>365</v>
      </c>
      <c r="E55" s="168" t="s">
        <v>1159</v>
      </c>
      <c r="F55" s="119"/>
    </row>
    <row r="56" spans="1:6" ht="26.45">
      <c r="A56" s="199">
        <v>1052</v>
      </c>
      <c r="B56" s="200" t="s">
        <v>200</v>
      </c>
      <c r="C56" s="201" t="s">
        <v>158</v>
      </c>
      <c r="D56" s="202" t="s">
        <v>159</v>
      </c>
      <c r="E56" s="171" t="s">
        <v>1160</v>
      </c>
      <c r="F56" s="119"/>
    </row>
    <row r="57" spans="1:6" ht="26.45">
      <c r="A57" s="199">
        <v>1053</v>
      </c>
      <c r="B57" s="200" t="s">
        <v>200</v>
      </c>
      <c r="C57" s="201" t="s">
        <v>160</v>
      </c>
      <c r="D57" s="202" t="s">
        <v>161</v>
      </c>
      <c r="E57" s="168" t="s">
        <v>1161</v>
      </c>
      <c r="F57" s="119"/>
    </row>
    <row r="58" spans="1:6" s="165" customFormat="1" ht="13.15" customHeight="1">
      <c r="A58" s="183" t="s">
        <v>1162</v>
      </c>
      <c r="B58" s="184"/>
      <c r="C58" s="184"/>
      <c r="D58" s="185" t="s">
        <v>1163</v>
      </c>
      <c r="E58" s="168" t="s">
        <v>1164</v>
      </c>
    </row>
    <row r="59" spans="1:6" ht="26.45">
      <c r="A59" s="199">
        <v>1054</v>
      </c>
      <c r="B59" s="200" t="s">
        <v>373</v>
      </c>
      <c r="C59" s="201" t="s">
        <v>374</v>
      </c>
      <c r="D59" s="202" t="s">
        <v>374</v>
      </c>
      <c r="E59" s="168" t="s">
        <v>1165</v>
      </c>
      <c r="F59" s="119"/>
    </row>
    <row r="60" spans="1:6" ht="26.45">
      <c r="A60" s="199">
        <v>1055</v>
      </c>
      <c r="B60" s="200" t="s">
        <v>373</v>
      </c>
      <c r="C60" s="201" t="s">
        <v>380</v>
      </c>
      <c r="D60" s="202" t="s">
        <v>381</v>
      </c>
      <c r="E60" s="173" t="s">
        <v>1166</v>
      </c>
      <c r="F60" s="119"/>
    </row>
    <row r="61" spans="1:6">
      <c r="A61" s="199">
        <v>1056</v>
      </c>
      <c r="B61" s="200" t="s">
        <v>373</v>
      </c>
      <c r="C61" s="201" t="s">
        <v>216</v>
      </c>
      <c r="D61" s="202" t="s">
        <v>248</v>
      </c>
      <c r="E61" s="119" t="s">
        <v>1167</v>
      </c>
      <c r="F61" s="119"/>
    </row>
    <row r="62" spans="1:6">
      <c r="A62" s="199">
        <v>1057</v>
      </c>
      <c r="B62" s="200" t="s">
        <v>373</v>
      </c>
      <c r="C62" s="201" t="s">
        <v>216</v>
      </c>
      <c r="D62" s="202" t="s">
        <v>384</v>
      </c>
      <c r="E62" s="119" t="s">
        <v>1167</v>
      </c>
      <c r="F62" s="119"/>
    </row>
    <row r="63" spans="1:6">
      <c r="A63" s="199">
        <v>1058</v>
      </c>
      <c r="B63" s="200" t="s">
        <v>373</v>
      </c>
      <c r="C63" s="201" t="s">
        <v>216</v>
      </c>
      <c r="D63" s="202" t="s">
        <v>385</v>
      </c>
      <c r="E63" s="119" t="s">
        <v>1167</v>
      </c>
      <c r="F63" s="119"/>
    </row>
    <row r="64" spans="1:6">
      <c r="A64" s="199">
        <v>1059</v>
      </c>
      <c r="B64" s="200" t="s">
        <v>373</v>
      </c>
      <c r="C64" s="201" t="s">
        <v>216</v>
      </c>
      <c r="D64" s="202" t="s">
        <v>386</v>
      </c>
      <c r="E64" s="119" t="s">
        <v>1167</v>
      </c>
      <c r="F64" s="119"/>
    </row>
    <row r="65" spans="1:6">
      <c r="A65" s="199">
        <v>1060</v>
      </c>
      <c r="B65" s="200" t="s">
        <v>373</v>
      </c>
      <c r="C65" s="201" t="s">
        <v>216</v>
      </c>
      <c r="D65" s="202" t="s">
        <v>387</v>
      </c>
      <c r="E65" s="119" t="s">
        <v>1167</v>
      </c>
      <c r="F65" s="119"/>
    </row>
    <row r="66" spans="1:6">
      <c r="A66" s="199">
        <v>1061</v>
      </c>
      <c r="B66" s="200" t="s">
        <v>373</v>
      </c>
      <c r="C66" s="201" t="s">
        <v>216</v>
      </c>
      <c r="D66" s="202" t="s">
        <v>388</v>
      </c>
      <c r="E66" s="119" t="s">
        <v>1167</v>
      </c>
      <c r="F66" s="119"/>
    </row>
    <row r="67" spans="1:6">
      <c r="A67" s="199">
        <v>1062</v>
      </c>
      <c r="B67" s="200" t="s">
        <v>373</v>
      </c>
      <c r="C67" s="201" t="s">
        <v>216</v>
      </c>
      <c r="D67" s="202" t="s">
        <v>389</v>
      </c>
      <c r="E67" s="119" t="s">
        <v>1167</v>
      </c>
      <c r="F67" s="119"/>
    </row>
    <row r="68" spans="1:6">
      <c r="A68" s="199">
        <v>1063</v>
      </c>
      <c r="B68" s="200" t="s">
        <v>373</v>
      </c>
      <c r="C68" s="201" t="s">
        <v>216</v>
      </c>
      <c r="D68" s="202" t="s">
        <v>390</v>
      </c>
      <c r="E68" s="119" t="s">
        <v>1167</v>
      </c>
      <c r="F68" s="119"/>
    </row>
    <row r="69" spans="1:6">
      <c r="A69" s="199">
        <v>1064</v>
      </c>
      <c r="B69" s="200" t="s">
        <v>373</v>
      </c>
      <c r="C69" s="201" t="s">
        <v>216</v>
      </c>
      <c r="D69" s="202" t="s">
        <v>391</v>
      </c>
      <c r="E69" s="119" t="s">
        <v>1167</v>
      </c>
      <c r="F69" s="119"/>
    </row>
    <row r="70" spans="1:6">
      <c r="A70" s="199">
        <v>1065</v>
      </c>
      <c r="B70" s="200" t="s">
        <v>373</v>
      </c>
      <c r="C70" s="201" t="s">
        <v>216</v>
      </c>
      <c r="D70" s="202" t="s">
        <v>392</v>
      </c>
      <c r="E70" s="119" t="s">
        <v>1167</v>
      </c>
      <c r="F70" s="119"/>
    </row>
    <row r="71" spans="1:6">
      <c r="A71" s="199">
        <v>1066</v>
      </c>
      <c r="B71" s="200" t="s">
        <v>373</v>
      </c>
      <c r="C71" s="201" t="s">
        <v>216</v>
      </c>
      <c r="D71" s="202" t="s">
        <v>393</v>
      </c>
      <c r="E71" s="119" t="s">
        <v>1167</v>
      </c>
      <c r="F71" s="119"/>
    </row>
    <row r="72" spans="1:6" ht="26.45">
      <c r="A72" s="199">
        <v>1067</v>
      </c>
      <c r="B72" s="200" t="s">
        <v>373</v>
      </c>
      <c r="C72" s="201" t="s">
        <v>10</v>
      </c>
      <c r="D72" s="202" t="s">
        <v>394</v>
      </c>
      <c r="E72" s="204" t="s">
        <v>1168</v>
      </c>
      <c r="F72" s="119"/>
    </row>
    <row r="73" spans="1:6" ht="52.9">
      <c r="A73" s="199">
        <v>1068</v>
      </c>
      <c r="B73" s="200" t="s">
        <v>373</v>
      </c>
      <c r="C73" s="201" t="s">
        <v>398</v>
      </c>
      <c r="D73" s="202" t="s">
        <v>399</v>
      </c>
      <c r="E73" s="204" t="s">
        <v>1169</v>
      </c>
      <c r="F73" s="119"/>
    </row>
    <row r="74" spans="1:6" ht="52.9">
      <c r="A74" s="199">
        <v>1069</v>
      </c>
      <c r="B74" s="200" t="s">
        <v>400</v>
      </c>
      <c r="C74" s="201" t="s">
        <v>401</v>
      </c>
      <c r="D74" s="202" t="s">
        <v>402</v>
      </c>
      <c r="E74" s="211" t="s">
        <v>1170</v>
      </c>
      <c r="F74" s="119"/>
    </row>
    <row r="75" spans="1:6" ht="39.6">
      <c r="A75" s="199">
        <v>1070</v>
      </c>
      <c r="B75" s="200" t="s">
        <v>408</v>
      </c>
      <c r="C75" s="201" t="s">
        <v>409</v>
      </c>
      <c r="D75" s="202" t="s">
        <v>409</v>
      </c>
      <c r="E75" s="204" t="s">
        <v>1171</v>
      </c>
      <c r="F75" s="119"/>
    </row>
    <row r="76" spans="1:6" ht="26.45">
      <c r="A76" s="199">
        <v>1071</v>
      </c>
      <c r="B76" s="201" t="s">
        <v>408</v>
      </c>
      <c r="C76" s="201" t="s">
        <v>414</v>
      </c>
      <c r="D76" s="210" t="s">
        <v>154</v>
      </c>
      <c r="E76" s="204" t="s">
        <v>1172</v>
      </c>
      <c r="F76" s="119"/>
    </row>
    <row r="77" spans="1:6" ht="26.45">
      <c r="A77" s="199">
        <v>1073</v>
      </c>
      <c r="B77" s="201" t="s">
        <v>408</v>
      </c>
      <c r="C77" s="201" t="s">
        <v>414</v>
      </c>
      <c r="D77" s="210" t="s">
        <v>418</v>
      </c>
      <c r="E77" s="204" t="s">
        <v>1173</v>
      </c>
      <c r="F77" s="123" t="s">
        <v>1174</v>
      </c>
    </row>
    <row r="78" spans="1:6">
      <c r="A78" s="199">
        <v>1075</v>
      </c>
      <c r="B78" s="201" t="s">
        <v>408</v>
      </c>
      <c r="C78" s="201" t="s">
        <v>414</v>
      </c>
      <c r="D78" s="210" t="s">
        <v>422</v>
      </c>
      <c r="E78" s="119" t="s">
        <v>1175</v>
      </c>
      <c r="F78" s="119"/>
    </row>
    <row r="79" spans="1:6" ht="79.150000000000006">
      <c r="A79" s="199">
        <v>1072</v>
      </c>
      <c r="B79" s="201" t="s">
        <v>408</v>
      </c>
      <c r="C79" s="201" t="s">
        <v>414</v>
      </c>
      <c r="D79" s="210" t="s">
        <v>415</v>
      </c>
      <c r="E79" s="211" t="s">
        <v>1176</v>
      </c>
      <c r="F79" s="119"/>
    </row>
    <row r="80" spans="1:6">
      <c r="A80" s="186" t="s">
        <v>1162</v>
      </c>
      <c r="B80" s="212" t="s">
        <v>408</v>
      </c>
      <c r="C80" s="201" t="s">
        <v>414</v>
      </c>
      <c r="D80" s="210" t="s">
        <v>1177</v>
      </c>
      <c r="E80" s="204" t="s">
        <v>1178</v>
      </c>
      <c r="F80" s="119"/>
    </row>
    <row r="81" spans="1:5">
      <c r="A81" s="199">
        <v>1076</v>
      </c>
      <c r="B81" s="201" t="s">
        <v>408</v>
      </c>
      <c r="C81" s="201" t="s">
        <v>414</v>
      </c>
      <c r="D81" s="210" t="s">
        <v>423</v>
      </c>
      <c r="E81" s="119" t="s">
        <v>1175</v>
      </c>
    </row>
    <row r="82" spans="1:5">
      <c r="A82" s="199">
        <v>1078</v>
      </c>
      <c r="B82" s="201" t="s">
        <v>408</v>
      </c>
      <c r="C82" s="201" t="s">
        <v>414</v>
      </c>
      <c r="D82" s="210" t="s">
        <v>425</v>
      </c>
      <c r="E82" s="119" t="s">
        <v>1175</v>
      </c>
    </row>
    <row r="83" spans="1:5" ht="52.9">
      <c r="A83" s="199">
        <v>1077</v>
      </c>
      <c r="B83" s="201" t="s">
        <v>408</v>
      </c>
      <c r="C83" s="201" t="s">
        <v>414</v>
      </c>
      <c r="D83" s="210" t="s">
        <v>424</v>
      </c>
      <c r="E83" s="211" t="s">
        <v>1179</v>
      </c>
    </row>
    <row r="84" spans="1:5">
      <c r="A84" s="186" t="s">
        <v>1162</v>
      </c>
      <c r="B84" s="212" t="s">
        <v>408</v>
      </c>
      <c r="C84" s="201" t="s">
        <v>414</v>
      </c>
      <c r="D84" s="210" t="s">
        <v>1180</v>
      </c>
      <c r="E84" s="204" t="s">
        <v>1181</v>
      </c>
    </row>
    <row r="85" spans="1:5">
      <c r="A85" s="199">
        <v>1080</v>
      </c>
      <c r="B85" s="201" t="s">
        <v>408</v>
      </c>
      <c r="C85" s="201" t="s">
        <v>414</v>
      </c>
      <c r="D85" s="210" t="s">
        <v>427</v>
      </c>
      <c r="E85" s="119" t="s">
        <v>1175</v>
      </c>
    </row>
    <row r="86" spans="1:5">
      <c r="A86" s="199">
        <v>1079</v>
      </c>
      <c r="B86" s="201" t="s">
        <v>408</v>
      </c>
      <c r="C86" s="201" t="s">
        <v>414</v>
      </c>
      <c r="D86" s="210" t="s">
        <v>426</v>
      </c>
      <c r="E86" s="119" t="s">
        <v>1175</v>
      </c>
    </row>
    <row r="87" spans="1:5">
      <c r="A87" s="199">
        <v>1081</v>
      </c>
      <c r="B87" s="201" t="s">
        <v>408</v>
      </c>
      <c r="C87" s="201" t="s">
        <v>414</v>
      </c>
      <c r="D87" s="202" t="s">
        <v>428</v>
      </c>
      <c r="E87" s="119" t="s">
        <v>1182</v>
      </c>
    </row>
    <row r="88" spans="1:5" ht="52.9">
      <c r="A88" s="199">
        <v>1082</v>
      </c>
      <c r="B88" s="200" t="s">
        <v>408</v>
      </c>
      <c r="C88" s="201" t="s">
        <v>398</v>
      </c>
      <c r="D88" s="202" t="s">
        <v>429</v>
      </c>
      <c r="E88" s="211" t="s">
        <v>1183</v>
      </c>
    </row>
    <row r="89" spans="1:5">
      <c r="A89" s="199">
        <v>1083</v>
      </c>
      <c r="B89" s="200" t="s">
        <v>430</v>
      </c>
      <c r="C89" s="201" t="s">
        <v>431</v>
      </c>
      <c r="D89" s="202" t="s">
        <v>432</v>
      </c>
      <c r="E89" s="119" t="s">
        <v>1184</v>
      </c>
    </row>
    <row r="90" spans="1:5">
      <c r="A90" s="199">
        <v>1084</v>
      </c>
      <c r="B90" s="200" t="s">
        <v>430</v>
      </c>
      <c r="C90" s="201" t="s">
        <v>431</v>
      </c>
      <c r="D90" s="210" t="s">
        <v>436</v>
      </c>
      <c r="E90" s="119" t="s">
        <v>1185</v>
      </c>
    </row>
    <row r="91" spans="1:5">
      <c r="A91" s="199">
        <v>1085</v>
      </c>
      <c r="B91" s="200" t="s">
        <v>430</v>
      </c>
      <c r="C91" s="201" t="s">
        <v>431</v>
      </c>
      <c r="D91" s="210" t="s">
        <v>440</v>
      </c>
      <c r="E91" s="119" t="s">
        <v>1186</v>
      </c>
    </row>
    <row r="92" spans="1:5">
      <c r="A92" s="199">
        <v>1086</v>
      </c>
      <c r="B92" s="200" t="s">
        <v>430</v>
      </c>
      <c r="C92" s="201" t="s">
        <v>431</v>
      </c>
      <c r="D92" s="210" t="s">
        <v>446</v>
      </c>
      <c r="E92" s="119" t="s">
        <v>1187</v>
      </c>
    </row>
    <row r="93" spans="1:5">
      <c r="A93" s="199">
        <v>1087</v>
      </c>
      <c r="B93" s="200" t="s">
        <v>430</v>
      </c>
      <c r="C93" s="201" t="s">
        <v>431</v>
      </c>
      <c r="D93" s="210" t="s">
        <v>455</v>
      </c>
      <c r="E93" s="119" t="s">
        <v>1188</v>
      </c>
    </row>
    <row r="94" spans="1:5">
      <c r="A94" s="199">
        <v>1088</v>
      </c>
      <c r="B94" s="200" t="s">
        <v>430</v>
      </c>
      <c r="C94" s="201" t="s">
        <v>431</v>
      </c>
      <c r="D94" s="202" t="s">
        <v>136</v>
      </c>
      <c r="E94" s="119" t="s">
        <v>1189</v>
      </c>
    </row>
    <row r="95" spans="1:5" ht="26.45">
      <c r="A95" s="199">
        <v>1089</v>
      </c>
      <c r="B95" s="200" t="s">
        <v>430</v>
      </c>
      <c r="C95" s="201" t="s">
        <v>431</v>
      </c>
      <c r="D95" s="210" t="s">
        <v>462</v>
      </c>
      <c r="E95" s="204" t="s">
        <v>1190</v>
      </c>
    </row>
    <row r="96" spans="1:5">
      <c r="A96" s="199">
        <v>1090</v>
      </c>
      <c r="B96" s="200" t="s">
        <v>430</v>
      </c>
      <c r="C96" s="201" t="s">
        <v>431</v>
      </c>
      <c r="D96" s="210" t="s">
        <v>465</v>
      </c>
      <c r="E96" s="119" t="s">
        <v>1191</v>
      </c>
    </row>
    <row r="97" spans="1:6">
      <c r="A97" s="199">
        <v>1091</v>
      </c>
      <c r="B97" s="200" t="s">
        <v>430</v>
      </c>
      <c r="C97" s="201" t="s">
        <v>431</v>
      </c>
      <c r="D97" s="210" t="s">
        <v>467</v>
      </c>
      <c r="E97" s="119" t="s">
        <v>1192</v>
      </c>
      <c r="F97" s="119"/>
    </row>
    <row r="98" spans="1:6">
      <c r="A98" s="199">
        <v>1092</v>
      </c>
      <c r="B98" s="200" t="s">
        <v>430</v>
      </c>
      <c r="C98" s="201" t="s">
        <v>431</v>
      </c>
      <c r="D98" s="210" t="s">
        <v>469</v>
      </c>
      <c r="E98" s="119" t="s">
        <v>1193</v>
      </c>
      <c r="F98" s="119"/>
    </row>
    <row r="99" spans="1:6">
      <c r="A99" s="199">
        <v>1093</v>
      </c>
      <c r="B99" s="200" t="s">
        <v>430</v>
      </c>
      <c r="C99" s="201" t="s">
        <v>431</v>
      </c>
      <c r="D99" s="202" t="s">
        <v>471</v>
      </c>
      <c r="E99" s="204" t="s">
        <v>1194</v>
      </c>
      <c r="F99" s="119"/>
    </row>
    <row r="100" spans="1:6" ht="79.150000000000006">
      <c r="A100" s="199">
        <v>1094</v>
      </c>
      <c r="B100" s="200" t="s">
        <v>430</v>
      </c>
      <c r="C100" s="201" t="s">
        <v>431</v>
      </c>
      <c r="D100" s="210" t="s">
        <v>476</v>
      </c>
      <c r="E100" s="204" t="s">
        <v>1195</v>
      </c>
      <c r="F100" s="204"/>
    </row>
    <row r="101" spans="1:6">
      <c r="A101" s="199">
        <v>1095</v>
      </c>
      <c r="B101" s="200" t="s">
        <v>430</v>
      </c>
      <c r="C101" s="201" t="s">
        <v>431</v>
      </c>
      <c r="D101" s="210" t="s">
        <v>481</v>
      </c>
      <c r="E101" s="119" t="s">
        <v>1196</v>
      </c>
      <c r="F101" s="119"/>
    </row>
    <row r="102" spans="1:6" ht="52.9">
      <c r="A102" s="199">
        <v>1096</v>
      </c>
      <c r="B102" s="200" t="s">
        <v>430</v>
      </c>
      <c r="C102" s="201" t="s">
        <v>431</v>
      </c>
      <c r="D102" s="210" t="s">
        <v>483</v>
      </c>
      <c r="E102" s="204" t="s">
        <v>1197</v>
      </c>
      <c r="F102" s="119"/>
    </row>
    <row r="103" spans="1:6" ht="39.6">
      <c r="A103" s="199">
        <v>1097</v>
      </c>
      <c r="B103" s="200" t="s">
        <v>430</v>
      </c>
      <c r="C103" s="201" t="s">
        <v>431</v>
      </c>
      <c r="D103" s="210" t="s">
        <v>486</v>
      </c>
      <c r="E103" s="204" t="s">
        <v>1198</v>
      </c>
      <c r="F103" s="119"/>
    </row>
    <row r="104" spans="1:6">
      <c r="A104" s="199">
        <v>1098</v>
      </c>
      <c r="B104" s="200" t="s">
        <v>430</v>
      </c>
      <c r="C104" s="201" t="s">
        <v>488</v>
      </c>
      <c r="D104" s="202" t="s">
        <v>489</v>
      </c>
      <c r="E104" s="119" t="s">
        <v>1199</v>
      </c>
      <c r="F104" s="119"/>
    </row>
    <row r="105" spans="1:6" ht="26.45">
      <c r="A105" s="199">
        <v>1099</v>
      </c>
      <c r="B105" s="200" t="s">
        <v>430</v>
      </c>
      <c r="C105" s="201" t="s">
        <v>488</v>
      </c>
      <c r="D105" s="210" t="s">
        <v>494</v>
      </c>
      <c r="E105" s="204" t="s">
        <v>1200</v>
      </c>
      <c r="F105" s="119"/>
    </row>
    <row r="106" spans="1:6">
      <c r="A106" s="199">
        <v>1100</v>
      </c>
      <c r="B106" s="200" t="s">
        <v>430</v>
      </c>
      <c r="C106" s="201" t="s">
        <v>488</v>
      </c>
      <c r="D106" s="210" t="s">
        <v>500</v>
      </c>
      <c r="E106" s="119" t="s">
        <v>1201</v>
      </c>
      <c r="F106" s="119"/>
    </row>
    <row r="107" spans="1:6" ht="26.45">
      <c r="A107" s="199">
        <v>1101</v>
      </c>
      <c r="B107" s="200" t="s">
        <v>430</v>
      </c>
      <c r="C107" s="201" t="s">
        <v>503</v>
      </c>
      <c r="D107" s="210" t="s">
        <v>504</v>
      </c>
      <c r="E107" s="204" t="s">
        <v>1202</v>
      </c>
      <c r="F107" s="119"/>
    </row>
    <row r="108" spans="1:6">
      <c r="A108" s="199">
        <v>1102</v>
      </c>
      <c r="B108" s="200" t="s">
        <v>430</v>
      </c>
      <c r="C108" s="201" t="s">
        <v>503</v>
      </c>
      <c r="D108" s="210" t="s">
        <v>507</v>
      </c>
      <c r="E108" s="119" t="s">
        <v>1203</v>
      </c>
      <c r="F108" s="119"/>
    </row>
    <row r="109" spans="1:6">
      <c r="A109" s="199">
        <v>1103</v>
      </c>
      <c r="B109" s="200" t="s">
        <v>430</v>
      </c>
      <c r="C109" s="201" t="s">
        <v>503</v>
      </c>
      <c r="D109" s="202" t="s">
        <v>509</v>
      </c>
      <c r="E109" s="119" t="s">
        <v>1204</v>
      </c>
      <c r="F109" s="119"/>
    </row>
    <row r="110" spans="1:6">
      <c r="A110" s="199">
        <v>1104</v>
      </c>
      <c r="B110" s="200" t="s">
        <v>430</v>
      </c>
      <c r="C110" s="201" t="s">
        <v>503</v>
      </c>
      <c r="D110" s="210" t="s">
        <v>511</v>
      </c>
      <c r="E110" s="119" t="s">
        <v>1205</v>
      </c>
      <c r="F110" s="119"/>
    </row>
    <row r="111" spans="1:6" ht="26.45">
      <c r="A111" s="199">
        <v>1105</v>
      </c>
      <c r="B111" s="200" t="s">
        <v>430</v>
      </c>
      <c r="C111" s="201" t="s">
        <v>503</v>
      </c>
      <c r="D111" s="210" t="s">
        <v>512</v>
      </c>
      <c r="E111" s="204" t="s">
        <v>1206</v>
      </c>
      <c r="F111" s="119"/>
    </row>
    <row r="112" spans="1:6">
      <c r="A112" s="199">
        <v>1106</v>
      </c>
      <c r="B112" s="200" t="s">
        <v>430</v>
      </c>
      <c r="C112" s="201" t="s">
        <v>503</v>
      </c>
      <c r="D112" s="210" t="s">
        <v>514</v>
      </c>
      <c r="E112" s="119" t="s">
        <v>1207</v>
      </c>
      <c r="F112" s="119"/>
    </row>
    <row r="113" spans="1:6" ht="26.45">
      <c r="A113" s="199">
        <v>1107</v>
      </c>
      <c r="B113" s="200" t="s">
        <v>430</v>
      </c>
      <c r="C113" s="201" t="s">
        <v>503</v>
      </c>
      <c r="D113" s="210" t="s">
        <v>515</v>
      </c>
      <c r="E113" s="204" t="s">
        <v>1208</v>
      </c>
      <c r="F113" s="174"/>
    </row>
    <row r="114" spans="1:6">
      <c r="A114" s="199">
        <v>1108</v>
      </c>
      <c r="B114" s="200" t="s">
        <v>430</v>
      </c>
      <c r="C114" s="201" t="s">
        <v>503</v>
      </c>
      <c r="D114" s="202" t="s">
        <v>519</v>
      </c>
      <c r="E114" s="119" t="s">
        <v>1209</v>
      </c>
      <c r="F114" s="119"/>
    </row>
    <row r="115" spans="1:6" ht="52.9">
      <c r="A115" s="199">
        <v>1109</v>
      </c>
      <c r="B115" s="200" t="s">
        <v>430</v>
      </c>
      <c r="C115" s="201" t="s">
        <v>503</v>
      </c>
      <c r="D115" s="210" t="s">
        <v>520</v>
      </c>
      <c r="E115" s="204" t="s">
        <v>1210</v>
      </c>
      <c r="F115" s="119"/>
    </row>
    <row r="116" spans="1:6">
      <c r="A116" s="199">
        <v>1110</v>
      </c>
      <c r="B116" s="200" t="s">
        <v>430</v>
      </c>
      <c r="C116" s="201" t="s">
        <v>503</v>
      </c>
      <c r="D116" s="210" t="s">
        <v>523</v>
      </c>
      <c r="E116" s="119" t="s">
        <v>1211</v>
      </c>
      <c r="F116" s="119"/>
    </row>
    <row r="117" spans="1:6" ht="39.6">
      <c r="A117" s="199">
        <v>1111</v>
      </c>
      <c r="B117" s="200" t="s">
        <v>430</v>
      </c>
      <c r="C117" s="201" t="s">
        <v>503</v>
      </c>
      <c r="D117" s="210" t="s">
        <v>525</v>
      </c>
      <c r="E117" s="204" t="s">
        <v>1212</v>
      </c>
      <c r="F117" s="119"/>
    </row>
    <row r="118" spans="1:6">
      <c r="A118" s="199">
        <v>1112</v>
      </c>
      <c r="B118" s="200" t="s">
        <v>430</v>
      </c>
      <c r="C118" s="201" t="s">
        <v>503</v>
      </c>
      <c r="D118" s="210" t="s">
        <v>527</v>
      </c>
      <c r="E118" s="119" t="s">
        <v>1213</v>
      </c>
      <c r="F118" s="119"/>
    </row>
    <row r="119" spans="1:6" ht="39.6">
      <c r="A119" s="199">
        <v>1113</v>
      </c>
      <c r="B119" s="200" t="s">
        <v>430</v>
      </c>
      <c r="C119" s="201" t="s">
        <v>528</v>
      </c>
      <c r="D119" s="210" t="s">
        <v>529</v>
      </c>
      <c r="E119" s="204" t="s">
        <v>1214</v>
      </c>
      <c r="F119" s="119"/>
    </row>
    <row r="120" spans="1:6">
      <c r="A120" s="199">
        <v>1114</v>
      </c>
      <c r="B120" s="200" t="s">
        <v>430</v>
      </c>
      <c r="C120" s="201" t="s">
        <v>528</v>
      </c>
      <c r="D120" s="210" t="s">
        <v>533</v>
      </c>
      <c r="E120" s="119" t="s">
        <v>1215</v>
      </c>
      <c r="F120" s="119"/>
    </row>
    <row r="121" spans="1:6">
      <c r="A121" s="199">
        <v>1115</v>
      </c>
      <c r="B121" s="200" t="s">
        <v>430</v>
      </c>
      <c r="C121" s="201" t="s">
        <v>528</v>
      </c>
      <c r="D121" s="210" t="s">
        <v>539</v>
      </c>
      <c r="E121" s="119" t="s">
        <v>1216</v>
      </c>
      <c r="F121" s="119"/>
    </row>
    <row r="122" spans="1:6" ht="26.45">
      <c r="A122" s="199">
        <v>1116</v>
      </c>
      <c r="B122" s="200" t="s">
        <v>430</v>
      </c>
      <c r="C122" s="201" t="s">
        <v>528</v>
      </c>
      <c r="D122" s="210" t="s">
        <v>541</v>
      </c>
      <c r="E122" s="204" t="s">
        <v>1217</v>
      </c>
      <c r="F122" s="119"/>
    </row>
    <row r="123" spans="1:6" ht="26.45">
      <c r="A123" s="199">
        <v>1117</v>
      </c>
      <c r="B123" s="200" t="s">
        <v>430</v>
      </c>
      <c r="C123" s="201" t="s">
        <v>528</v>
      </c>
      <c r="D123" s="210" t="s">
        <v>155</v>
      </c>
      <c r="E123" s="204" t="s">
        <v>1218</v>
      </c>
      <c r="F123" s="119"/>
    </row>
    <row r="124" spans="1:6">
      <c r="A124" s="199">
        <v>1118</v>
      </c>
      <c r="B124" s="200" t="s">
        <v>430</v>
      </c>
      <c r="C124" s="201" t="s">
        <v>528</v>
      </c>
      <c r="D124" s="210" t="s">
        <v>545</v>
      </c>
      <c r="E124" s="119" t="s">
        <v>1219</v>
      </c>
      <c r="F124" s="119"/>
    </row>
    <row r="125" spans="1:6" ht="13.9">
      <c r="A125" s="199">
        <v>1119</v>
      </c>
      <c r="B125" s="200" t="s">
        <v>430</v>
      </c>
      <c r="C125" s="201" t="s">
        <v>528</v>
      </c>
      <c r="D125" s="210" t="s">
        <v>547</v>
      </c>
      <c r="E125" s="175" t="s">
        <v>1220</v>
      </c>
      <c r="F125" s="119"/>
    </row>
    <row r="126" spans="1:6" ht="13.9">
      <c r="A126" s="199">
        <v>1120</v>
      </c>
      <c r="B126" s="200" t="s">
        <v>430</v>
      </c>
      <c r="C126" s="201" t="s">
        <v>528</v>
      </c>
      <c r="D126" s="210" t="s">
        <v>549</v>
      </c>
      <c r="E126" s="175" t="s">
        <v>1221</v>
      </c>
      <c r="F126" s="119"/>
    </row>
    <row r="127" spans="1:6" ht="26.45">
      <c r="A127" s="199">
        <v>1121</v>
      </c>
      <c r="B127" s="200" t="s">
        <v>430</v>
      </c>
      <c r="C127" s="201" t="s">
        <v>528</v>
      </c>
      <c r="D127" s="210" t="s">
        <v>551</v>
      </c>
      <c r="E127" s="204" t="s">
        <v>1222</v>
      </c>
      <c r="F127" s="119"/>
    </row>
    <row r="128" spans="1:6" ht="26.45">
      <c r="A128" s="199">
        <v>1122</v>
      </c>
      <c r="B128" s="200" t="s">
        <v>430</v>
      </c>
      <c r="C128" s="201" t="s">
        <v>528</v>
      </c>
      <c r="D128" s="210" t="s">
        <v>553</v>
      </c>
      <c r="E128" s="204" t="s">
        <v>1223</v>
      </c>
      <c r="F128" s="119"/>
    </row>
    <row r="129" spans="1:5">
      <c r="A129" s="199">
        <v>1123</v>
      </c>
      <c r="B129" s="200" t="s">
        <v>430</v>
      </c>
      <c r="C129" s="201" t="s">
        <v>528</v>
      </c>
      <c r="D129" s="210" t="s">
        <v>555</v>
      </c>
      <c r="E129" s="119" t="s">
        <v>1224</v>
      </c>
    </row>
    <row r="130" spans="1:5">
      <c r="A130" s="199">
        <v>1124</v>
      </c>
      <c r="B130" s="200" t="s">
        <v>430</v>
      </c>
      <c r="C130" s="201" t="s">
        <v>528</v>
      </c>
      <c r="D130" s="210" t="s">
        <v>557</v>
      </c>
      <c r="E130" s="169" t="s">
        <v>1225</v>
      </c>
    </row>
    <row r="131" spans="1:5">
      <c r="A131" s="199">
        <v>1125</v>
      </c>
      <c r="B131" s="200" t="s">
        <v>430</v>
      </c>
      <c r="C131" s="201" t="s">
        <v>528</v>
      </c>
      <c r="D131" s="210" t="s">
        <v>559</v>
      </c>
      <c r="E131" s="119" t="s">
        <v>1226</v>
      </c>
    </row>
    <row r="132" spans="1:5" ht="26.45">
      <c r="A132" s="199">
        <v>1126</v>
      </c>
      <c r="B132" s="200" t="s">
        <v>430</v>
      </c>
      <c r="C132" s="201" t="s">
        <v>561</v>
      </c>
      <c r="D132" s="210" t="s">
        <v>562</v>
      </c>
      <c r="E132" s="204" t="s">
        <v>1227</v>
      </c>
    </row>
    <row r="133" spans="1:5" ht="26.45">
      <c r="A133" s="199">
        <v>1127</v>
      </c>
      <c r="B133" s="200" t="s">
        <v>430</v>
      </c>
      <c r="C133" s="201" t="s">
        <v>561</v>
      </c>
      <c r="D133" s="210" t="s">
        <v>566</v>
      </c>
      <c r="E133" s="204" t="s">
        <v>1228</v>
      </c>
    </row>
    <row r="134" spans="1:5">
      <c r="A134" s="199">
        <v>1128</v>
      </c>
      <c r="B134" s="200" t="s">
        <v>430</v>
      </c>
      <c r="C134" s="201" t="s">
        <v>561</v>
      </c>
      <c r="D134" s="210" t="s">
        <v>570</v>
      </c>
      <c r="E134" s="119" t="s">
        <v>1229</v>
      </c>
    </row>
    <row r="135" spans="1:5">
      <c r="A135" s="199">
        <v>1129</v>
      </c>
      <c r="B135" s="200" t="s">
        <v>430</v>
      </c>
      <c r="C135" s="201" t="s">
        <v>561</v>
      </c>
      <c r="D135" s="210" t="s">
        <v>571</v>
      </c>
      <c r="E135" s="119" t="s">
        <v>1230</v>
      </c>
    </row>
    <row r="136" spans="1:5" ht="66">
      <c r="A136" s="199">
        <v>1130</v>
      </c>
      <c r="B136" s="200" t="s">
        <v>430</v>
      </c>
      <c r="C136" s="201" t="s">
        <v>561</v>
      </c>
      <c r="D136" s="210" t="s">
        <v>575</v>
      </c>
      <c r="E136" s="204" t="s">
        <v>1231</v>
      </c>
    </row>
    <row r="137" spans="1:5">
      <c r="A137" s="199">
        <v>1131</v>
      </c>
      <c r="B137" s="200" t="s">
        <v>430</v>
      </c>
      <c r="C137" s="201" t="s">
        <v>561</v>
      </c>
      <c r="D137" s="210" t="s">
        <v>578</v>
      </c>
      <c r="E137" s="119" t="s">
        <v>1232</v>
      </c>
    </row>
    <row r="138" spans="1:5" ht="26.45">
      <c r="A138" s="199">
        <v>1132</v>
      </c>
      <c r="B138" s="200" t="s">
        <v>430</v>
      </c>
      <c r="C138" s="201" t="s">
        <v>580</v>
      </c>
      <c r="D138" s="210" t="s">
        <v>581</v>
      </c>
      <c r="E138" s="204" t="s">
        <v>1233</v>
      </c>
    </row>
    <row r="139" spans="1:5">
      <c r="A139" s="199">
        <v>1133</v>
      </c>
      <c r="B139" s="200" t="s">
        <v>430</v>
      </c>
      <c r="C139" s="201" t="s">
        <v>580</v>
      </c>
      <c r="D139" s="210" t="s">
        <v>586</v>
      </c>
      <c r="E139" s="119" t="s">
        <v>1234</v>
      </c>
    </row>
    <row r="140" spans="1:5" ht="26.45">
      <c r="A140" s="199">
        <v>1134</v>
      </c>
      <c r="B140" s="200" t="s">
        <v>430</v>
      </c>
      <c r="C140" s="201" t="s">
        <v>580</v>
      </c>
      <c r="D140" s="210" t="s">
        <v>588</v>
      </c>
      <c r="E140" s="204" t="s">
        <v>1235</v>
      </c>
    </row>
    <row r="141" spans="1:5">
      <c r="A141" s="199">
        <v>1135</v>
      </c>
      <c r="B141" s="201" t="s">
        <v>592</v>
      </c>
      <c r="C141" s="201" t="s">
        <v>593</v>
      </c>
      <c r="D141" s="202" t="s">
        <v>594</v>
      </c>
      <c r="E141" s="119" t="s">
        <v>1236</v>
      </c>
    </row>
    <row r="142" spans="1:5">
      <c r="A142" s="199">
        <v>1136</v>
      </c>
      <c r="B142" s="201" t="s">
        <v>592</v>
      </c>
      <c r="C142" s="201" t="s">
        <v>593</v>
      </c>
      <c r="D142" s="202" t="s">
        <v>596</v>
      </c>
      <c r="E142" s="119" t="s">
        <v>1237</v>
      </c>
    </row>
    <row r="143" spans="1:5" ht="26.45">
      <c r="A143" s="199">
        <v>1137</v>
      </c>
      <c r="B143" s="200" t="s">
        <v>598</v>
      </c>
      <c r="C143" s="201" t="s">
        <v>10</v>
      </c>
      <c r="D143" s="202" t="s">
        <v>599</v>
      </c>
      <c r="E143" s="204" t="s">
        <v>1238</v>
      </c>
    </row>
    <row r="144" spans="1:5" ht="52.9">
      <c r="A144" s="199">
        <v>1138</v>
      </c>
      <c r="B144" s="201" t="s">
        <v>602</v>
      </c>
      <c r="C144" s="201" t="s">
        <v>398</v>
      </c>
      <c r="D144" s="202" t="s">
        <v>603</v>
      </c>
      <c r="E144" s="204" t="s">
        <v>1239</v>
      </c>
    </row>
    <row r="145" spans="1:5" ht="26.45">
      <c r="A145" s="199">
        <v>1139</v>
      </c>
      <c r="B145" s="201" t="s">
        <v>604</v>
      </c>
      <c r="C145" s="201" t="s">
        <v>605</v>
      </c>
      <c r="D145" s="202" t="s">
        <v>606</v>
      </c>
      <c r="E145" s="213" t="s">
        <v>1240</v>
      </c>
    </row>
    <row r="146" spans="1:5" ht="26.45">
      <c r="A146" s="199">
        <v>1140</v>
      </c>
      <c r="B146" s="200" t="s">
        <v>449</v>
      </c>
      <c r="C146" s="201" t="s">
        <v>450</v>
      </c>
      <c r="D146" s="202" t="s">
        <v>607</v>
      </c>
      <c r="E146" s="204" t="s">
        <v>1241</v>
      </c>
    </row>
    <row r="147" spans="1:5">
      <c r="A147" s="199">
        <v>1141</v>
      </c>
      <c r="B147" s="200" t="s">
        <v>449</v>
      </c>
      <c r="C147" s="201" t="s">
        <v>450</v>
      </c>
      <c r="D147" s="202" t="s">
        <v>609</v>
      </c>
      <c r="E147" s="204" t="s">
        <v>1242</v>
      </c>
    </row>
    <row r="148" spans="1:5">
      <c r="A148" s="199">
        <v>1142</v>
      </c>
      <c r="B148" s="200" t="s">
        <v>449</v>
      </c>
      <c r="C148" s="201" t="s">
        <v>450</v>
      </c>
      <c r="D148" s="202" t="s">
        <v>612</v>
      </c>
      <c r="E148" s="119" t="s">
        <v>1243</v>
      </c>
    </row>
    <row r="149" spans="1:5" ht="26.45">
      <c r="A149" s="199">
        <v>1143</v>
      </c>
      <c r="B149" s="200" t="s">
        <v>449</v>
      </c>
      <c r="C149" s="201" t="s">
        <v>450</v>
      </c>
      <c r="D149" s="202" t="s">
        <v>614</v>
      </c>
      <c r="E149" s="204" t="s">
        <v>1244</v>
      </c>
    </row>
    <row r="150" spans="1:5" ht="39.6">
      <c r="A150" s="199">
        <v>1144</v>
      </c>
      <c r="B150" s="200" t="s">
        <v>449</v>
      </c>
      <c r="C150" s="201" t="s">
        <v>450</v>
      </c>
      <c r="D150" s="202" t="s">
        <v>617</v>
      </c>
      <c r="E150" s="204" t="s">
        <v>1245</v>
      </c>
    </row>
    <row r="151" spans="1:5">
      <c r="A151" s="199">
        <v>1145</v>
      </c>
      <c r="B151" s="200" t="s">
        <v>449</v>
      </c>
      <c r="C151" s="201" t="s">
        <v>450</v>
      </c>
      <c r="D151" s="202" t="s">
        <v>621</v>
      </c>
      <c r="E151" s="119" t="s">
        <v>1246</v>
      </c>
    </row>
    <row r="152" spans="1:5">
      <c r="A152" s="199">
        <v>1146</v>
      </c>
      <c r="B152" s="200" t="s">
        <v>449</v>
      </c>
      <c r="C152" s="201" t="s">
        <v>450</v>
      </c>
      <c r="D152" s="202" t="s">
        <v>623</v>
      </c>
      <c r="E152" s="119" t="s">
        <v>1247</v>
      </c>
    </row>
    <row r="153" spans="1:5">
      <c r="A153" s="199">
        <v>1147</v>
      </c>
      <c r="B153" s="200" t="s">
        <v>449</v>
      </c>
      <c r="C153" s="201" t="s">
        <v>450</v>
      </c>
      <c r="D153" s="202" t="s">
        <v>627</v>
      </c>
      <c r="E153" s="119" t="s">
        <v>1248</v>
      </c>
    </row>
    <row r="154" spans="1:5" ht="26.45">
      <c r="A154" s="199">
        <v>1148</v>
      </c>
      <c r="B154" s="200" t="s">
        <v>449</v>
      </c>
      <c r="C154" s="201" t="s">
        <v>450</v>
      </c>
      <c r="D154" s="202" t="s">
        <v>629</v>
      </c>
      <c r="E154" s="204" t="s">
        <v>1249</v>
      </c>
    </row>
    <row r="155" spans="1:5">
      <c r="A155" s="199">
        <v>1149</v>
      </c>
      <c r="B155" s="200" t="s">
        <v>449</v>
      </c>
      <c r="C155" s="201" t="s">
        <v>450</v>
      </c>
      <c r="D155" s="202" t="s">
        <v>631</v>
      </c>
      <c r="E155" s="119" t="s">
        <v>1250</v>
      </c>
    </row>
    <row r="156" spans="1:5" ht="66">
      <c r="A156" s="199">
        <v>1150</v>
      </c>
      <c r="B156" s="200" t="s">
        <v>449</v>
      </c>
      <c r="C156" s="201" t="s">
        <v>450</v>
      </c>
      <c r="D156" s="202" t="s">
        <v>633</v>
      </c>
      <c r="E156" s="204" t="s">
        <v>1251</v>
      </c>
    </row>
    <row r="157" spans="1:5" ht="105.6">
      <c r="A157" s="199">
        <v>1151</v>
      </c>
      <c r="B157" s="200" t="s">
        <v>449</v>
      </c>
      <c r="C157" s="201" t="s">
        <v>450</v>
      </c>
      <c r="D157" s="202" t="s">
        <v>637</v>
      </c>
      <c r="E157" s="204" t="s">
        <v>1252</v>
      </c>
    </row>
    <row r="158" spans="1:5" ht="39.6">
      <c r="A158" s="199">
        <v>1152</v>
      </c>
      <c r="B158" s="200" t="s">
        <v>449</v>
      </c>
      <c r="C158" s="201" t="s">
        <v>450</v>
      </c>
      <c r="D158" s="202" t="s">
        <v>641</v>
      </c>
      <c r="E158" s="204" t="s">
        <v>1253</v>
      </c>
    </row>
    <row r="159" spans="1:5" ht="26.45">
      <c r="A159" s="199">
        <v>1306</v>
      </c>
      <c r="B159" s="200" t="s">
        <v>449</v>
      </c>
      <c r="C159" s="201" t="s">
        <v>450</v>
      </c>
      <c r="D159" s="202" t="s">
        <v>644</v>
      </c>
      <c r="E159" s="204" t="s">
        <v>1254</v>
      </c>
    </row>
    <row r="160" spans="1:5" ht="39.6">
      <c r="A160" s="199">
        <v>1154</v>
      </c>
      <c r="B160" s="200" t="s">
        <v>449</v>
      </c>
      <c r="C160" s="201" t="s">
        <v>450</v>
      </c>
      <c r="D160" s="202" t="s">
        <v>650</v>
      </c>
      <c r="E160" s="204" t="s">
        <v>1255</v>
      </c>
    </row>
    <row r="161" spans="1:5" ht="41.45">
      <c r="A161" s="199">
        <v>1153</v>
      </c>
      <c r="B161" s="200" t="s">
        <v>449</v>
      </c>
      <c r="C161" s="201" t="s">
        <v>450</v>
      </c>
      <c r="D161" s="202" t="s">
        <v>647</v>
      </c>
      <c r="E161" s="174" t="s">
        <v>1256</v>
      </c>
    </row>
    <row r="162" spans="1:5" ht="26.45">
      <c r="A162" s="199">
        <v>1155</v>
      </c>
      <c r="B162" s="200" t="s">
        <v>449</v>
      </c>
      <c r="C162" s="201" t="s">
        <v>450</v>
      </c>
      <c r="D162" s="202" t="s">
        <v>451</v>
      </c>
      <c r="E162" s="204" t="s">
        <v>1257</v>
      </c>
    </row>
    <row r="163" spans="1:5" ht="39.6">
      <c r="A163" s="199">
        <v>1156</v>
      </c>
      <c r="B163" s="200" t="s">
        <v>449</v>
      </c>
      <c r="C163" s="201" t="s">
        <v>450</v>
      </c>
      <c r="D163" s="202" t="s">
        <v>652</v>
      </c>
      <c r="E163" s="204" t="s">
        <v>1258</v>
      </c>
    </row>
    <row r="164" spans="1:5" ht="26.45">
      <c r="A164" s="199">
        <v>1157</v>
      </c>
      <c r="B164" s="200" t="s">
        <v>449</v>
      </c>
      <c r="C164" s="201" t="s">
        <v>450</v>
      </c>
      <c r="D164" s="202" t="s">
        <v>654</v>
      </c>
      <c r="E164" s="204" t="s">
        <v>1259</v>
      </c>
    </row>
    <row r="165" spans="1:5" ht="26.45">
      <c r="A165" s="199">
        <v>1158</v>
      </c>
      <c r="B165" s="200" t="s">
        <v>449</v>
      </c>
      <c r="C165" s="201" t="s">
        <v>450</v>
      </c>
      <c r="D165" s="202" t="s">
        <v>656</v>
      </c>
      <c r="E165" s="204" t="s">
        <v>1259</v>
      </c>
    </row>
    <row r="166" spans="1:5">
      <c r="A166" s="199">
        <v>1159</v>
      </c>
      <c r="B166" s="200" t="s">
        <v>449</v>
      </c>
      <c r="C166" s="201" t="s">
        <v>450</v>
      </c>
      <c r="D166" s="202" t="s">
        <v>657</v>
      </c>
      <c r="E166" s="119" t="s">
        <v>1260</v>
      </c>
    </row>
    <row r="167" spans="1:5">
      <c r="A167" s="199">
        <v>1160</v>
      </c>
      <c r="B167" s="200" t="s">
        <v>449</v>
      </c>
      <c r="C167" s="201" t="s">
        <v>450</v>
      </c>
      <c r="D167" s="202" t="s">
        <v>79</v>
      </c>
      <c r="E167" s="119" t="s">
        <v>1261</v>
      </c>
    </row>
    <row r="168" spans="1:5" ht="39.6">
      <c r="A168" s="199">
        <v>1307</v>
      </c>
      <c r="B168" s="200" t="s">
        <v>449</v>
      </c>
      <c r="C168" s="201" t="s">
        <v>450</v>
      </c>
      <c r="D168" s="202" t="s">
        <v>660</v>
      </c>
      <c r="E168" s="204" t="s">
        <v>1262</v>
      </c>
    </row>
    <row r="169" spans="1:5">
      <c r="A169" s="199">
        <v>1161</v>
      </c>
      <c r="B169" s="200" t="s">
        <v>449</v>
      </c>
      <c r="C169" s="201" t="s">
        <v>450</v>
      </c>
      <c r="D169" s="202" t="s">
        <v>663</v>
      </c>
      <c r="E169" s="119" t="s">
        <v>1263</v>
      </c>
    </row>
    <row r="170" spans="1:5" ht="52.9">
      <c r="A170" s="199">
        <v>1162</v>
      </c>
      <c r="B170" s="200" t="s">
        <v>449</v>
      </c>
      <c r="C170" s="201" t="s">
        <v>503</v>
      </c>
      <c r="D170" s="202" t="s">
        <v>666</v>
      </c>
      <c r="E170" s="204" t="s">
        <v>1264</v>
      </c>
    </row>
    <row r="171" spans="1:5" ht="26.45">
      <c r="A171" s="199">
        <v>1163</v>
      </c>
      <c r="B171" s="200" t="s">
        <v>449</v>
      </c>
      <c r="C171" s="201" t="s">
        <v>670</v>
      </c>
      <c r="D171" s="202" t="s">
        <v>671</v>
      </c>
      <c r="E171" s="204" t="s">
        <v>1265</v>
      </c>
    </row>
    <row r="172" spans="1:5">
      <c r="A172" s="199">
        <v>1164</v>
      </c>
      <c r="B172" s="200" t="s">
        <v>449</v>
      </c>
      <c r="C172" s="201" t="s">
        <v>670</v>
      </c>
      <c r="D172" s="202" t="s">
        <v>673</v>
      </c>
      <c r="E172" s="119" t="s">
        <v>1266</v>
      </c>
    </row>
    <row r="173" spans="1:5" ht="26.45">
      <c r="A173" s="199">
        <v>1165</v>
      </c>
      <c r="B173" s="200" t="s">
        <v>449</v>
      </c>
      <c r="C173" s="201" t="s">
        <v>670</v>
      </c>
      <c r="D173" s="202" t="s">
        <v>674</v>
      </c>
      <c r="E173" s="204" t="s">
        <v>1267</v>
      </c>
    </row>
    <row r="174" spans="1:5" ht="26.45">
      <c r="A174" s="199">
        <v>1166</v>
      </c>
      <c r="B174" s="200" t="s">
        <v>449</v>
      </c>
      <c r="C174" s="201" t="s">
        <v>675</v>
      </c>
      <c r="D174" s="202" t="s">
        <v>676</v>
      </c>
      <c r="E174" s="204" t="s">
        <v>1268</v>
      </c>
    </row>
    <row r="175" spans="1:5" ht="39.6">
      <c r="A175" s="199">
        <v>1308</v>
      </c>
      <c r="B175" s="200" t="s">
        <v>449</v>
      </c>
      <c r="C175" s="201" t="s">
        <v>679</v>
      </c>
      <c r="D175" s="202" t="s">
        <v>680</v>
      </c>
      <c r="E175" s="203" t="s">
        <v>1269</v>
      </c>
    </row>
    <row r="176" spans="1:5" ht="26.45">
      <c r="A176" s="199">
        <v>1167</v>
      </c>
      <c r="B176" s="200" t="s">
        <v>449</v>
      </c>
      <c r="C176" s="201" t="s">
        <v>679</v>
      </c>
      <c r="D176" s="202" t="s">
        <v>682</v>
      </c>
      <c r="E176" s="204" t="s">
        <v>1270</v>
      </c>
    </row>
    <row r="177" spans="1:5">
      <c r="A177" s="199">
        <v>1168</v>
      </c>
      <c r="B177" s="200" t="s">
        <v>449</v>
      </c>
      <c r="C177" s="201" t="s">
        <v>679</v>
      </c>
      <c r="D177" s="202" t="s">
        <v>684</v>
      </c>
      <c r="E177" s="119" t="s">
        <v>1271</v>
      </c>
    </row>
    <row r="178" spans="1:5">
      <c r="A178" s="199">
        <v>1169</v>
      </c>
      <c r="B178" s="200" t="s">
        <v>449</v>
      </c>
      <c r="C178" s="201" t="s">
        <v>679</v>
      </c>
      <c r="D178" s="202" t="s">
        <v>685</v>
      </c>
      <c r="E178" s="119" t="s">
        <v>1272</v>
      </c>
    </row>
    <row r="179" spans="1:5">
      <c r="A179" s="199">
        <v>1309</v>
      </c>
      <c r="B179" s="200" t="s">
        <v>449</v>
      </c>
      <c r="C179" s="201" t="s">
        <v>679</v>
      </c>
      <c r="D179" s="202" t="s">
        <v>687</v>
      </c>
      <c r="E179" s="119" t="s">
        <v>1273</v>
      </c>
    </row>
    <row r="180" spans="1:5">
      <c r="A180" s="199">
        <v>1170</v>
      </c>
      <c r="B180" s="200" t="s">
        <v>449</v>
      </c>
      <c r="C180" s="201" t="s">
        <v>679</v>
      </c>
      <c r="D180" s="202" t="s">
        <v>688</v>
      </c>
      <c r="E180" s="119" t="s">
        <v>1274</v>
      </c>
    </row>
    <row r="181" spans="1:5">
      <c r="A181" s="199">
        <v>1171</v>
      </c>
      <c r="B181" s="200" t="s">
        <v>449</v>
      </c>
      <c r="C181" s="201" t="s">
        <v>679</v>
      </c>
      <c r="D181" s="202" t="s">
        <v>691</v>
      </c>
      <c r="E181" s="119" t="s">
        <v>1275</v>
      </c>
    </row>
    <row r="182" spans="1:5">
      <c r="A182" s="199">
        <v>1172</v>
      </c>
      <c r="B182" s="200" t="s">
        <v>449</v>
      </c>
      <c r="C182" s="201" t="s">
        <v>679</v>
      </c>
      <c r="D182" s="202" t="s">
        <v>693</v>
      </c>
      <c r="E182" s="119" t="s">
        <v>1276</v>
      </c>
    </row>
    <row r="183" spans="1:5" ht="39.6">
      <c r="A183" s="199">
        <v>1173</v>
      </c>
      <c r="B183" s="200" t="s">
        <v>449</v>
      </c>
      <c r="C183" s="201" t="s">
        <v>694</v>
      </c>
      <c r="D183" s="202" t="s">
        <v>695</v>
      </c>
      <c r="E183" s="211" t="s">
        <v>1277</v>
      </c>
    </row>
    <row r="184" spans="1:5">
      <c r="A184" s="199">
        <v>1174</v>
      </c>
      <c r="B184" s="200" t="s">
        <v>449</v>
      </c>
      <c r="C184" s="201" t="s">
        <v>694</v>
      </c>
      <c r="D184" s="202" t="s">
        <v>698</v>
      </c>
      <c r="E184" s="119" t="s">
        <v>1278</v>
      </c>
    </row>
    <row r="185" spans="1:5" ht="26.45">
      <c r="A185" s="199">
        <v>1175</v>
      </c>
      <c r="B185" s="200" t="s">
        <v>449</v>
      </c>
      <c r="C185" s="201" t="s">
        <v>694</v>
      </c>
      <c r="D185" s="202" t="s">
        <v>700</v>
      </c>
      <c r="E185" s="204" t="s">
        <v>1279</v>
      </c>
    </row>
    <row r="186" spans="1:5" ht="39.6">
      <c r="A186" s="199">
        <v>1176</v>
      </c>
      <c r="B186" s="200" t="s">
        <v>449</v>
      </c>
      <c r="C186" s="201" t="s">
        <v>702</v>
      </c>
      <c r="D186" s="202" t="s">
        <v>703</v>
      </c>
      <c r="E186" s="204" t="s">
        <v>1280</v>
      </c>
    </row>
    <row r="187" spans="1:5" ht="26.45">
      <c r="A187" s="199">
        <v>1177</v>
      </c>
      <c r="B187" s="200" t="s">
        <v>449</v>
      </c>
      <c r="C187" s="201" t="s">
        <v>702</v>
      </c>
      <c r="D187" s="210" t="s">
        <v>706</v>
      </c>
      <c r="E187" s="119" t="s">
        <v>1281</v>
      </c>
    </row>
    <row r="188" spans="1:5">
      <c r="A188" s="199">
        <v>1178</v>
      </c>
      <c r="B188" s="200" t="s">
        <v>449</v>
      </c>
      <c r="C188" s="201" t="s">
        <v>702</v>
      </c>
      <c r="D188" s="202" t="s">
        <v>707</v>
      </c>
      <c r="E188" s="119" t="s">
        <v>1188</v>
      </c>
    </row>
    <row r="189" spans="1:5" ht="26.45">
      <c r="A189" s="199">
        <v>1179</v>
      </c>
      <c r="B189" s="200" t="s">
        <v>449</v>
      </c>
      <c r="C189" s="201" t="s">
        <v>702</v>
      </c>
      <c r="D189" s="202" t="s">
        <v>708</v>
      </c>
      <c r="E189" s="204" t="s">
        <v>1282</v>
      </c>
    </row>
    <row r="190" spans="1:5">
      <c r="A190" s="199">
        <v>1180</v>
      </c>
      <c r="B190" s="200" t="s">
        <v>449</v>
      </c>
      <c r="C190" s="201" t="s">
        <v>702</v>
      </c>
      <c r="D190" s="202" t="s">
        <v>709</v>
      </c>
      <c r="E190" s="119" t="s">
        <v>1283</v>
      </c>
    </row>
    <row r="191" spans="1:5">
      <c r="A191" s="199">
        <v>1181</v>
      </c>
      <c r="B191" s="200" t="s">
        <v>449</v>
      </c>
      <c r="C191" s="201" t="s">
        <v>702</v>
      </c>
      <c r="D191" s="202" t="s">
        <v>710</v>
      </c>
      <c r="E191" s="119" t="s">
        <v>1284</v>
      </c>
    </row>
    <row r="192" spans="1:5">
      <c r="A192" s="199">
        <v>1182</v>
      </c>
      <c r="B192" s="200" t="s">
        <v>449</v>
      </c>
      <c r="C192" s="201" t="s">
        <v>702</v>
      </c>
      <c r="D192" s="202" t="s">
        <v>712</v>
      </c>
      <c r="E192" s="119" t="s">
        <v>1285</v>
      </c>
    </row>
    <row r="193" spans="1:5">
      <c r="A193" s="199">
        <v>1183</v>
      </c>
      <c r="B193" s="200" t="s">
        <v>449</v>
      </c>
      <c r="C193" s="201" t="s">
        <v>702</v>
      </c>
      <c r="D193" s="202" t="s">
        <v>713</v>
      </c>
      <c r="E193" s="119" t="s">
        <v>1286</v>
      </c>
    </row>
    <row r="194" spans="1:5" ht="13.9">
      <c r="A194" s="199">
        <v>1184</v>
      </c>
      <c r="B194" s="200" t="s">
        <v>449</v>
      </c>
      <c r="C194" s="201" t="s">
        <v>702</v>
      </c>
      <c r="D194" s="202" t="s">
        <v>714</v>
      </c>
      <c r="E194" s="175" t="s">
        <v>1287</v>
      </c>
    </row>
    <row r="195" spans="1:5" ht="26.45">
      <c r="A195" s="199">
        <v>1185</v>
      </c>
      <c r="B195" s="200" t="s">
        <v>449</v>
      </c>
      <c r="C195" s="201" t="s">
        <v>702</v>
      </c>
      <c r="D195" s="202" t="s">
        <v>715</v>
      </c>
      <c r="E195" s="204" t="s">
        <v>1288</v>
      </c>
    </row>
    <row r="196" spans="1:5" ht="52.9">
      <c r="A196" s="199">
        <v>1186</v>
      </c>
      <c r="B196" s="200" t="s">
        <v>449</v>
      </c>
      <c r="C196" s="201" t="s">
        <v>702</v>
      </c>
      <c r="D196" s="202" t="s">
        <v>716</v>
      </c>
      <c r="E196" s="204" t="s">
        <v>1289</v>
      </c>
    </row>
    <row r="197" spans="1:5">
      <c r="A197" s="199">
        <v>1187</v>
      </c>
      <c r="B197" s="200" t="s">
        <v>449</v>
      </c>
      <c r="C197" s="201" t="s">
        <v>702</v>
      </c>
      <c r="D197" s="202" t="s">
        <v>717</v>
      </c>
      <c r="E197" s="119" t="s">
        <v>1290</v>
      </c>
    </row>
    <row r="198" spans="1:5" ht="39.6">
      <c r="A198" s="199">
        <v>1188</v>
      </c>
      <c r="B198" s="200" t="s">
        <v>449</v>
      </c>
      <c r="C198" s="201" t="s">
        <v>719</v>
      </c>
      <c r="D198" s="202" t="s">
        <v>720</v>
      </c>
      <c r="E198" s="211" t="s">
        <v>1291</v>
      </c>
    </row>
    <row r="199" spans="1:5" ht="26.45">
      <c r="A199" s="199">
        <v>1189</v>
      </c>
      <c r="B199" s="200" t="s">
        <v>449</v>
      </c>
      <c r="C199" s="201" t="s">
        <v>719</v>
      </c>
      <c r="D199" s="202" t="s">
        <v>722</v>
      </c>
      <c r="E199" s="204" t="s">
        <v>1292</v>
      </c>
    </row>
    <row r="200" spans="1:5" ht="41.45">
      <c r="A200" s="199">
        <v>1190</v>
      </c>
      <c r="B200" s="200" t="s">
        <v>449</v>
      </c>
      <c r="C200" s="201" t="s">
        <v>719</v>
      </c>
      <c r="D200" s="202" t="s">
        <v>723</v>
      </c>
      <c r="E200" s="174" t="s">
        <v>1293</v>
      </c>
    </row>
    <row r="201" spans="1:5" ht="39.6">
      <c r="A201" s="199">
        <v>1191</v>
      </c>
      <c r="B201" s="200" t="s">
        <v>449</v>
      </c>
      <c r="C201" s="201" t="s">
        <v>719</v>
      </c>
      <c r="D201" s="202" t="s">
        <v>724</v>
      </c>
      <c r="E201" s="177" t="s">
        <v>1294</v>
      </c>
    </row>
    <row r="202" spans="1:5" ht="26.45">
      <c r="A202" s="199">
        <v>1192</v>
      </c>
      <c r="B202" s="200" t="s">
        <v>449</v>
      </c>
      <c r="C202" s="201" t="s">
        <v>719</v>
      </c>
      <c r="D202" s="202" t="s">
        <v>725</v>
      </c>
      <c r="E202" s="204" t="s">
        <v>1295</v>
      </c>
    </row>
    <row r="203" spans="1:5" ht="26.45">
      <c r="A203" s="199">
        <v>1193</v>
      </c>
      <c r="B203" s="200" t="s">
        <v>726</v>
      </c>
      <c r="C203" s="201" t="s">
        <v>727</v>
      </c>
      <c r="D203" s="202" t="s">
        <v>728</v>
      </c>
      <c r="E203" s="204" t="s">
        <v>1296</v>
      </c>
    </row>
    <row r="204" spans="1:5">
      <c r="A204" s="199">
        <v>1310</v>
      </c>
      <c r="B204" s="200" t="s">
        <v>726</v>
      </c>
      <c r="C204" s="201" t="s">
        <v>727</v>
      </c>
      <c r="D204" s="202" t="s">
        <v>731</v>
      </c>
      <c r="E204" s="211" t="s">
        <v>1297</v>
      </c>
    </row>
    <row r="205" spans="1:5" ht="39.6">
      <c r="A205" s="199">
        <v>1194</v>
      </c>
      <c r="B205" s="200" t="s">
        <v>726</v>
      </c>
      <c r="C205" s="201" t="s">
        <v>727</v>
      </c>
      <c r="D205" s="202" t="s">
        <v>734</v>
      </c>
      <c r="E205" s="204" t="s">
        <v>1298</v>
      </c>
    </row>
    <row r="206" spans="1:5" ht="39.6">
      <c r="A206" s="199">
        <v>1195</v>
      </c>
      <c r="B206" s="200" t="s">
        <v>726</v>
      </c>
      <c r="C206" s="201" t="s">
        <v>727</v>
      </c>
      <c r="D206" s="202" t="s">
        <v>736</v>
      </c>
      <c r="E206" s="211" t="s">
        <v>1299</v>
      </c>
    </row>
    <row r="207" spans="1:5" ht="26.45">
      <c r="A207" s="199">
        <v>1196</v>
      </c>
      <c r="B207" s="200" t="s">
        <v>726</v>
      </c>
      <c r="C207" s="201" t="s">
        <v>727</v>
      </c>
      <c r="D207" s="202" t="s">
        <v>737</v>
      </c>
      <c r="E207" s="204" t="s">
        <v>1300</v>
      </c>
    </row>
    <row r="208" spans="1:5">
      <c r="A208" s="199">
        <v>1197</v>
      </c>
      <c r="B208" s="200" t="s">
        <v>726</v>
      </c>
      <c r="C208" s="201" t="s">
        <v>727</v>
      </c>
      <c r="D208" s="202" t="s">
        <v>738</v>
      </c>
      <c r="E208" s="169" t="s">
        <v>1301</v>
      </c>
    </row>
    <row r="209" spans="1:5">
      <c r="A209" s="199">
        <v>1198</v>
      </c>
      <c r="B209" s="200" t="s">
        <v>726</v>
      </c>
      <c r="C209" s="201" t="s">
        <v>727</v>
      </c>
      <c r="D209" s="202" t="s">
        <v>739</v>
      </c>
      <c r="E209" s="204" t="s">
        <v>1302</v>
      </c>
    </row>
    <row r="210" spans="1:5">
      <c r="A210" s="199">
        <v>1199</v>
      </c>
      <c r="B210" s="200" t="s">
        <v>726</v>
      </c>
      <c r="C210" s="201" t="s">
        <v>727</v>
      </c>
      <c r="D210" s="202" t="s">
        <v>740</v>
      </c>
      <c r="E210" s="169" t="s">
        <v>1301</v>
      </c>
    </row>
    <row r="211" spans="1:5" ht="52.9">
      <c r="A211" s="199">
        <v>1200</v>
      </c>
      <c r="B211" s="200" t="s">
        <v>726</v>
      </c>
      <c r="C211" s="201" t="s">
        <v>727</v>
      </c>
      <c r="D211" s="202" t="s">
        <v>741</v>
      </c>
      <c r="E211" s="204" t="s">
        <v>1303</v>
      </c>
    </row>
    <row r="212" spans="1:5" ht="26.45">
      <c r="A212" s="199">
        <v>1201</v>
      </c>
      <c r="B212" s="200" t="s">
        <v>726</v>
      </c>
      <c r="C212" s="201" t="s">
        <v>743</v>
      </c>
      <c r="D212" s="202" t="s">
        <v>744</v>
      </c>
      <c r="E212" s="204" t="s">
        <v>1304</v>
      </c>
    </row>
    <row r="213" spans="1:5" ht="52.9">
      <c r="A213" s="199">
        <v>1202</v>
      </c>
      <c r="B213" s="200" t="s">
        <v>726</v>
      </c>
      <c r="C213" s="201" t="s">
        <v>398</v>
      </c>
      <c r="D213" s="202" t="s">
        <v>746</v>
      </c>
      <c r="E213" s="204" t="s">
        <v>1305</v>
      </c>
    </row>
    <row r="214" spans="1:5">
      <c r="A214" s="199">
        <v>1203</v>
      </c>
      <c r="B214" s="200" t="s">
        <v>726</v>
      </c>
      <c r="C214" s="201" t="s">
        <v>743</v>
      </c>
      <c r="D214" s="202" t="s">
        <v>747</v>
      </c>
      <c r="E214" s="119" t="s">
        <v>1306</v>
      </c>
    </row>
    <row r="215" spans="1:5">
      <c r="A215" s="199">
        <v>1204</v>
      </c>
      <c r="B215" s="201" t="s">
        <v>1307</v>
      </c>
      <c r="C215" s="201" t="s">
        <v>750</v>
      </c>
      <c r="D215" s="202" t="s">
        <v>751</v>
      </c>
      <c r="E215" s="119" t="s">
        <v>1308</v>
      </c>
    </row>
    <row r="216" spans="1:5">
      <c r="A216" s="199">
        <v>1205</v>
      </c>
      <c r="B216" s="201" t="s">
        <v>754</v>
      </c>
      <c r="C216" s="201" t="s">
        <v>398</v>
      </c>
      <c r="D216" s="202" t="s">
        <v>755</v>
      </c>
      <c r="E216" s="119" t="s">
        <v>1274</v>
      </c>
    </row>
    <row r="217" spans="1:5" ht="52.9">
      <c r="A217" s="199">
        <v>1206</v>
      </c>
      <c r="B217" s="201" t="s">
        <v>757</v>
      </c>
      <c r="C217" s="201" t="s">
        <v>758</v>
      </c>
      <c r="D217" s="202" t="s">
        <v>759</v>
      </c>
      <c r="E217" s="204" t="s">
        <v>1309</v>
      </c>
    </row>
    <row r="218" spans="1:5">
      <c r="A218" s="199">
        <v>1207</v>
      </c>
      <c r="B218" s="201" t="s">
        <v>760</v>
      </c>
      <c r="C218" s="201" t="s">
        <v>450</v>
      </c>
      <c r="D218" s="202" t="s">
        <v>761</v>
      </c>
      <c r="E218" s="119" t="s">
        <v>1310</v>
      </c>
    </row>
    <row r="219" spans="1:5">
      <c r="A219" s="199">
        <v>1208</v>
      </c>
      <c r="B219" s="200" t="s">
        <v>760</v>
      </c>
      <c r="C219" s="201" t="s">
        <v>762</v>
      </c>
      <c r="D219" s="202" t="s">
        <v>763</v>
      </c>
      <c r="E219" s="119" t="s">
        <v>1311</v>
      </c>
    </row>
    <row r="220" spans="1:5">
      <c r="A220" s="199">
        <v>1209</v>
      </c>
      <c r="B220" s="200" t="s">
        <v>760</v>
      </c>
      <c r="C220" s="201" t="s">
        <v>762</v>
      </c>
      <c r="D220" s="202" t="s">
        <v>764</v>
      </c>
      <c r="E220" s="119" t="s">
        <v>1312</v>
      </c>
    </row>
    <row r="221" spans="1:5">
      <c r="A221" s="199">
        <v>1210</v>
      </c>
      <c r="B221" s="200" t="s">
        <v>760</v>
      </c>
      <c r="C221" s="201" t="s">
        <v>762</v>
      </c>
      <c r="D221" s="202" t="s">
        <v>766</v>
      </c>
      <c r="E221" s="119" t="s">
        <v>1313</v>
      </c>
    </row>
    <row r="222" spans="1:5">
      <c r="A222" s="199">
        <v>1211</v>
      </c>
      <c r="B222" s="200" t="s">
        <v>767</v>
      </c>
      <c r="C222" s="201" t="s">
        <v>768</v>
      </c>
      <c r="D222" s="202" t="s">
        <v>769</v>
      </c>
      <c r="E222" s="119" t="s">
        <v>1314</v>
      </c>
    </row>
    <row r="223" spans="1:5">
      <c r="A223" s="199">
        <v>1212</v>
      </c>
      <c r="B223" s="200" t="s">
        <v>767</v>
      </c>
      <c r="C223" s="201" t="s">
        <v>768</v>
      </c>
      <c r="D223" s="202" t="s">
        <v>770</v>
      </c>
      <c r="E223" s="119" t="s">
        <v>1315</v>
      </c>
    </row>
    <row r="224" spans="1:5" ht="26.45">
      <c r="A224" s="199">
        <v>1213</v>
      </c>
      <c r="B224" s="200" t="s">
        <v>767</v>
      </c>
      <c r="C224" s="201" t="s">
        <v>768</v>
      </c>
      <c r="D224" s="202" t="s">
        <v>772</v>
      </c>
      <c r="E224" s="204" t="s">
        <v>1316</v>
      </c>
    </row>
    <row r="225" spans="1:5" ht="26.45">
      <c r="A225" s="199">
        <v>1214</v>
      </c>
      <c r="B225" s="200" t="s">
        <v>767</v>
      </c>
      <c r="C225" s="201" t="s">
        <v>768</v>
      </c>
      <c r="D225" s="202" t="s">
        <v>775</v>
      </c>
      <c r="E225" s="119" t="s">
        <v>1317</v>
      </c>
    </row>
    <row r="226" spans="1:5" ht="27.6">
      <c r="A226" s="199">
        <v>1215</v>
      </c>
      <c r="B226" s="200" t="s">
        <v>767</v>
      </c>
      <c r="C226" s="201" t="s">
        <v>768</v>
      </c>
      <c r="D226" s="202" t="s">
        <v>777</v>
      </c>
      <c r="E226" s="174" t="s">
        <v>1318</v>
      </c>
    </row>
    <row r="227" spans="1:5" ht="26.45">
      <c r="A227" s="199">
        <v>1216</v>
      </c>
      <c r="B227" s="200" t="s">
        <v>767</v>
      </c>
      <c r="C227" s="201" t="s">
        <v>768</v>
      </c>
      <c r="D227" s="202" t="s">
        <v>779</v>
      </c>
      <c r="E227" s="119" t="s">
        <v>1319</v>
      </c>
    </row>
    <row r="228" spans="1:5" ht="26.45">
      <c r="A228" s="199">
        <v>1217</v>
      </c>
      <c r="B228" s="200" t="s">
        <v>767</v>
      </c>
      <c r="C228" s="201" t="s">
        <v>768</v>
      </c>
      <c r="D228" s="202" t="s">
        <v>781</v>
      </c>
      <c r="E228" s="204" t="s">
        <v>1320</v>
      </c>
    </row>
    <row r="229" spans="1:5" ht="27.6">
      <c r="A229" s="199">
        <v>1218</v>
      </c>
      <c r="B229" s="200" t="s">
        <v>767</v>
      </c>
      <c r="C229" s="201" t="s">
        <v>768</v>
      </c>
      <c r="D229" s="202" t="s">
        <v>783</v>
      </c>
      <c r="E229" s="174" t="s">
        <v>1321</v>
      </c>
    </row>
    <row r="230" spans="1:5">
      <c r="A230" s="199">
        <v>1219</v>
      </c>
      <c r="B230" s="200" t="s">
        <v>767</v>
      </c>
      <c r="C230" s="201" t="s">
        <v>768</v>
      </c>
      <c r="D230" s="202" t="s">
        <v>786</v>
      </c>
      <c r="E230" s="119" t="s">
        <v>1322</v>
      </c>
    </row>
    <row r="231" spans="1:5" ht="27.6">
      <c r="A231" s="199">
        <v>1220</v>
      </c>
      <c r="B231" s="200" t="s">
        <v>767</v>
      </c>
      <c r="C231" s="201" t="s">
        <v>768</v>
      </c>
      <c r="D231" s="202" t="s">
        <v>788</v>
      </c>
      <c r="E231" s="174" t="s">
        <v>1323</v>
      </c>
    </row>
    <row r="232" spans="1:5" ht="26.45">
      <c r="A232" s="199">
        <v>1221</v>
      </c>
      <c r="B232" s="200" t="s">
        <v>767</v>
      </c>
      <c r="C232" s="201" t="s">
        <v>768</v>
      </c>
      <c r="D232" s="202" t="s">
        <v>790</v>
      </c>
      <c r="E232" s="119" t="s">
        <v>1324</v>
      </c>
    </row>
    <row r="233" spans="1:5" ht="26.45">
      <c r="A233" s="199">
        <v>1222</v>
      </c>
      <c r="B233" s="200" t="s">
        <v>767</v>
      </c>
      <c r="C233" s="201" t="s">
        <v>768</v>
      </c>
      <c r="D233" s="202" t="s">
        <v>793</v>
      </c>
      <c r="E233" s="204" t="s">
        <v>1325</v>
      </c>
    </row>
    <row r="234" spans="1:5" ht="26.45">
      <c r="A234" s="199">
        <v>1223</v>
      </c>
      <c r="B234" s="200" t="s">
        <v>767</v>
      </c>
      <c r="C234" s="201" t="s">
        <v>795</v>
      </c>
      <c r="D234" s="202" t="s">
        <v>796</v>
      </c>
      <c r="E234" s="119" t="s">
        <v>1326</v>
      </c>
    </row>
    <row r="235" spans="1:5" ht="26.45">
      <c r="A235" s="199">
        <v>1224</v>
      </c>
      <c r="B235" s="200" t="s">
        <v>767</v>
      </c>
      <c r="C235" s="201" t="s">
        <v>795</v>
      </c>
      <c r="D235" s="202" t="s">
        <v>800</v>
      </c>
      <c r="E235" s="119" t="s">
        <v>1327</v>
      </c>
    </row>
    <row r="236" spans="1:5">
      <c r="A236" s="199">
        <v>1225</v>
      </c>
      <c r="B236" s="200" t="s">
        <v>767</v>
      </c>
      <c r="C236" s="201" t="s">
        <v>795</v>
      </c>
      <c r="D236" s="202" t="s">
        <v>802</v>
      </c>
      <c r="E236" s="119" t="s">
        <v>1328</v>
      </c>
    </row>
    <row r="237" spans="1:5" ht="26.45">
      <c r="A237" s="199">
        <v>1226</v>
      </c>
      <c r="B237" s="200" t="s">
        <v>767</v>
      </c>
      <c r="C237" s="201" t="s">
        <v>795</v>
      </c>
      <c r="D237" s="202" t="s">
        <v>804</v>
      </c>
      <c r="E237" s="119" t="s">
        <v>1329</v>
      </c>
    </row>
    <row r="238" spans="1:5" ht="26.45">
      <c r="A238" s="199">
        <v>1227</v>
      </c>
      <c r="B238" s="200" t="s">
        <v>767</v>
      </c>
      <c r="C238" s="201" t="s">
        <v>806</v>
      </c>
      <c r="D238" s="202" t="s">
        <v>807</v>
      </c>
      <c r="E238" s="204" t="s">
        <v>1330</v>
      </c>
    </row>
    <row r="239" spans="1:5" ht="26.45">
      <c r="A239" s="199">
        <v>1228</v>
      </c>
      <c r="B239" s="200" t="s">
        <v>767</v>
      </c>
      <c r="C239" s="201" t="s">
        <v>806</v>
      </c>
      <c r="D239" s="202" t="s">
        <v>810</v>
      </c>
      <c r="E239" s="119" t="s">
        <v>1331</v>
      </c>
    </row>
    <row r="240" spans="1:5" ht="26.45">
      <c r="A240" s="199">
        <v>1229</v>
      </c>
      <c r="B240" s="200" t="s">
        <v>767</v>
      </c>
      <c r="C240" s="201" t="s">
        <v>806</v>
      </c>
      <c r="D240" s="202" t="s">
        <v>812</v>
      </c>
      <c r="E240" s="204" t="s">
        <v>1332</v>
      </c>
    </row>
    <row r="241" spans="1:6" ht="39.6">
      <c r="A241" s="199">
        <v>1230</v>
      </c>
      <c r="B241" s="200" t="s">
        <v>767</v>
      </c>
      <c r="C241" s="201" t="s">
        <v>814</v>
      </c>
      <c r="D241" s="202" t="s">
        <v>815</v>
      </c>
      <c r="E241" s="204" t="s">
        <v>1333</v>
      </c>
      <c r="F241" s="119"/>
    </row>
    <row r="242" spans="1:6" ht="39.6">
      <c r="A242" s="199">
        <v>1231</v>
      </c>
      <c r="B242" s="200" t="s">
        <v>767</v>
      </c>
      <c r="C242" s="201" t="s">
        <v>818</v>
      </c>
      <c r="D242" s="202" t="s">
        <v>141</v>
      </c>
      <c r="E242" s="168" t="s">
        <v>1334</v>
      </c>
      <c r="F242" s="174"/>
    </row>
    <row r="243" spans="1:6" ht="52.9">
      <c r="A243" s="199">
        <v>1232</v>
      </c>
      <c r="B243" s="200" t="s">
        <v>767</v>
      </c>
      <c r="C243" s="201" t="s">
        <v>818</v>
      </c>
      <c r="D243" s="202" t="s">
        <v>99</v>
      </c>
      <c r="E243" s="168" t="s">
        <v>1335</v>
      </c>
      <c r="F243" s="119"/>
    </row>
    <row r="244" spans="1:6" ht="39.6">
      <c r="A244" s="199">
        <v>1233</v>
      </c>
      <c r="B244" s="200" t="s">
        <v>767</v>
      </c>
      <c r="C244" s="201" t="s">
        <v>818</v>
      </c>
      <c r="D244" s="202" t="s">
        <v>20</v>
      </c>
      <c r="E244" s="204" t="s">
        <v>1336</v>
      </c>
      <c r="F244" s="119"/>
    </row>
    <row r="245" spans="1:6" ht="52.9">
      <c r="A245" s="199">
        <v>1234</v>
      </c>
      <c r="B245" s="214" t="s">
        <v>767</v>
      </c>
      <c r="C245" s="201" t="s">
        <v>818</v>
      </c>
      <c r="D245" s="202" t="s">
        <v>819</v>
      </c>
      <c r="E245" s="204" t="s">
        <v>1337</v>
      </c>
      <c r="F245" s="119"/>
    </row>
    <row r="246" spans="1:6">
      <c r="A246" s="199">
        <v>1235</v>
      </c>
      <c r="B246" s="200" t="s">
        <v>820</v>
      </c>
      <c r="C246" s="201" t="s">
        <v>821</v>
      </c>
      <c r="D246" s="202" t="s">
        <v>822</v>
      </c>
      <c r="E246" s="119" t="s">
        <v>1338</v>
      </c>
      <c r="F246" s="119"/>
    </row>
    <row r="247" spans="1:6">
      <c r="A247" s="199">
        <v>1236</v>
      </c>
      <c r="B247" s="200" t="s">
        <v>820</v>
      </c>
      <c r="C247" s="201" t="s">
        <v>821</v>
      </c>
      <c r="D247" s="202" t="s">
        <v>825</v>
      </c>
      <c r="E247" s="119" t="s">
        <v>1339</v>
      </c>
      <c r="F247" s="119"/>
    </row>
    <row r="248" spans="1:6">
      <c r="A248" s="199">
        <v>1237</v>
      </c>
      <c r="B248" s="200" t="s">
        <v>820</v>
      </c>
      <c r="C248" s="201" t="s">
        <v>821</v>
      </c>
      <c r="D248" s="202" t="s">
        <v>827</v>
      </c>
      <c r="E248" s="119" t="s">
        <v>1340</v>
      </c>
      <c r="F248" s="119"/>
    </row>
    <row r="249" spans="1:6">
      <c r="A249" s="199">
        <v>1238</v>
      </c>
      <c r="B249" s="200" t="s">
        <v>820</v>
      </c>
      <c r="C249" s="201" t="s">
        <v>821</v>
      </c>
      <c r="D249" s="202" t="s">
        <v>829</v>
      </c>
      <c r="E249" s="119" t="s">
        <v>1341</v>
      </c>
      <c r="F249" s="119"/>
    </row>
    <row r="250" spans="1:6">
      <c r="A250" s="199">
        <v>1239</v>
      </c>
      <c r="B250" s="200" t="s">
        <v>820</v>
      </c>
      <c r="C250" s="201" t="s">
        <v>821</v>
      </c>
      <c r="D250" s="202" t="s">
        <v>831</v>
      </c>
      <c r="E250" s="204" t="s">
        <v>1342</v>
      </c>
      <c r="F250" s="119"/>
    </row>
    <row r="251" spans="1:6">
      <c r="A251" s="199">
        <v>1240</v>
      </c>
      <c r="B251" s="200" t="s">
        <v>820</v>
      </c>
      <c r="C251" s="201" t="s">
        <v>821</v>
      </c>
      <c r="D251" s="202" t="s">
        <v>834</v>
      </c>
      <c r="E251" s="119" t="s">
        <v>1343</v>
      </c>
      <c r="F251" s="119"/>
    </row>
    <row r="252" spans="1:6" ht="39.6">
      <c r="A252" s="199">
        <v>1241</v>
      </c>
      <c r="B252" s="200" t="s">
        <v>820</v>
      </c>
      <c r="C252" s="201" t="s">
        <v>528</v>
      </c>
      <c r="D252" s="202" t="s">
        <v>836</v>
      </c>
      <c r="E252" s="211" t="s">
        <v>1344</v>
      </c>
      <c r="F252" s="119"/>
    </row>
    <row r="253" spans="1:6" ht="39.6">
      <c r="A253" s="199">
        <v>1242</v>
      </c>
      <c r="B253" s="200" t="s">
        <v>820</v>
      </c>
      <c r="C253" s="201" t="s">
        <v>528</v>
      </c>
      <c r="D253" s="202" t="s">
        <v>837</v>
      </c>
      <c r="E253" s="204" t="s">
        <v>1345</v>
      </c>
      <c r="F253" s="119"/>
    </row>
    <row r="254" spans="1:6" ht="26.45">
      <c r="A254" s="199">
        <v>1243</v>
      </c>
      <c r="B254" s="200" t="s">
        <v>820</v>
      </c>
      <c r="C254" s="201" t="s">
        <v>528</v>
      </c>
      <c r="D254" s="202" t="s">
        <v>838</v>
      </c>
      <c r="E254" s="204" t="s">
        <v>1346</v>
      </c>
      <c r="F254" s="119"/>
    </row>
    <row r="255" spans="1:6" ht="26.45">
      <c r="A255" s="199">
        <v>1244</v>
      </c>
      <c r="B255" s="200" t="s">
        <v>820</v>
      </c>
      <c r="C255" s="201" t="s">
        <v>839</v>
      </c>
      <c r="D255" s="202" t="s">
        <v>840</v>
      </c>
      <c r="E255" s="204" t="s">
        <v>1347</v>
      </c>
      <c r="F255" s="119"/>
    </row>
    <row r="256" spans="1:6">
      <c r="A256" s="199">
        <v>1245</v>
      </c>
      <c r="B256" s="200" t="s">
        <v>820</v>
      </c>
      <c r="C256" s="201" t="s">
        <v>839</v>
      </c>
      <c r="D256" s="202" t="s">
        <v>842</v>
      </c>
      <c r="E256" s="119" t="s">
        <v>1348</v>
      </c>
      <c r="F256" s="119"/>
    </row>
    <row r="257" spans="1:6">
      <c r="A257" s="199">
        <v>1246</v>
      </c>
      <c r="B257" s="200" t="s">
        <v>820</v>
      </c>
      <c r="C257" s="201" t="s">
        <v>839</v>
      </c>
      <c r="D257" s="202" t="s">
        <v>843</v>
      </c>
      <c r="E257" s="119" t="s">
        <v>1349</v>
      </c>
      <c r="F257" s="119"/>
    </row>
    <row r="258" spans="1:6">
      <c r="A258" s="199">
        <v>1247</v>
      </c>
      <c r="B258" s="200" t="s">
        <v>820</v>
      </c>
      <c r="C258" s="201" t="s">
        <v>839</v>
      </c>
      <c r="D258" s="202" t="s">
        <v>845</v>
      </c>
      <c r="E258" s="119" t="s">
        <v>1350</v>
      </c>
      <c r="F258" s="119"/>
    </row>
    <row r="259" spans="1:6" ht="26.45">
      <c r="A259" s="199">
        <v>1248</v>
      </c>
      <c r="B259" s="200" t="s">
        <v>820</v>
      </c>
      <c r="C259" s="201" t="s">
        <v>839</v>
      </c>
      <c r="D259" s="202" t="s">
        <v>846</v>
      </c>
      <c r="E259" s="204" t="s">
        <v>1351</v>
      </c>
      <c r="F259" s="119"/>
    </row>
    <row r="260" spans="1:6">
      <c r="A260" s="199">
        <v>1249</v>
      </c>
      <c r="B260" s="200" t="s">
        <v>820</v>
      </c>
      <c r="C260" s="201" t="s">
        <v>839</v>
      </c>
      <c r="D260" s="202" t="s">
        <v>847</v>
      </c>
      <c r="E260" s="119" t="s">
        <v>1352</v>
      </c>
      <c r="F260" s="119"/>
    </row>
    <row r="261" spans="1:6" ht="26.45">
      <c r="A261" s="199">
        <v>1250</v>
      </c>
      <c r="B261" s="200" t="s">
        <v>820</v>
      </c>
      <c r="C261" s="201" t="s">
        <v>839</v>
      </c>
      <c r="D261" s="202" t="s">
        <v>848</v>
      </c>
      <c r="E261" s="204" t="s">
        <v>1353</v>
      </c>
      <c r="F261" s="215"/>
    </row>
    <row r="262" spans="1:6" ht="26.45">
      <c r="A262" s="199">
        <v>1251</v>
      </c>
      <c r="B262" s="200" t="s">
        <v>820</v>
      </c>
      <c r="C262" s="201" t="s">
        <v>839</v>
      </c>
      <c r="D262" s="202" t="s">
        <v>849</v>
      </c>
      <c r="E262" s="204" t="s">
        <v>1354</v>
      </c>
      <c r="F262" s="119"/>
    </row>
    <row r="263" spans="1:6" ht="26.45">
      <c r="A263" s="199">
        <v>1252</v>
      </c>
      <c r="B263" s="200" t="s">
        <v>820</v>
      </c>
      <c r="C263" s="201" t="s">
        <v>850</v>
      </c>
      <c r="D263" s="202" t="s">
        <v>851</v>
      </c>
      <c r="E263" s="204" t="s">
        <v>1355</v>
      </c>
      <c r="F263" s="119"/>
    </row>
    <row r="264" spans="1:6" s="178" customFormat="1" ht="52.9">
      <c r="A264" s="199">
        <v>1253</v>
      </c>
      <c r="B264" s="200" t="s">
        <v>820</v>
      </c>
      <c r="C264" s="201" t="s">
        <v>850</v>
      </c>
      <c r="D264" s="202" t="s">
        <v>852</v>
      </c>
      <c r="E264" s="204" t="s">
        <v>1356</v>
      </c>
      <c r="F264" s="119"/>
    </row>
    <row r="265" spans="1:6" ht="26.45">
      <c r="A265" s="199">
        <v>1254</v>
      </c>
      <c r="B265" s="200" t="s">
        <v>583</v>
      </c>
      <c r="C265" s="201" t="s">
        <v>853</v>
      </c>
      <c r="D265" s="202" t="s">
        <v>854</v>
      </c>
      <c r="E265" s="204" t="s">
        <v>1357</v>
      </c>
      <c r="F265" s="215"/>
    </row>
    <row r="266" spans="1:6">
      <c r="A266" s="216">
        <v>1255</v>
      </c>
      <c r="B266" s="217" t="s">
        <v>583</v>
      </c>
      <c r="C266" s="218" t="s">
        <v>853</v>
      </c>
      <c r="D266" s="219" t="s">
        <v>856</v>
      </c>
      <c r="E266" s="120" t="s">
        <v>1358</v>
      </c>
      <c r="F266" s="120"/>
    </row>
    <row r="267" spans="1:6">
      <c r="A267" s="199">
        <v>1256</v>
      </c>
      <c r="B267" s="200" t="s">
        <v>857</v>
      </c>
      <c r="C267" s="201" t="s">
        <v>858</v>
      </c>
      <c r="D267" s="202" t="s">
        <v>859</v>
      </c>
      <c r="E267" s="119" t="s">
        <v>1188</v>
      </c>
      <c r="F267" s="119"/>
    </row>
    <row r="268" spans="1:6" ht="52.9">
      <c r="A268" s="199">
        <v>1257</v>
      </c>
      <c r="B268" s="200" t="s">
        <v>860</v>
      </c>
      <c r="C268" s="201" t="s">
        <v>398</v>
      </c>
      <c r="D268" s="202" t="s">
        <v>861</v>
      </c>
      <c r="E268" s="204" t="s">
        <v>1359</v>
      </c>
      <c r="F268" s="119"/>
    </row>
    <row r="269" spans="1:6" ht="52.9">
      <c r="A269" s="199">
        <v>1258</v>
      </c>
      <c r="B269" s="200" t="s">
        <v>862</v>
      </c>
      <c r="C269" s="201" t="s">
        <v>863</v>
      </c>
      <c r="D269" s="202" t="s">
        <v>864</v>
      </c>
      <c r="E269" s="204" t="s">
        <v>1360</v>
      </c>
      <c r="F269" s="119"/>
    </row>
    <row r="270" spans="1:6" ht="52.9">
      <c r="A270" s="199">
        <v>1259</v>
      </c>
      <c r="B270" s="200" t="s">
        <v>862</v>
      </c>
      <c r="C270" s="201" t="s">
        <v>863</v>
      </c>
      <c r="D270" s="202" t="s">
        <v>867</v>
      </c>
      <c r="E270" s="204" t="s">
        <v>1360</v>
      </c>
      <c r="F270" s="119"/>
    </row>
    <row r="271" spans="1:6" ht="39.6">
      <c r="A271" s="199">
        <v>1260</v>
      </c>
      <c r="B271" s="200" t="s">
        <v>869</v>
      </c>
      <c r="C271" s="201" t="s">
        <v>870</v>
      </c>
      <c r="D271" s="202" t="s">
        <v>871</v>
      </c>
      <c r="E271" s="204" t="s">
        <v>1361</v>
      </c>
      <c r="F271" s="119"/>
    </row>
    <row r="272" spans="1:6" ht="26.45">
      <c r="A272" s="199">
        <v>1261</v>
      </c>
      <c r="B272" s="200" t="s">
        <v>869</v>
      </c>
      <c r="C272" s="201" t="s">
        <v>870</v>
      </c>
      <c r="D272" s="202" t="s">
        <v>872</v>
      </c>
      <c r="E272" s="204" t="s">
        <v>1362</v>
      </c>
      <c r="F272" s="119"/>
    </row>
    <row r="273" spans="1:5">
      <c r="A273" s="199">
        <v>1262</v>
      </c>
      <c r="B273" s="200" t="s">
        <v>869</v>
      </c>
      <c r="C273" s="201" t="s">
        <v>873</v>
      </c>
      <c r="D273" s="202" t="s">
        <v>874</v>
      </c>
      <c r="E273" s="119" t="s">
        <v>1363</v>
      </c>
    </row>
    <row r="274" spans="1:5" ht="26.45">
      <c r="A274" s="199">
        <v>1263</v>
      </c>
      <c r="B274" s="200" t="s">
        <v>869</v>
      </c>
      <c r="C274" s="201" t="s">
        <v>876</v>
      </c>
      <c r="D274" s="202" t="s">
        <v>877</v>
      </c>
      <c r="E274" s="213" t="s">
        <v>1364</v>
      </c>
    </row>
    <row r="275" spans="1:5">
      <c r="A275" s="199">
        <v>1264</v>
      </c>
      <c r="B275" s="200" t="s">
        <v>869</v>
      </c>
      <c r="C275" s="201" t="s">
        <v>876</v>
      </c>
      <c r="D275" s="202" t="s">
        <v>878</v>
      </c>
      <c r="E275" s="119" t="s">
        <v>1365</v>
      </c>
    </row>
    <row r="276" spans="1:5">
      <c r="A276" s="199">
        <v>1265</v>
      </c>
      <c r="B276" s="200" t="s">
        <v>869</v>
      </c>
      <c r="C276" s="201" t="s">
        <v>876</v>
      </c>
      <c r="D276" s="202" t="s">
        <v>879</v>
      </c>
      <c r="E276" s="119" t="s">
        <v>1366</v>
      </c>
    </row>
    <row r="277" spans="1:5" ht="39.6">
      <c r="A277" s="199">
        <v>1266</v>
      </c>
      <c r="B277" s="200" t="s">
        <v>869</v>
      </c>
      <c r="C277" s="201" t="s">
        <v>876</v>
      </c>
      <c r="D277" s="202" t="s">
        <v>880</v>
      </c>
      <c r="E277" s="204" t="s">
        <v>1367</v>
      </c>
    </row>
    <row r="278" spans="1:5">
      <c r="A278" s="199">
        <v>1311</v>
      </c>
      <c r="B278" s="201" t="s">
        <v>869</v>
      </c>
      <c r="C278" s="201" t="s">
        <v>876</v>
      </c>
      <c r="D278" s="202" t="s">
        <v>882</v>
      </c>
      <c r="E278" s="204" t="s">
        <v>1368</v>
      </c>
    </row>
    <row r="279" spans="1:5">
      <c r="A279" s="199">
        <v>1312</v>
      </c>
      <c r="B279" s="201" t="s">
        <v>869</v>
      </c>
      <c r="C279" s="201" t="s">
        <v>876</v>
      </c>
      <c r="D279" s="202" t="s">
        <v>883</v>
      </c>
      <c r="E279" s="204" t="s">
        <v>1368</v>
      </c>
    </row>
    <row r="280" spans="1:5" ht="52.9">
      <c r="A280" s="199">
        <v>1267</v>
      </c>
      <c r="B280" s="200" t="s">
        <v>869</v>
      </c>
      <c r="C280" s="201" t="s">
        <v>884</v>
      </c>
      <c r="D280" s="202" t="s">
        <v>885</v>
      </c>
      <c r="E280" s="204" t="s">
        <v>1369</v>
      </c>
    </row>
    <row r="281" spans="1:5" ht="52.9">
      <c r="A281" s="199">
        <v>1268</v>
      </c>
      <c r="B281" s="200" t="s">
        <v>869</v>
      </c>
      <c r="C281" s="201" t="s">
        <v>884</v>
      </c>
      <c r="D281" s="202" t="s">
        <v>886</v>
      </c>
      <c r="E281" s="204" t="s">
        <v>1369</v>
      </c>
    </row>
    <row r="282" spans="1:5" ht="52.9">
      <c r="A282" s="199">
        <v>1269</v>
      </c>
      <c r="B282" s="200" t="s">
        <v>869</v>
      </c>
      <c r="C282" s="201" t="s">
        <v>884</v>
      </c>
      <c r="D282" s="202" t="s">
        <v>887</v>
      </c>
      <c r="E282" s="204" t="s">
        <v>1369</v>
      </c>
    </row>
    <row r="283" spans="1:5" ht="52.9">
      <c r="A283" s="199">
        <v>1270</v>
      </c>
      <c r="B283" s="200" t="s">
        <v>869</v>
      </c>
      <c r="C283" s="201" t="s">
        <v>884</v>
      </c>
      <c r="D283" s="202" t="s">
        <v>888</v>
      </c>
      <c r="E283" s="204" t="s">
        <v>1369</v>
      </c>
    </row>
    <row r="284" spans="1:5" ht="52.9">
      <c r="A284" s="199">
        <v>1271</v>
      </c>
      <c r="B284" s="200" t="s">
        <v>869</v>
      </c>
      <c r="C284" s="201" t="s">
        <v>884</v>
      </c>
      <c r="D284" s="202" t="s">
        <v>889</v>
      </c>
      <c r="E284" s="204" t="s">
        <v>1369</v>
      </c>
    </row>
    <row r="285" spans="1:5" ht="52.9">
      <c r="A285" s="199">
        <v>1272</v>
      </c>
      <c r="B285" s="200" t="s">
        <v>869</v>
      </c>
      <c r="C285" s="201" t="s">
        <v>884</v>
      </c>
      <c r="D285" s="202" t="s">
        <v>890</v>
      </c>
      <c r="E285" s="204" t="s">
        <v>1369</v>
      </c>
    </row>
    <row r="286" spans="1:5" ht="52.9">
      <c r="A286" s="199">
        <v>1273</v>
      </c>
      <c r="B286" s="200" t="s">
        <v>869</v>
      </c>
      <c r="C286" s="201" t="s">
        <v>884</v>
      </c>
      <c r="D286" s="202" t="s">
        <v>891</v>
      </c>
      <c r="E286" s="204" t="s">
        <v>1369</v>
      </c>
    </row>
    <row r="287" spans="1:5" ht="52.9">
      <c r="A287" s="199">
        <v>1274</v>
      </c>
      <c r="B287" s="200" t="s">
        <v>869</v>
      </c>
      <c r="C287" s="201" t="s">
        <v>884</v>
      </c>
      <c r="D287" s="202" t="s">
        <v>892</v>
      </c>
      <c r="E287" s="204" t="s">
        <v>1369</v>
      </c>
    </row>
    <row r="288" spans="1:5" ht="52.9">
      <c r="A288" s="199">
        <v>1275</v>
      </c>
      <c r="B288" s="200" t="s">
        <v>869</v>
      </c>
      <c r="C288" s="201" t="s">
        <v>884</v>
      </c>
      <c r="D288" s="202" t="s">
        <v>893</v>
      </c>
      <c r="E288" s="204" t="s">
        <v>1369</v>
      </c>
    </row>
    <row r="289" spans="1:6" ht="52.9">
      <c r="A289" s="199">
        <v>1276</v>
      </c>
      <c r="B289" s="200" t="s">
        <v>869</v>
      </c>
      <c r="C289" s="201" t="s">
        <v>884</v>
      </c>
      <c r="D289" s="202" t="s">
        <v>894</v>
      </c>
      <c r="E289" s="204" t="s">
        <v>1369</v>
      </c>
      <c r="F289" s="119"/>
    </row>
    <row r="290" spans="1:6" ht="26.45">
      <c r="A290" s="199">
        <v>1277</v>
      </c>
      <c r="B290" s="200" t="s">
        <v>869</v>
      </c>
      <c r="C290" s="201" t="s">
        <v>884</v>
      </c>
      <c r="D290" s="202" t="s">
        <v>895</v>
      </c>
      <c r="E290" s="204" t="s">
        <v>1370</v>
      </c>
      <c r="F290" s="119"/>
    </row>
    <row r="291" spans="1:6">
      <c r="A291" s="199">
        <v>1278</v>
      </c>
      <c r="B291" s="200" t="s">
        <v>896</v>
      </c>
      <c r="C291" s="201" t="s">
        <v>897</v>
      </c>
      <c r="D291" s="202" t="s">
        <v>898</v>
      </c>
      <c r="E291" s="119" t="s">
        <v>1371</v>
      </c>
      <c r="F291" s="119"/>
    </row>
    <row r="292" spans="1:6">
      <c r="A292" s="199">
        <v>1279</v>
      </c>
      <c r="B292" s="200" t="s">
        <v>896</v>
      </c>
      <c r="C292" s="201" t="s">
        <v>897</v>
      </c>
      <c r="D292" s="202" t="s">
        <v>901</v>
      </c>
      <c r="E292" s="119" t="s">
        <v>1371</v>
      </c>
      <c r="F292" s="119"/>
    </row>
    <row r="293" spans="1:6">
      <c r="A293" s="199">
        <v>1280</v>
      </c>
      <c r="B293" s="200" t="s">
        <v>896</v>
      </c>
      <c r="C293" s="201" t="s">
        <v>897</v>
      </c>
      <c r="D293" s="202" t="s">
        <v>904</v>
      </c>
      <c r="E293" s="119" t="s">
        <v>1371</v>
      </c>
      <c r="F293" s="119"/>
    </row>
    <row r="294" spans="1:6">
      <c r="A294" s="199">
        <v>1281</v>
      </c>
      <c r="B294" s="200" t="s">
        <v>896</v>
      </c>
      <c r="C294" s="201" t="s">
        <v>905</v>
      </c>
      <c r="D294" s="202" t="s">
        <v>906</v>
      </c>
      <c r="E294" s="119" t="s">
        <v>1372</v>
      </c>
      <c r="F294" s="119"/>
    </row>
    <row r="295" spans="1:6">
      <c r="A295" s="199">
        <v>1282</v>
      </c>
      <c r="B295" s="200" t="s">
        <v>896</v>
      </c>
      <c r="C295" s="201" t="s">
        <v>905</v>
      </c>
      <c r="D295" s="202" t="s">
        <v>907</v>
      </c>
      <c r="E295" s="119" t="s">
        <v>1372</v>
      </c>
      <c r="F295" s="119"/>
    </row>
    <row r="296" spans="1:6">
      <c r="A296" s="199">
        <v>1283</v>
      </c>
      <c r="B296" s="200" t="s">
        <v>896</v>
      </c>
      <c r="C296" s="201" t="s">
        <v>905</v>
      </c>
      <c r="D296" s="202" t="s">
        <v>908</v>
      </c>
      <c r="E296" s="119" t="s">
        <v>1372</v>
      </c>
      <c r="F296" s="119"/>
    </row>
    <row r="297" spans="1:6" ht="52.9">
      <c r="A297" s="199">
        <v>1284</v>
      </c>
      <c r="B297" s="200" t="s">
        <v>896</v>
      </c>
      <c r="C297" s="201" t="s">
        <v>909</v>
      </c>
      <c r="D297" s="202" t="s">
        <v>910</v>
      </c>
      <c r="E297" s="204" t="s">
        <v>1373</v>
      </c>
      <c r="F297" s="119"/>
    </row>
    <row r="298" spans="1:6">
      <c r="A298" s="199">
        <v>1285</v>
      </c>
      <c r="B298" s="200" t="s">
        <v>896</v>
      </c>
      <c r="C298" s="201" t="s">
        <v>909</v>
      </c>
      <c r="D298" s="202" t="s">
        <v>911</v>
      </c>
      <c r="E298" s="119" t="s">
        <v>1374</v>
      </c>
      <c r="F298" s="119"/>
    </row>
    <row r="299" spans="1:6">
      <c r="A299" s="199">
        <v>1286</v>
      </c>
      <c r="B299" s="200" t="s">
        <v>896</v>
      </c>
      <c r="C299" s="201" t="s">
        <v>909</v>
      </c>
      <c r="D299" s="202" t="s">
        <v>912</v>
      </c>
      <c r="E299" s="119" t="s">
        <v>1375</v>
      </c>
      <c r="F299" s="119"/>
    </row>
    <row r="300" spans="1:6" ht="26.45">
      <c r="A300" s="199">
        <v>1287</v>
      </c>
      <c r="B300" s="200" t="s">
        <v>896</v>
      </c>
      <c r="C300" s="201" t="s">
        <v>913</v>
      </c>
      <c r="D300" s="202" t="s">
        <v>914</v>
      </c>
      <c r="E300" s="204" t="s">
        <v>1376</v>
      </c>
      <c r="F300" s="119"/>
    </row>
    <row r="301" spans="1:6">
      <c r="A301" s="199">
        <v>1288</v>
      </c>
      <c r="B301" s="200" t="s">
        <v>896</v>
      </c>
      <c r="C301" s="201" t="s">
        <v>913</v>
      </c>
      <c r="D301" s="202" t="s">
        <v>915</v>
      </c>
      <c r="E301" s="119" t="s">
        <v>1377</v>
      </c>
      <c r="F301" s="119"/>
    </row>
    <row r="302" spans="1:6">
      <c r="A302" s="199">
        <v>1289</v>
      </c>
      <c r="B302" s="200" t="s">
        <v>896</v>
      </c>
      <c r="C302" s="201" t="s">
        <v>913</v>
      </c>
      <c r="D302" s="202" t="s">
        <v>916</v>
      </c>
      <c r="E302" s="204" t="s">
        <v>1378</v>
      </c>
      <c r="F302" s="119"/>
    </row>
    <row r="303" spans="1:6" ht="26.45">
      <c r="A303" s="199">
        <v>1290</v>
      </c>
      <c r="B303" s="200" t="s">
        <v>896</v>
      </c>
      <c r="C303" s="201" t="s">
        <v>913</v>
      </c>
      <c r="D303" s="202" t="s">
        <v>917</v>
      </c>
      <c r="E303" s="204" t="s">
        <v>1379</v>
      </c>
      <c r="F303" s="119"/>
    </row>
    <row r="304" spans="1:6" ht="26.45">
      <c r="A304" s="216">
        <v>1291</v>
      </c>
      <c r="B304" s="217" t="s">
        <v>896</v>
      </c>
      <c r="C304" s="218" t="s">
        <v>918</v>
      </c>
      <c r="D304" s="219" t="s">
        <v>919</v>
      </c>
      <c r="E304" s="120" t="s">
        <v>1380</v>
      </c>
      <c r="F304" s="120"/>
    </row>
    <row r="305" spans="1:6">
      <c r="A305" s="199">
        <v>1292</v>
      </c>
      <c r="B305" s="200" t="s">
        <v>896</v>
      </c>
      <c r="C305" s="201" t="s">
        <v>918</v>
      </c>
      <c r="D305" s="202" t="s">
        <v>921</v>
      </c>
      <c r="E305" s="119" t="s">
        <v>1381</v>
      </c>
      <c r="F305" s="119"/>
    </row>
    <row r="306" spans="1:6">
      <c r="A306" s="199">
        <v>1293</v>
      </c>
      <c r="B306" s="200" t="s">
        <v>896</v>
      </c>
      <c r="C306" s="201" t="s">
        <v>923</v>
      </c>
      <c r="D306" s="202" t="s">
        <v>1382</v>
      </c>
      <c r="E306" s="119" t="s">
        <v>1383</v>
      </c>
      <c r="F306" s="119"/>
    </row>
    <row r="307" spans="1:6" ht="26.45">
      <c r="A307" s="199">
        <v>1294</v>
      </c>
      <c r="B307" s="200" t="s">
        <v>896</v>
      </c>
      <c r="C307" s="201" t="s">
        <v>926</v>
      </c>
      <c r="D307" s="202" t="s">
        <v>927</v>
      </c>
      <c r="E307" s="204" t="s">
        <v>1384</v>
      </c>
      <c r="F307" s="119"/>
    </row>
    <row r="308" spans="1:6">
      <c r="A308" s="216">
        <v>1295</v>
      </c>
      <c r="B308" s="217" t="s">
        <v>928</v>
      </c>
      <c r="C308" s="218" t="s">
        <v>929</v>
      </c>
      <c r="D308" s="219" t="s">
        <v>930</v>
      </c>
      <c r="E308" s="120" t="s">
        <v>1385</v>
      </c>
      <c r="F308" s="119"/>
    </row>
    <row r="309" spans="1:6" s="119" customFormat="1" ht="26.45">
      <c r="A309" s="149">
        <v>1296</v>
      </c>
      <c r="B309" s="150" t="s">
        <v>928</v>
      </c>
      <c r="C309" s="151" t="s">
        <v>929</v>
      </c>
      <c r="D309" s="152" t="s">
        <v>931</v>
      </c>
      <c r="E309" s="120" t="s">
        <v>1386</v>
      </c>
      <c r="F309" s="123" t="s">
        <v>1387</v>
      </c>
    </row>
    <row r="310" spans="1:6" s="119" customFormat="1" ht="26.45">
      <c r="A310" s="149">
        <v>1297</v>
      </c>
      <c r="B310" s="150" t="s">
        <v>928</v>
      </c>
      <c r="C310" s="151" t="s">
        <v>929</v>
      </c>
      <c r="D310" s="152" t="s">
        <v>933</v>
      </c>
      <c r="E310" s="153" t="s">
        <v>1388</v>
      </c>
      <c r="F310" s="123" t="s">
        <v>1387</v>
      </c>
    </row>
    <row r="311" spans="1:6" s="119" customFormat="1" ht="26.45">
      <c r="A311" s="149">
        <v>1298</v>
      </c>
      <c r="B311" s="150" t="s">
        <v>928</v>
      </c>
      <c r="C311" s="151" t="s">
        <v>929</v>
      </c>
      <c r="D311" s="152" t="s">
        <v>935</v>
      </c>
      <c r="E311" s="153" t="s">
        <v>1389</v>
      </c>
      <c r="F311" s="123" t="s">
        <v>1387</v>
      </c>
    </row>
    <row r="312" spans="1:6" s="119" customFormat="1" ht="26.45">
      <c r="A312" s="149">
        <v>1299</v>
      </c>
      <c r="B312" s="150" t="s">
        <v>928</v>
      </c>
      <c r="C312" s="151" t="s">
        <v>929</v>
      </c>
      <c r="D312" s="152" t="s">
        <v>936</v>
      </c>
      <c r="E312" s="120" t="s">
        <v>1390</v>
      </c>
      <c r="F312" s="123" t="s">
        <v>1387</v>
      </c>
    </row>
    <row r="313" spans="1:6" s="119" customFormat="1" ht="26.45">
      <c r="A313" s="149">
        <v>1300</v>
      </c>
      <c r="B313" s="150" t="s">
        <v>928</v>
      </c>
      <c r="C313" s="151" t="s">
        <v>937</v>
      </c>
      <c r="D313" s="152" t="s">
        <v>938</v>
      </c>
      <c r="E313" s="120" t="s">
        <v>1391</v>
      </c>
      <c r="F313" s="123" t="s">
        <v>1387</v>
      </c>
    </row>
    <row r="314" spans="1:6" s="119" customFormat="1" ht="26.45">
      <c r="A314" s="149">
        <v>1301</v>
      </c>
      <c r="B314" s="150" t="s">
        <v>928</v>
      </c>
      <c r="C314" s="151" t="s">
        <v>940</v>
      </c>
      <c r="D314" s="152" t="s">
        <v>941</v>
      </c>
      <c r="E314" s="120" t="s">
        <v>1392</v>
      </c>
      <c r="F314" s="123" t="s">
        <v>1387</v>
      </c>
    </row>
    <row r="315" spans="1:6" s="119" customFormat="1" ht="26.45">
      <c r="A315" s="149">
        <v>1302</v>
      </c>
      <c r="B315" s="150" t="s">
        <v>928</v>
      </c>
      <c r="C315" s="151" t="s">
        <v>940</v>
      </c>
      <c r="D315" s="152" t="s">
        <v>943</v>
      </c>
      <c r="E315" s="120" t="s">
        <v>1393</v>
      </c>
      <c r="F315" s="123" t="s">
        <v>1387</v>
      </c>
    </row>
    <row r="316" spans="1:6" s="119" customFormat="1" ht="26.45">
      <c r="A316" s="149">
        <v>1303</v>
      </c>
      <c r="B316" s="150" t="s">
        <v>928</v>
      </c>
      <c r="C316" s="151" t="s">
        <v>940</v>
      </c>
      <c r="D316" s="152" t="s">
        <v>945</v>
      </c>
      <c r="E316" s="154" t="s">
        <v>1394</v>
      </c>
      <c r="F316" s="123" t="s">
        <v>1387</v>
      </c>
    </row>
    <row r="317" spans="1:6">
      <c r="A317" s="187"/>
      <c r="B317" s="188"/>
      <c r="C317" s="188"/>
      <c r="D317" s="173"/>
      <c r="E317" s="169"/>
      <c r="F317" s="169"/>
    </row>
    <row r="318" spans="1:6">
      <c r="A318" s="187"/>
      <c r="B318" s="188"/>
      <c r="C318" s="188"/>
      <c r="D318" s="173"/>
      <c r="E318" s="168"/>
      <c r="F318" s="169"/>
    </row>
    <row r="319" spans="1:6">
      <c r="A319" s="187"/>
      <c r="B319" s="188"/>
      <c r="C319" s="188"/>
      <c r="D319" s="173"/>
      <c r="E319" s="168"/>
      <c r="F319" s="169"/>
    </row>
    <row r="320" spans="1:6">
      <c r="A320" s="189"/>
      <c r="B320" s="181"/>
      <c r="C320" s="181"/>
      <c r="D320" s="190"/>
      <c r="E320" s="179"/>
      <c r="F320" s="169"/>
    </row>
    <row r="321" spans="1:6">
      <c r="A321" s="187"/>
      <c r="B321" s="188"/>
      <c r="C321" s="188"/>
      <c r="D321" s="173"/>
      <c r="E321" s="169"/>
      <c r="F321" s="169"/>
    </row>
    <row r="322" spans="1:6">
      <c r="A322" s="187"/>
      <c r="B322" s="188"/>
      <c r="C322" s="188"/>
      <c r="D322" s="173"/>
      <c r="E322" s="169"/>
      <c r="F322" s="169"/>
    </row>
    <row r="323" spans="1:6">
      <c r="A323" s="187"/>
      <c r="B323" s="188"/>
      <c r="C323" s="188"/>
      <c r="D323" s="173"/>
      <c r="E323" s="168"/>
      <c r="F323" s="169"/>
    </row>
    <row r="324" spans="1:6">
      <c r="A324" s="189"/>
      <c r="B324" s="181"/>
      <c r="C324" s="181"/>
      <c r="D324" s="190"/>
      <c r="E324" s="179"/>
      <c r="F324" s="169"/>
    </row>
    <row r="325" spans="1:6">
      <c r="A325" s="189"/>
      <c r="B325" s="181"/>
      <c r="C325" s="181"/>
      <c r="D325" s="190"/>
      <c r="E325" s="179"/>
      <c r="F325" s="123"/>
    </row>
    <row r="326" spans="1:6">
      <c r="A326" s="189"/>
      <c r="B326" s="181"/>
      <c r="C326" s="181"/>
      <c r="D326" s="190"/>
      <c r="E326" s="180"/>
      <c r="F326" s="123"/>
    </row>
    <row r="327" spans="1:6">
      <c r="A327" s="189"/>
      <c r="B327" s="181"/>
      <c r="C327" s="181"/>
      <c r="D327" s="190"/>
      <c r="E327" s="180"/>
      <c r="F327" s="123"/>
    </row>
    <row r="328" spans="1:6">
      <c r="A328" s="189"/>
      <c r="B328" s="181"/>
      <c r="C328" s="181"/>
      <c r="D328" s="190"/>
      <c r="E328" s="179"/>
      <c r="F328" s="123"/>
    </row>
    <row r="329" spans="1:6">
      <c r="A329" s="189"/>
      <c r="B329" s="181"/>
      <c r="C329" s="181"/>
      <c r="D329" s="190"/>
      <c r="E329" s="179"/>
      <c r="F329" s="123"/>
    </row>
    <row r="330" spans="1:6">
      <c r="A330" s="189"/>
      <c r="B330" s="181"/>
      <c r="C330" s="181"/>
      <c r="D330" s="190"/>
      <c r="E330" s="179"/>
      <c r="F330" s="123"/>
    </row>
    <row r="331" spans="1:6">
      <c r="A331" s="189"/>
      <c r="B331" s="181"/>
      <c r="C331" s="181"/>
      <c r="D331" s="190"/>
      <c r="E331" s="179"/>
      <c r="F331" s="123"/>
    </row>
    <row r="332" spans="1:6">
      <c r="A332" s="189"/>
      <c r="B332" s="181"/>
      <c r="C332" s="181"/>
      <c r="D332" s="190"/>
      <c r="E332" s="181"/>
      <c r="F332" s="123"/>
    </row>
    <row r="333" spans="1:6">
      <c r="A333" s="188"/>
      <c r="B333" s="188"/>
      <c r="C333" s="188"/>
      <c r="D333" s="188"/>
      <c r="E333" s="168"/>
      <c r="F333" s="169"/>
    </row>
    <row r="334" spans="1:6">
      <c r="A334" s="188"/>
      <c r="B334" s="188"/>
      <c r="C334" s="188"/>
      <c r="D334" s="188"/>
      <c r="E334" s="169"/>
      <c r="F334" s="169"/>
    </row>
    <row r="335" spans="1:6">
      <c r="A335" s="188"/>
      <c r="B335" s="188"/>
      <c r="C335" s="188"/>
      <c r="D335" s="188"/>
      <c r="E335" s="169"/>
      <c r="F335" s="169"/>
    </row>
    <row r="336" spans="1:6">
      <c r="A336" s="188"/>
      <c r="B336" s="188"/>
      <c r="C336" s="188"/>
      <c r="D336" s="188"/>
      <c r="E336" s="169"/>
      <c r="F336" s="169"/>
    </row>
    <row r="337" spans="1:6">
      <c r="A337" s="188"/>
      <c r="B337" s="188"/>
      <c r="C337" s="188"/>
      <c r="D337" s="188"/>
      <c r="E337" s="169"/>
      <c r="F337" s="169"/>
    </row>
    <row r="338" spans="1:6">
      <c r="A338" s="188"/>
      <c r="B338" s="188"/>
      <c r="C338" s="188"/>
      <c r="D338" s="188"/>
      <c r="E338" s="169"/>
      <c r="F338" s="169"/>
    </row>
    <row r="339" spans="1:6">
      <c r="A339" s="188"/>
      <c r="B339" s="188"/>
      <c r="C339" s="188"/>
      <c r="D339" s="188"/>
      <c r="E339" s="169"/>
      <c r="F339" s="169"/>
    </row>
    <row r="340" spans="1:6">
      <c r="A340" s="188"/>
      <c r="B340" s="188"/>
      <c r="C340" s="188"/>
      <c r="D340" s="188"/>
      <c r="E340" s="169"/>
      <c r="F340" s="169"/>
    </row>
    <row r="341" spans="1:6">
      <c r="A341" s="188"/>
      <c r="B341" s="188"/>
      <c r="C341" s="188"/>
      <c r="D341" s="188"/>
      <c r="E341" s="169"/>
      <c r="F341" s="169"/>
    </row>
    <row r="342" spans="1:6">
      <c r="A342" s="188"/>
      <c r="B342" s="188"/>
      <c r="C342" s="188"/>
      <c r="D342" s="188"/>
      <c r="E342" s="169"/>
      <c r="F342" s="169"/>
    </row>
    <row r="343" spans="1:6">
      <c r="A343" s="188"/>
      <c r="B343" s="188"/>
      <c r="C343" s="188"/>
      <c r="D343" s="188"/>
      <c r="E343" s="169"/>
      <c r="F343" s="169"/>
    </row>
    <row r="344" spans="1:6">
      <c r="A344" s="188"/>
      <c r="B344" s="188"/>
      <c r="C344" s="188"/>
      <c r="D344" s="188"/>
      <c r="E344" s="169"/>
      <c r="F344" s="169"/>
    </row>
    <row r="345" spans="1:6">
      <c r="A345" s="188"/>
      <c r="B345" s="188"/>
      <c r="C345" s="188"/>
      <c r="D345" s="188"/>
      <c r="E345" s="169"/>
      <c r="F345" s="169"/>
    </row>
  </sheetData>
  <autoFilter ref="A1:E332" xr:uid="{4BDFFBF2-BDC7-4016-873E-4B851C48734B}"/>
  <mergeCells count="1">
    <mergeCell ref="F48:F52"/>
  </mergeCells>
  <conditionalFormatting sqref="D278:D279">
    <cfRule type="duplicateValues" dxfId="12" priority="1"/>
  </conditionalFormatting>
  <conditionalFormatting sqref="D280:D316 D2:D277">
    <cfRule type="duplicateValues" dxfId="11" priority="2"/>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E9094-DBF1-469E-9E04-1E3B81FA9E53}">
  <sheetPr>
    <tabColor rgb="FFFF00FF"/>
  </sheetPr>
  <dimension ref="A1:G319"/>
  <sheetViews>
    <sheetView workbookViewId="0">
      <pane xSplit="1" ySplit="3" topLeftCell="C4" activePane="bottomRight" state="frozen"/>
      <selection pane="bottomRight" activeCell="D9" sqref="D9"/>
      <selection pane="bottomLeft" activeCell="A4" sqref="A4"/>
      <selection pane="topRight" activeCell="B1" sqref="B1"/>
    </sheetView>
  </sheetViews>
  <sheetFormatPr defaultColWidth="8.85546875" defaultRowHeight="14.45"/>
  <cols>
    <col min="1" max="1" width="25.7109375" style="11" customWidth="1"/>
    <col min="2" max="2" width="15" style="47" customWidth="1"/>
    <col min="3" max="3" width="23.7109375" style="11" customWidth="1"/>
    <col min="4" max="4" width="29.7109375" style="11" customWidth="1"/>
    <col min="5" max="5" width="19.28515625" style="11" bestFit="1" customWidth="1"/>
    <col min="6" max="6" width="81.5703125" style="11" customWidth="1"/>
    <col min="7" max="7" width="47.7109375" style="11" bestFit="1" customWidth="1"/>
    <col min="8" max="16384" width="8.85546875" style="11"/>
  </cols>
  <sheetData>
    <row r="1" spans="1:7">
      <c r="B1" s="76"/>
      <c r="E1" s="115"/>
    </row>
    <row r="2" spans="1:7" ht="43.15">
      <c r="A2" s="58" t="s">
        <v>176</v>
      </c>
      <c r="B2" s="58" t="s">
        <v>173</v>
      </c>
      <c r="C2" s="58" t="s">
        <v>179</v>
      </c>
      <c r="D2" s="58" t="s">
        <v>174</v>
      </c>
      <c r="E2" s="58" t="s">
        <v>181</v>
      </c>
      <c r="F2" s="112" t="s">
        <v>1395</v>
      </c>
      <c r="G2" s="60" t="s">
        <v>186</v>
      </c>
    </row>
    <row r="3" spans="1:7" s="12" customFormat="1">
      <c r="A3" s="116" t="s">
        <v>1396</v>
      </c>
      <c r="B3" s="114" t="s">
        <v>1397</v>
      </c>
      <c r="C3" s="116" t="s">
        <v>1398</v>
      </c>
      <c r="D3" s="116" t="s">
        <v>1399</v>
      </c>
      <c r="E3" s="116" t="s">
        <v>1400</v>
      </c>
      <c r="F3" s="116" t="s">
        <v>1401</v>
      </c>
      <c r="G3" s="116" t="s">
        <v>1402</v>
      </c>
    </row>
    <row r="4" spans="1:7">
      <c r="A4" s="121" t="str">
        <f>'All sections of NIF PDF'!D4</f>
        <v>Requestor Name</v>
      </c>
      <c r="B4" s="117">
        <f>INDEX('All sections of NIF PDF'!$A:$A,MATCH($A4,'All sections of NIF PDF'!$D:$D,0))</f>
        <v>1001</v>
      </c>
      <c r="C4" s="117" t="str">
        <f>VLOOKUP($A4,'All sections of NIF PDF'!$D:$N,4,FALSE)</f>
        <v>autofill</v>
      </c>
      <c r="D4" s="117" t="str">
        <f>INDEX('All sections of NIF PDF'!$B:$B,MATCH($A4,'All sections of NIF PDF'!$D:$D,0))</f>
        <v>Requestor - Project Initiation</v>
      </c>
      <c r="E4" s="117" t="str">
        <f>VLOOKUP($A4,'All sections of NIF PDF'!$D:$N,6,FALSE)</f>
        <v>Requestor</v>
      </c>
      <c r="F4" s="117" t="str">
        <f>IF(VLOOKUP($A4,Definitions!$D:$E,2,FALSE)=0, "", VLOOKUP($A4,Definitions!$D:$E,2,FALSE))</f>
        <v>Autopopulated with the name of the person who is initiatiing the NIF.</v>
      </c>
      <c r="G4" s="117" t="str">
        <f>IF(VLOOKUP($A4,'All sections of NIF PDF'!$D:$N,11,FALSE)=0,"",VLOOKUP($A4,'All sections of NIF PDF'!$D:$N,11,FALSE))</f>
        <v/>
      </c>
    </row>
    <row r="5" spans="1:7">
      <c r="A5" s="121" t="str">
        <f>'All sections of NIF PDF'!D5</f>
        <v>Requestor Email</v>
      </c>
      <c r="B5" s="117">
        <f>INDEX('All sections of NIF PDF'!$A:$A,MATCH($A5,'All sections of NIF PDF'!$D:$D,0))</f>
        <v>1002</v>
      </c>
      <c r="C5" s="117" t="str">
        <f>VLOOKUP($A5,'All sections of NIF PDF'!$D:$N,4,FALSE)</f>
        <v>autofill</v>
      </c>
      <c r="D5" s="117" t="str">
        <f>INDEX('All sections of NIF PDF'!$B:$B,MATCH($A5,'All sections of NIF PDF'!$D:$D,0))</f>
        <v>Requestor - Project Initiation</v>
      </c>
      <c r="E5" s="117" t="str">
        <f>VLOOKUP($A5,'All sections of NIF PDF'!$D:$N,6,FALSE)</f>
        <v>Requestor</v>
      </c>
      <c r="F5" s="117" t="str">
        <f>IF(VLOOKUP($A5,Definitions!$D:$E,2,FALSE)=0, "", VLOOKUP($A5,Definitions!$D:$E,2,FALSE))</f>
        <v>Autopopulated with the email of the person who is initiatiing the NIF.</v>
      </c>
      <c r="G5" s="117" t="str">
        <f>IF(VLOOKUP($A5,'All sections of NIF PDF'!$D:$N,11,FALSE)=0,"",VLOOKUP($A5,'All sections of NIF PDF'!$D:$N,11,FALSE))</f>
        <v/>
      </c>
    </row>
    <row r="6" spans="1:7">
      <c r="A6" s="121" t="str">
        <f>'All sections of NIF PDF'!D6</f>
        <v>Requestor Date</v>
      </c>
      <c r="B6" s="117">
        <f>INDEX('All sections of NIF PDF'!$A:$A,MATCH($A6,'All sections of NIF PDF'!$D:$D,0))</f>
        <v>1003</v>
      </c>
      <c r="C6" s="117" t="str">
        <f>VLOOKUP($A6,'All sections of NIF PDF'!$D:$N,4,FALSE)</f>
        <v>autofill</v>
      </c>
      <c r="D6" s="117" t="str">
        <f>INDEX('All sections of NIF PDF'!$B:$B,MATCH($A6,'All sections of NIF PDF'!$D:$D,0))</f>
        <v>Requestor - Project Initiation</v>
      </c>
      <c r="E6" s="117" t="str">
        <f>VLOOKUP($A6,'All sections of NIF PDF'!$D:$N,6,FALSE)</f>
        <v>Requestor</v>
      </c>
      <c r="F6" s="117" t="str">
        <f>IF(VLOOKUP($A6,Definitions!$D:$E,2,FALSE)=0, "", VLOOKUP($A6,Definitions!$D:$E,2,FALSE))</f>
        <v>Autopopulated with the date the form is initiated.</v>
      </c>
      <c r="G6" s="117" t="str">
        <f>IF(VLOOKUP($A6,'All sections of NIF PDF'!$D:$N,11,FALSE)=0,"",VLOOKUP($A6,'All sections of NIF PDF'!$D:$N,11,FALSE))</f>
        <v/>
      </c>
    </row>
    <row r="7" spans="1:7">
      <c r="A7" s="121" t="str">
        <f>'All sections of NIF PDF'!D7</f>
        <v>Version</v>
      </c>
      <c r="B7" s="117">
        <f>INDEX('All sections of NIF PDF'!$A:$A,MATCH($A7,'All sections of NIF PDF'!$D:$D,0))</f>
        <v>1004</v>
      </c>
      <c r="C7" s="117" t="str">
        <f>VLOOKUP($A7,'All sections of NIF PDF'!$D:$N,4,FALSE)</f>
        <v>autofill</v>
      </c>
      <c r="D7" s="117" t="str">
        <f>INDEX('All sections of NIF PDF'!$B:$B,MATCH($A7,'All sections of NIF PDF'!$D:$D,0))</f>
        <v>Requestor - Project Initiation</v>
      </c>
      <c r="E7" s="117" t="str">
        <f>VLOOKUP($A7,'All sections of NIF PDF'!$D:$N,6,FALSE)</f>
        <v>Requestor</v>
      </c>
      <c r="F7" s="117" t="str">
        <f>IF(VLOOKUP($A7,Definitions!$D:$E,2,FALSE)=0, "", VLOOKUP($A7,Definitions!$D:$E,2,FALSE))</f>
        <v>Autopopulated with the current version of the NIF.</v>
      </c>
      <c r="G7" s="117" t="str">
        <f>IF(VLOOKUP($A7,'All sections of NIF PDF'!$D:$N,11,FALSE)=0,"",VLOOKUP($A7,'All sections of NIF PDF'!$D:$N,11,FALSE))</f>
        <v/>
      </c>
    </row>
    <row r="8" spans="1:7" ht="28.9">
      <c r="A8" s="121" t="str">
        <f>'All sections of NIF PDF'!D8</f>
        <v>Requestor</v>
      </c>
      <c r="B8" s="117">
        <f>INDEX('All sections of NIF PDF'!$A:$A,MATCH($A8,'All sections of NIF PDF'!$D:$D,0))</f>
        <v>1005</v>
      </c>
      <c r="C8" s="117" t="str">
        <f>VLOOKUP($A8,'All sections of NIF PDF'!$D:$N,4,FALSE)</f>
        <v>dd: user roles</v>
      </c>
      <c r="D8" s="117" t="str">
        <f>INDEX('All sections of NIF PDF'!$B:$B,MATCH($A8,'All sections of NIF PDF'!$D:$D,0))</f>
        <v>Requestor - Project Initiation</v>
      </c>
      <c r="E8" s="117" t="str">
        <f>VLOOKUP($A8,'All sections of NIF PDF'!$D:$N,6,FALSE)</f>
        <v>Requestor</v>
      </c>
      <c r="F8" s="117" t="str">
        <f>IF(VLOOKUP($A8,Definitions!$D:$E,2,FALSE)=0, "", VLOOKUP($A8,Definitions!$D:$E,2,FALSE))</f>
        <v>Autopopulated with the name of the person who is initiating the NIF, and used in the workflow of the form.</v>
      </c>
      <c r="G8" s="117" t="str">
        <f>IF(VLOOKUP($A8,'All sections of NIF PDF'!$D:$N,11,FALSE)=0,"",VLOOKUP($A8,'All sections of NIF PDF'!$D:$N,11,FALSE))</f>
        <v/>
      </c>
    </row>
    <row r="9" spans="1:7">
      <c r="A9" s="121" t="str">
        <f>'All sections of NIF PDF'!D9</f>
        <v>LIM</v>
      </c>
      <c r="B9" s="117">
        <f>INDEX('All sections of NIF PDF'!$A:$A,MATCH($A9,'All sections of NIF PDF'!$D:$D,0))</f>
        <v>1006</v>
      </c>
      <c r="C9" s="117" t="str">
        <f>VLOOKUP($A9,'All sections of NIF PDF'!$D:$N,4,FALSE)</f>
        <v>dd: reference list: PRL: LIM_Users</v>
      </c>
      <c r="D9" s="117" t="str">
        <f>INDEX('All sections of NIF PDF'!$B:$B,MATCH($A9,'All sections of NIF PDF'!$D:$D,0))</f>
        <v>Requestor - Project Initiation</v>
      </c>
      <c r="E9" s="117" t="str">
        <f>VLOOKUP($A9,'All sections of NIF PDF'!$D:$N,6,FALSE)</f>
        <v>Requestor</v>
      </c>
      <c r="F9" s="117" t="str">
        <f>IF(VLOOKUP($A9,Definitions!$D:$E,2,FALSE)=0, "", VLOOKUP($A9,Definitions!$D:$E,2,FALSE))</f>
        <v>Select the name of the Logistics Innovation Manager assigned to this project from the drop down.</v>
      </c>
      <c r="G9" s="117" t="str">
        <f>IF(VLOOKUP($A9,'All sections of NIF PDF'!$D:$N,11,FALSE)=0,"",VLOOKUP($A9,'All sections of NIF PDF'!$D:$N,11,FALSE))</f>
        <v/>
      </c>
    </row>
    <row r="10" spans="1:7">
      <c r="A10" s="121" t="str">
        <f>'All sections of NIF PDF'!D10</f>
        <v>Business Area</v>
      </c>
      <c r="B10" s="117">
        <f>INDEX('All sections of NIF PDF'!$A:$A,MATCH($A10,'All sections of NIF PDF'!$D:$D,0))</f>
        <v>1305</v>
      </c>
      <c r="C10" s="117" t="str">
        <f>VLOOKUP($A10,'All sections of NIF PDF'!$D:$N,4,FALSE)</f>
        <v>dd: WKKC, KELLANOVA</v>
      </c>
      <c r="D10" s="117" t="str">
        <f>INDEX('All sections of NIF PDF'!$B:$B,MATCH($A10,'All sections of NIF PDF'!$D:$D,0))</f>
        <v>Requestor - Project Initiation</v>
      </c>
      <c r="E10" s="117" t="str">
        <f>VLOOKUP($A10,'All sections of NIF PDF'!$D:$N,6,FALSE)</f>
        <v>Requestor</v>
      </c>
      <c r="F10" s="117" t="str">
        <f>IF(VLOOKUP($A10,Definitions!$D:$E,2,FALSE)=0, "", VLOOKUP($A10,Definitions!$D:$E,2,FALSE))</f>
        <v>Select Kellanova.</v>
      </c>
      <c r="G10" s="117" t="str">
        <f>IF(VLOOKUP($A10,'All sections of NIF PDF'!$D:$N,11,FALSE)=0,"",VLOOKUP($A10,'All sections of NIF PDF'!$D:$N,11,FALSE))</f>
        <v/>
      </c>
    </row>
    <row r="11" spans="1:7" ht="28.9">
      <c r="A11" s="121" t="str">
        <f>'All sections of NIF PDF'!D11</f>
        <v>Form Type</v>
      </c>
      <c r="B11" s="117">
        <f>INDEX('All sections of NIF PDF'!$A:$A,MATCH($A11,'All sections of NIF PDF'!$D:$D,0))</f>
        <v>1007</v>
      </c>
      <c r="C11" s="117" t="str">
        <f>VLOOKUP($A11,'All sections of NIF PDF'!$D:$N,4,FALSE)</f>
        <v>dd: CASE, DISPLAY, WIP</v>
      </c>
      <c r="D11" s="117" t="str">
        <f>INDEX('All sections of NIF PDF'!$B:$B,MATCH($A11,'All sections of NIF PDF'!$D:$D,0))</f>
        <v>Requestor - Project Initiation</v>
      </c>
      <c r="E11" s="117" t="str">
        <f>VLOOKUP($A11,'All sections of NIF PDF'!$D:$N,6,FALSE)</f>
        <v>Requestor</v>
      </c>
      <c r="F11" s="117" t="str">
        <f>IF(VLOOKUP($A11,Definitions!$D:$E,2,FALSE)=0, "", VLOOKUP($A11,Definitions!$D:$E,2,FALSE))</f>
        <v xml:space="preserve">There are three form types: Case, Display (Mod or Shipper) or WIP (Work In Progress/not sold to customers). This will drive the values that will appear in the Product Type dropdown.  </v>
      </c>
      <c r="G11" s="117" t="str">
        <f>IF(VLOOKUP($A11,'All sections of NIF PDF'!$D:$N,11,FALSE)=0,"",VLOOKUP($A11,'All sections of NIF PDF'!$D:$N,11,FALSE))</f>
        <v>Reliant on Product Country</v>
      </c>
    </row>
    <row r="12" spans="1:7" ht="28.9">
      <c r="A12" s="121" t="str">
        <f>'All sections of NIF PDF'!D12</f>
        <v>Product Country</v>
      </c>
      <c r="B12" s="117">
        <f>INDEX('All sections of NIF PDF'!$A:$A,MATCH($A12,'All sections of NIF PDF'!$D:$D,0))</f>
        <v>1008</v>
      </c>
      <c r="C12" s="117" t="str">
        <f>VLOOKUP($A12,'All sections of NIF PDF'!$D:$N,4,FALSE)</f>
        <v>dd: reference list: PRODUCT_COUNTRY.XLSX</v>
      </c>
      <c r="D12" s="117" t="str">
        <f>INDEX('All sections of NIF PDF'!$B:$B,MATCH($A12,'All sections of NIF PDF'!$D:$D,0))</f>
        <v>Requestor - Project Initiation</v>
      </c>
      <c r="E12" s="117" t="str">
        <f>VLOOKUP($A12,'All sections of NIF PDF'!$D:$N,6,FALSE)</f>
        <v>Requestor</v>
      </c>
      <c r="F12" s="117" t="str">
        <f>IF(VLOOKUP($A12,Definitions!$D:$E,2,FALSE)=0, "", VLOOKUP($A12,Definitions!$D:$E,2,FALSE))</f>
        <v xml:space="preserve">This field represents the country that will own the new item being created. </v>
      </c>
      <c r="G12" s="117" t="str">
        <f>IF(VLOOKUP($A12,'All sections of NIF PDF'!$D:$N,11,FALSE)=0,"",VLOOKUP($A12,'All sections of NIF PDF'!$D:$N,11,FALSE))</f>
        <v/>
      </c>
    </row>
    <row r="13" spans="1:7" ht="43.15">
      <c r="A13" s="121" t="str">
        <f>'All sections of NIF PDF'!D13</f>
        <v>Product Type</v>
      </c>
      <c r="B13" s="117">
        <f>INDEX('All sections of NIF PDF'!$A:$A,MATCH($A13,'All sections of NIF PDF'!$D:$D,0))</f>
        <v>1009</v>
      </c>
      <c r="C13" s="117" t="str">
        <f>VLOOKUP($A13,'All sections of NIF PDF'!$D:$N,4,FALSE)</f>
        <v>dd: reference list: PRODUCT_SETUP_TYPE.XLSX, Setup_Type column</v>
      </c>
      <c r="D13" s="117" t="str">
        <f>INDEX('All sections of NIF PDF'!$B:$B,MATCH($A13,'All sections of NIF PDF'!$D:$D,0))</f>
        <v>Requestor - Project Initiation</v>
      </c>
      <c r="E13" s="117" t="str">
        <f>VLOOKUP($A13,'All sections of NIF PDF'!$D:$N,6,FALSE)</f>
        <v>Requestor</v>
      </c>
      <c r="F13" s="117" t="str">
        <f>IF(VLOOKUP($A13,Definitions!$D:$E,2,FALSE)=0, "", VLOOKUP($A13,Definitions!$D:$E,2,FALSE))</f>
        <v>This is the primary type of the new item that is being created. Based off the Form Type selected. Determines what setup type should be used.</v>
      </c>
      <c r="G13" s="117" t="str">
        <f>IF(VLOOKUP($A13,'All sections of NIF PDF'!$D:$N,11,FALSE)=0,"",VLOOKUP($A13,'All sections of NIF PDF'!$D:$N,11,FALSE))</f>
        <v>Reliant on Product Country / Form Type</v>
      </c>
    </row>
    <row r="14" spans="1:7" ht="43.15">
      <c r="A14" s="121" t="str">
        <f>'All sections of NIF PDF'!D14</f>
        <v>Product Sub Type</v>
      </c>
      <c r="B14" s="117">
        <f>INDEX('All sections of NIF PDF'!$A:$A,MATCH($A14,'All sections of NIF PDF'!$D:$D,0))</f>
        <v>1010</v>
      </c>
      <c r="C14" s="117" t="str">
        <f>VLOOKUP($A14,'All sections of NIF PDF'!$D:$N,4,FALSE)</f>
        <v>dd: reference list: PRODUCT_SETUP_TYPE.XLSX, Setup_Qualifier column</v>
      </c>
      <c r="D14" s="117" t="str">
        <f>INDEX('All sections of NIF PDF'!$B:$B,MATCH($A14,'All sections of NIF PDF'!$D:$D,0))</f>
        <v>Requestor - Project Initiation</v>
      </c>
      <c r="E14" s="117" t="str">
        <f>VLOOKUP($A14,'All sections of NIF PDF'!$D:$N,6,FALSE)</f>
        <v>Requestor</v>
      </c>
      <c r="F14" s="117" t="str">
        <f>IF(VLOOKUP($A14,Definitions!$D:$E,2,FALSE)=0, "", VLOOKUP($A14,Definitions!$D:$E,2,FALSE))</f>
        <v>Based off the Product Type selected. For example; Product Type Straight Case, the Product Sub Type will only display choices that are relevant to that product type: Package with UPC or Package and pouch/inner item with UPCs</v>
      </c>
      <c r="G14" s="117" t="str">
        <f>IF(VLOOKUP($A14,'All sections of NIF PDF'!$D:$N,11,FALSE)=0,"",VLOOKUP($A14,'All sections of NIF PDF'!$D:$N,11,FALSE))</f>
        <v>Reliant on Product Country / Form Type / Product Type</v>
      </c>
    </row>
    <row r="15" spans="1:7">
      <c r="A15" s="121" t="str">
        <f>'All sections of NIF PDF'!D15</f>
        <v>Is this a Pringles product</v>
      </c>
      <c r="B15" s="117">
        <f>INDEX('All sections of NIF PDF'!$A:$A,MATCH($A15,'All sections of NIF PDF'!$D:$D,0))</f>
        <v>1011</v>
      </c>
      <c r="C15" s="117" t="str">
        <f>VLOOKUP($A15,'All sections of NIF PDF'!$D:$N,4,FALSE)</f>
        <v>dd: YES, NO</v>
      </c>
      <c r="D15" s="117" t="str">
        <f>INDEX('All sections of NIF PDF'!$B:$B,MATCH($A15,'All sections of NIF PDF'!$D:$D,0))</f>
        <v>Requestor - Project Initiation</v>
      </c>
      <c r="E15" s="117" t="str">
        <f>VLOOKUP($A15,'All sections of NIF PDF'!$D:$N,6,FALSE)</f>
        <v>Requestor</v>
      </c>
      <c r="F15" s="117" t="str">
        <f>IF(VLOOKUP($A15,Definitions!$D:$E,2,FALSE)=0, "", VLOOKUP($A15,Definitions!$D:$E,2,FALSE))</f>
        <v>If Pringles, answer yes. This drives logic around description and displays the Pringles Can Size field.</v>
      </c>
      <c r="G15" s="117" t="str">
        <f>IF(VLOOKUP($A15,'All sections of NIF PDF'!$D:$N,11,FALSE)=0,"",VLOOKUP($A15,'All sections of NIF PDF'!$D:$N,11,FALSE))</f>
        <v/>
      </c>
    </row>
    <row r="16" spans="1:7" ht="28.9">
      <c r="A16" s="121" t="str">
        <f>'All sections of NIF PDF'!D16</f>
        <v>Is this an RX Product</v>
      </c>
      <c r="B16" s="117">
        <f>INDEX('All sections of NIF PDF'!$A:$A,MATCH($A16,'All sections of NIF PDF'!$D:$D,0))</f>
        <v>1012</v>
      </c>
      <c r="C16" s="117" t="str">
        <f>VLOOKUP($A16,'All sections of NIF PDF'!$D:$N,4,FALSE)</f>
        <v>dd: YES, NO</v>
      </c>
      <c r="D16" s="117" t="str">
        <f>INDEX('All sections of NIF PDF'!$B:$B,MATCH($A16,'All sections of NIF PDF'!$D:$D,0))</f>
        <v>Requestor - Project Initiation</v>
      </c>
      <c r="E16" s="117" t="str">
        <f>VLOOKUP($A16,'All sections of NIF PDF'!$D:$N,6,FALSE)</f>
        <v>Requestor</v>
      </c>
      <c r="F16" s="117" t="str">
        <f>IF(VLOOKUP($A16,Definitions!$D:$E,2,FALSE)=0, "", VLOOKUP($A16,Definitions!$D:$E,2,FALSE))</f>
        <v>Will this item be sold at the package level, direct to consumer - RX PRODUCT/ will kick off DTC form at end of process</v>
      </c>
      <c r="G16" s="117" t="str">
        <f>IF(VLOOKUP($A16,'All sections of NIF PDF'!$D:$N,11,FALSE)=0,"",VLOOKUP($A16,'All sections of NIF PDF'!$D:$N,11,FALSE))</f>
        <v/>
      </c>
    </row>
    <row r="17" spans="1:7">
      <c r="A17" s="121" t="str">
        <f>'All sections of NIF PDF'!D17</f>
        <v>SAP Material Number</v>
      </c>
      <c r="B17" s="117">
        <f>INDEX('All sections of NIF PDF'!$A:$A,MATCH($A17,'All sections of NIF PDF'!$D:$D,0))</f>
        <v>1013</v>
      </c>
      <c r="C17" s="117" t="str">
        <f>VLOOKUP($A17,'All sections of NIF PDF'!$D:$N,4,FALSE)</f>
        <v>free form</v>
      </c>
      <c r="D17" s="117" t="str">
        <f>INDEX('All sections of NIF PDF'!$B:$B,MATCH($A17,'All sections of NIF PDF'!$D:$D,0))</f>
        <v>Requestor - Project Initiation</v>
      </c>
      <c r="E17" s="117" t="str">
        <f>VLOOKUP($A17,'All sections of NIF PDF'!$D:$N,6,FALSE)</f>
        <v>Masterfiles</v>
      </c>
      <c r="F17" s="117" t="str">
        <f>IF(VLOOKUP($A17,Definitions!$D:$E,2,FALSE)=0, "", VLOOKUP($A17,Definitions!$D:$E,2,FALSE))</f>
        <v>Internal Kellanova # Assigned by MasterFiles</v>
      </c>
      <c r="G17" s="117" t="str">
        <f>IF(VLOOKUP($A17,'All sections of NIF PDF'!$D:$N,11,FALSE)=0,"",VLOOKUP($A17,'All sections of NIF PDF'!$D:$N,11,FALSE))</f>
        <v>(same as Material Number)</v>
      </c>
    </row>
    <row r="18" spans="1:7" ht="28.9">
      <c r="A18" s="121" t="str">
        <f>'All sections of NIF PDF'!D18</f>
        <v>Project Type</v>
      </c>
      <c r="B18" s="117">
        <f>INDEX('All sections of NIF PDF'!$A:$A,MATCH($A18,'All sections of NIF PDF'!$D:$D,0))</f>
        <v>1014</v>
      </c>
      <c r="C18" s="117" t="str">
        <f>VLOOKUP($A18,'All sections of NIF PDF'!$D:$N,4,FALSE)</f>
        <v>dd: KUBIC, PDR, PWR, SCR</v>
      </c>
      <c r="D18" s="117" t="str">
        <f>INDEX('All sections of NIF PDF'!$B:$B,MATCH($A18,'All sections of NIF PDF'!$D:$D,0))</f>
        <v>Requestor - Project Initiation</v>
      </c>
      <c r="E18" s="117" t="str">
        <f>VLOOKUP($A18,'All sections of NIF PDF'!$D:$N,6,FALSE)</f>
        <v>Requestor</v>
      </c>
      <c r="F18" s="117" t="str">
        <f>IF(VLOOKUP($A18,Definitions!$D:$E,2,FALSE)=0, "", VLOOKUP($A18,Definitions!$D:$E,2,FALSE))</f>
        <v>KUBIC, PDR (Product Development Request), PWR (Packaging Work Request), or SCR (Supply Chain Request)</v>
      </c>
      <c r="G18" s="117" t="str">
        <f>IF(VLOOKUP($A18,'All sections of NIF PDF'!$D:$N,11,FALSE)=0,"",VLOOKUP($A18,'All sections of NIF PDF'!$D:$N,11,FALSE))</f>
        <v/>
      </c>
    </row>
    <row r="19" spans="1:7" ht="28.9">
      <c r="A19" s="121" t="str">
        <f>'All sections of NIF PDF'!D19</f>
        <v>Project Name or Number</v>
      </c>
      <c r="B19" s="117">
        <f>INDEX('All sections of NIF PDF'!$A:$A,MATCH($A19,'All sections of NIF PDF'!$D:$D,0))</f>
        <v>1015</v>
      </c>
      <c r="C19" s="117" t="str">
        <f>VLOOKUP($A19,'All sections of NIF PDF'!$D:$N,4,FALSE)</f>
        <v>free form</v>
      </c>
      <c r="D19" s="117" t="str">
        <f>INDEX('All sections of NIF PDF'!$B:$B,MATCH($A19,'All sections of NIF PDF'!$D:$D,0))</f>
        <v>Requestor - Project Initiation</v>
      </c>
      <c r="E19" s="117" t="str">
        <f>VLOOKUP($A19,'All sections of NIF PDF'!$D:$N,6,FALSE)</f>
        <v>Requestor</v>
      </c>
      <c r="F19" s="117" t="str">
        <f>IF(VLOOKUP($A19,Definitions!$D:$E,2,FALSE)=0, "", VLOOKUP($A19,Definitions!$D:$E,2,FALSE))</f>
        <v>PDR and SCR is text (ex Tasty), PWR is numeric (ex 2020-123) and KUBIC can be either -  If KUBIC, the product like/reference SKU field is required</v>
      </c>
      <c r="G19" s="117" t="str">
        <f>IF(VLOOKUP($A19,'All sections of NIF PDF'!$D:$N,11,FALSE)=0,"",VLOOKUP($A19,'All sections of NIF PDF'!$D:$N,11,FALSE))</f>
        <v/>
      </c>
    </row>
    <row r="20" spans="1:7" ht="28.9">
      <c r="A20" s="121" t="str">
        <f>'All sections of NIF PDF'!D20</f>
        <v>Set Category</v>
      </c>
      <c r="B20" s="117">
        <f>INDEX('All sections of NIF PDF'!$A:$A,MATCH($A20,'All sections of NIF PDF'!$D:$D,0))</f>
        <v>1016</v>
      </c>
      <c r="C20" s="117" t="str">
        <f>VLOOKUP($A20,'All sections of NIF PDF'!$D:$N,4,FALSE)</f>
        <v>dd: reference list: RDL_Categories.xlsx</v>
      </c>
      <c r="D20" s="117" t="str">
        <f>INDEX('All sections of NIF PDF'!$B:$B,MATCH($A20,'All sections of NIF PDF'!$D:$D,0))</f>
        <v>Requestor - Project Initiation</v>
      </c>
      <c r="E20" s="117" t="str">
        <f>VLOOKUP($A20,'All sections of NIF PDF'!$D:$N,6,FALSE)</f>
        <v>Requestor</v>
      </c>
      <c r="F20" s="117" t="str">
        <f>IF(VLOOKUP($A20,Definitions!$D:$E,2,FALSE)=0, "", VLOOKUP($A20,Definitions!$D:$E,2,FALSE))</f>
        <v>Bars, Crackers, Other Convenience, Salty Snacks, Frozen, Toaster Pastries, Veggies</v>
      </c>
      <c r="G20" s="117" t="str">
        <f>IF(VLOOKUP($A20,'All sections of NIF PDF'!$D:$N,11,FALSE)=0,"",VLOOKUP($A20,'All sections of NIF PDF'!$D:$N,11,FALSE))</f>
        <v/>
      </c>
    </row>
    <row r="21" spans="1:7" ht="28.9">
      <c r="A21" s="121" t="str">
        <f>'All sections of NIF PDF'!D21</f>
        <v>Brief Product Description</v>
      </c>
      <c r="B21" s="117">
        <f>INDEX('All sections of NIF PDF'!$A:$A,MATCH($A21,'All sections of NIF PDF'!$D:$D,0))</f>
        <v>1017</v>
      </c>
      <c r="C21" s="117" t="str">
        <f>VLOOKUP($A21,'All sections of NIF PDF'!$D:$N,4,FALSE)</f>
        <v>free form</v>
      </c>
      <c r="D21" s="117" t="str">
        <f>INDEX('All sections of NIF PDF'!$B:$B,MATCH($A21,'All sections of NIF PDF'!$D:$D,0))</f>
        <v>Requestor - Project Initiation</v>
      </c>
      <c r="E21" s="117" t="str">
        <f>VLOOKUP($A21,'All sections of NIF PDF'!$D:$N,6,FALSE)</f>
        <v>Requestor</v>
      </c>
      <c r="F21" s="117" t="str">
        <f>IF(VLOOKUP($A21,Definitions!$D:$E,2,FALSE)=0, "", VLOOKUP($A21,Definitions!$D:$E,2,FALSE))</f>
        <v>This will be used in the description of the form. Do not use details that might change (such as net weight, flavor, etc.)  Ex. POP-TARTS WALMART VARIETY PK</v>
      </c>
      <c r="G21" s="117" t="str">
        <f>IF(VLOOKUP($A21,'All sections of NIF PDF'!$D:$N,11,FALSE)=0,"",VLOOKUP($A21,'All sections of NIF PDF'!$D:$N,11,FALSE))</f>
        <v/>
      </c>
    </row>
    <row r="22" spans="1:7" ht="28.9">
      <c r="A22" s="121" t="str">
        <f>'All sections of NIF PDF'!D22</f>
        <v>Brief Project Overview and Technical Notes</v>
      </c>
      <c r="B22" s="117">
        <f>INDEX('All sections of NIF PDF'!$A:$A,MATCH($A22,'All sections of NIF PDF'!$D:$D,0))</f>
        <v>1018</v>
      </c>
      <c r="C22" s="117" t="str">
        <f>VLOOKUP($A22,'All sections of NIF PDF'!$D:$N,4,FALSE)</f>
        <v>free form</v>
      </c>
      <c r="D22" s="117" t="str">
        <f>INDEX('All sections of NIF PDF'!$B:$B,MATCH($A22,'All sections of NIF PDF'!$D:$D,0))</f>
        <v>Requestor - Project Initiation</v>
      </c>
      <c r="E22" s="117" t="str">
        <f>VLOOKUP($A22,'All sections of NIF PDF'!$D:$N,6,FALSE)</f>
        <v>Requestor</v>
      </c>
      <c r="F22" s="117" t="str">
        <f>IF(VLOOKUP($A22,Definitions!$D:$E,2,FALSE)=0, "", VLOOKUP($A22,Definitions!$D:$E,2,FALSE))</f>
        <v>Be as detailed as possible, and provide the flavor, package size and case size if known. There is opportunity to update this later if details change.</v>
      </c>
      <c r="G22" s="117" t="str">
        <f>IF(VLOOKUP($A22,'All sections of NIF PDF'!$D:$N,11,FALSE)=0,"",VLOOKUP($A22,'All sections of NIF PDF'!$D:$N,11,FALSE))</f>
        <v/>
      </c>
    </row>
    <row r="23" spans="1:7" ht="28.9">
      <c r="A23" s="121" t="str">
        <f>'All sections of NIF PDF'!D23</f>
        <v>Stated Weight Applicable For</v>
      </c>
      <c r="B23" s="117">
        <f>INDEX('All sections of NIF PDF'!$A:$A,MATCH($A23,'All sections of NIF PDF'!$D:$D,0))</f>
        <v>1019</v>
      </c>
      <c r="C23" s="117" t="str">
        <f>VLOOKUP($A23,'All sections of NIF PDF'!$D:$N,4,FALSE)</f>
        <v>dd: PACKAGE, INNER ITEM/POUCH</v>
      </c>
      <c r="D23" s="117" t="str">
        <f>INDEX('All sections of NIF PDF'!$B:$B,MATCH($A23,'All sections of NIF PDF'!$D:$D,0))</f>
        <v>Requestor - Project Initiation</v>
      </c>
      <c r="E23" s="117" t="str">
        <f>VLOOKUP($A23,'All sections of NIF PDF'!$D:$N,6,FALSE)</f>
        <v>Requestor</v>
      </c>
      <c r="F23" s="117" t="str">
        <f>IF(VLOOKUP($A23,Definitions!$D:$E,2,FALSE)=0, "", VLOOKUP($A23,Definitions!$D:$E,2,FALSE))</f>
        <v>This field is meant to convey the level for the rest of the information that you will be communicating as estimated or finalized.  It can be at the package or inner item/pouch level.</v>
      </c>
      <c r="G23" s="117" t="str">
        <f>IF(VLOOKUP($A23,'All sections of NIF PDF'!$D:$N,11,FALSE)=0,"",VLOOKUP($A23,'All sections of NIF PDF'!$D:$N,11,FALSE))</f>
        <v/>
      </c>
    </row>
    <row r="24" spans="1:7">
      <c r="A24" s="121" t="str">
        <f>'All sections of NIF PDF'!D24</f>
        <v>Stated Weight Status</v>
      </c>
      <c r="B24" s="117">
        <f>INDEX('All sections of NIF PDF'!$A:$A,MATCH($A24,'All sections of NIF PDF'!$D:$D,0))</f>
        <v>1020</v>
      </c>
      <c r="C24" s="117" t="str">
        <f>VLOOKUP($A24,'All sections of NIF PDF'!$D:$N,4,FALSE)</f>
        <v>dd: ESTIMATED, FINALIZED</v>
      </c>
      <c r="D24" s="117" t="str">
        <f>INDEX('All sections of NIF PDF'!$B:$B,MATCH($A24,'All sections of NIF PDF'!$D:$D,0))</f>
        <v>Requestor - Project Initiation</v>
      </c>
      <c r="E24" s="117" t="str">
        <f>VLOOKUP($A24,'All sections of NIF PDF'!$D:$N,6,FALSE)</f>
        <v>Requestor</v>
      </c>
      <c r="F24" s="117" t="str">
        <f>IF(VLOOKUP($A24,Definitions!$D:$E,2,FALSE)=0, "", VLOOKUP($A24,Definitions!$D:$E,2,FALSE))</f>
        <v>This field is used to indicate if the weight information is estimated or finalized.</v>
      </c>
      <c r="G24" s="117" t="str">
        <f>IF(VLOOKUP($A24,'All sections of NIF PDF'!$D:$N,11,FALSE)=0,"",VLOOKUP($A24,'All sections of NIF PDF'!$D:$N,11,FALSE))</f>
        <v/>
      </c>
    </row>
    <row r="25" spans="1:7">
      <c r="A25" s="121" t="str">
        <f>'All sections of NIF PDF'!D25</f>
        <v>Stated Net Weight</v>
      </c>
      <c r="B25" s="117">
        <f>INDEX('All sections of NIF PDF'!$A:$A,MATCH($A25,'All sections of NIF PDF'!$D:$D,0))</f>
        <v>1021</v>
      </c>
      <c r="C25" s="117" t="str">
        <f>VLOOKUP($A25,'All sections of NIF PDF'!$D:$N,4,FALSE)</f>
        <v>free form</v>
      </c>
      <c r="D25" s="117" t="str">
        <f>INDEX('All sections of NIF PDF'!$B:$B,MATCH($A25,'All sections of NIF PDF'!$D:$D,0))</f>
        <v>Requestor - Project Initiation</v>
      </c>
      <c r="E25" s="117" t="str">
        <f>VLOOKUP($A25,'All sections of NIF PDF'!$D:$N,6,FALSE)</f>
        <v>Requestor</v>
      </c>
      <c r="F25" s="117" t="str">
        <f>IF(VLOOKUP($A25,Definitions!$D:$E,2,FALSE)=0, "", VLOOKUP($A25,Definitions!$D:$E,2,FALSE))</f>
        <v>This field is where you would enter the stated net weight that is printed on the packaging.</v>
      </c>
      <c r="G25" s="117" t="str">
        <f>IF(VLOOKUP($A25,'All sections of NIF PDF'!$D:$N,11,FALSE)=0,"",VLOOKUP($A25,'All sections of NIF PDF'!$D:$N,11,FALSE))</f>
        <v/>
      </c>
    </row>
    <row r="26" spans="1:7">
      <c r="A26" s="121" t="str">
        <f>'All sections of NIF PDF'!D26</f>
        <v>Stated Net Weight UOM</v>
      </c>
      <c r="B26" s="117">
        <f>INDEX('All sections of NIF PDF'!$A:$A,MATCH($A26,'All sections of NIF PDF'!$D:$D,0))</f>
        <v>1022</v>
      </c>
      <c r="C26" s="117" t="str">
        <f>VLOOKUP($A26,'All sections of NIF PDF'!$D:$N,4,FALSE)</f>
        <v>dd: OZ, LB, G, KG</v>
      </c>
      <c r="D26" s="117" t="str">
        <f>INDEX('All sections of NIF PDF'!$B:$B,MATCH($A26,'All sections of NIF PDF'!$D:$D,0))</f>
        <v>Requestor - Project Initiation</v>
      </c>
      <c r="E26" s="117" t="str">
        <f>VLOOKUP($A26,'All sections of NIF PDF'!$D:$N,6,FALSE)</f>
        <v>Requestor</v>
      </c>
      <c r="F26" s="117" t="str">
        <f>IF(VLOOKUP($A26,Definitions!$D:$E,2,FALSE)=0, "", VLOOKUP($A26,Definitions!$D:$E,2,FALSE))</f>
        <v xml:space="preserve">This field is the net weight unit of measure that is printed on the packaging; OZ, LB, G, KG. </v>
      </c>
      <c r="G26" s="117" t="str">
        <f>IF(VLOOKUP($A26,'All sections of NIF PDF'!$D:$N,11,FALSE)=0,"",VLOOKUP($A26,'All sections of NIF PDF'!$D:$N,11,FALSE))</f>
        <v/>
      </c>
    </row>
    <row r="27" spans="1:7">
      <c r="A27" s="121" t="str">
        <f>'All sections of NIF PDF'!D27</f>
        <v>Case Count Status</v>
      </c>
      <c r="B27" s="117">
        <f>INDEX('All sections of NIF PDF'!$A:$A,MATCH($A27,'All sections of NIF PDF'!$D:$D,0))</f>
        <v>1023</v>
      </c>
      <c r="C27" s="117" t="str">
        <f>VLOOKUP($A27,'All sections of NIF PDF'!$D:$N,4,FALSE)</f>
        <v>dd: ESTIMATED, FINALIZED</v>
      </c>
      <c r="D27" s="117" t="str">
        <f>INDEX('All sections of NIF PDF'!$B:$B,MATCH($A27,'All sections of NIF PDF'!$D:$D,0))</f>
        <v>Requestor - Project Initiation</v>
      </c>
      <c r="E27" s="117" t="str">
        <f>VLOOKUP($A27,'All sections of NIF PDF'!$D:$N,6,FALSE)</f>
        <v>Requestor</v>
      </c>
      <c r="F27" s="117" t="str">
        <f>IF(VLOOKUP($A27,Definitions!$D:$E,2,FALSE)=0, "", VLOOKUP($A27,Definitions!$D:$E,2,FALSE))</f>
        <v>This field is used to indicate if the case count for the level selected earlier is estimated or finalized.</v>
      </c>
      <c r="G27" s="117" t="str">
        <f>IF(VLOOKUP($A27,'All sections of NIF PDF'!$D:$N,11,FALSE)=0,"",VLOOKUP($A27,'All sections of NIF PDF'!$D:$N,11,FALSE))</f>
        <v/>
      </c>
    </row>
    <row r="28" spans="1:7">
      <c r="A28" s="121" t="str">
        <f>'All sections of NIF PDF'!D28</f>
        <v>Case Count</v>
      </c>
      <c r="B28" s="117">
        <f>INDEX('All sections of NIF PDF'!$A:$A,MATCH($A28,'All sections of NIF PDF'!$D:$D,0))</f>
        <v>1024</v>
      </c>
      <c r="C28" s="117" t="str">
        <f>VLOOKUP($A28,'All sections of NIF PDF'!$D:$N,4,FALSE)</f>
        <v>free form</v>
      </c>
      <c r="D28" s="117" t="str">
        <f>INDEX('All sections of NIF PDF'!$B:$B,MATCH($A28,'All sections of NIF PDF'!$D:$D,0))</f>
        <v>Requestor - Project Initiation</v>
      </c>
      <c r="E28" s="117" t="str">
        <f>VLOOKUP($A28,'All sections of NIF PDF'!$D:$N,6,FALSE)</f>
        <v>Requestor</v>
      </c>
      <c r="F28" s="117" t="str">
        <f>IF(VLOOKUP($A28,Definitions!$D:$E,2,FALSE)=0, "", VLOOKUP($A28,Definitions!$D:$E,2,FALSE))</f>
        <v>This field is the total number of items in the case for the level selected earlier.</v>
      </c>
      <c r="G28" s="117" t="str">
        <f>IF(VLOOKUP($A28,'All sections of NIF PDF'!$D:$N,11,FALSE)=0,"",VLOOKUP($A28,'All sections of NIF PDF'!$D:$N,11,FALSE))</f>
        <v/>
      </c>
    </row>
    <row r="29" spans="1:7" ht="43.15">
      <c r="A29" s="121" t="str">
        <f>'All sections of NIF PDF'!D29</f>
        <v>Like SKU / Reference Material Number</v>
      </c>
      <c r="B29" s="117">
        <f>INDEX('All sections of NIF PDF'!$A:$A,MATCH($A29,'All sections of NIF PDF'!$D:$D,0))</f>
        <v>1025</v>
      </c>
      <c r="C29" s="117" t="str">
        <f>VLOOKUP($A29,'All sections of NIF PDF'!$D:$N,4,FALSE)</f>
        <v>SAP db list</v>
      </c>
      <c r="D29" s="117" t="str">
        <f>INDEX('All sections of NIF PDF'!$B:$B,MATCH($A29,'All sections of NIF PDF'!$D:$D,0))</f>
        <v>Requestor - Project Initiation</v>
      </c>
      <c r="E29" s="117" t="str">
        <f>VLOOKUP($A29,'All sections of NIF PDF'!$D:$N,6,FALSE)</f>
        <v>Requestor</v>
      </c>
      <c r="F29" s="117" t="str">
        <f>IF(VLOOKUP($A29,Definitions!$D:$E,2,FALSE)=0, "", VLOOKUP($A29,Definitions!$D:$E,2,FALSE))</f>
        <v>This is very useful for Masterfiles as well as other teams to understand the setup requirements. Only required if the Project Type is KUBIC, otherwise it is informational only. - Dependent on PROJECT TYPE KUBIC (required)</v>
      </c>
      <c r="G29" s="117" t="str">
        <f>IF(VLOOKUP($A29,'All sections of NIF PDF'!$D:$N,11,FALSE)=0,"",VLOOKUP($A29,'All sections of NIF PDF'!$D:$N,11,FALSE))</f>
        <v/>
      </c>
    </row>
    <row r="30" spans="1:7" ht="72">
      <c r="A30" s="121" t="str">
        <f>'All sections of NIF PDF'!D30</f>
        <v>Approved to sell via Ecommerce</v>
      </c>
      <c r="B30" s="117">
        <f>INDEX('All sections of NIF PDF'!$A:$A,MATCH($A30,'All sections of NIF PDF'!$D:$D,0))</f>
        <v>1026</v>
      </c>
      <c r="C30" s="117" t="str">
        <f>VLOOKUP($A30,'All sections of NIF PDF'!$D:$N,4,FALSE)</f>
        <v>dd: YES, NO</v>
      </c>
      <c r="D30" s="117" t="str">
        <f>INDEX('All sections of NIF PDF'!$B:$B,MATCH($A30,'All sections of NIF PDF'!$D:$D,0))</f>
        <v>Requestor - Project Initiation</v>
      </c>
      <c r="E30" s="117" t="str">
        <f>VLOOKUP($A30,'All sections of NIF PDF'!$D:$N,6,FALSE)</f>
        <v>Requestor</v>
      </c>
      <c r="F30" s="117" t="str">
        <f>IF(VLOOKUP($A30,Definitions!$D:$E,2,FALSE)=0, "", VLOOKUP($A30,Definitions!$D:$E,2,FALSE))</f>
        <v>US only, Canada should always answer NO. Answering yes will automatically apply the “Online” Trade Channel for Data Sync purposes. Answering yes to the “Approved to sell via Ecommerce?” question on the Requestor Initiate task means the item is approved for sale on our CUSTOMERS' ecommerce platform, or is DTC/Direct To Consumer, where the item is intended for sale on Kellanova's ecommerce platform.</v>
      </c>
      <c r="G30" s="117" t="str">
        <f>IF(VLOOKUP($A30,'All sections of NIF PDF'!$D:$N,11,FALSE)=0,"",VLOOKUP($A30,'All sections of NIF PDF'!$D:$N,11,FALSE))</f>
        <v/>
      </c>
    </row>
    <row r="31" spans="1:7" ht="28.9">
      <c r="A31" s="121" t="str">
        <f>'All sections of NIF PDF'!D31</f>
        <v>Is product designated to one customer</v>
      </c>
      <c r="B31" s="117">
        <f>INDEX('All sections of NIF PDF'!$A:$A,MATCH($A31,'All sections of NIF PDF'!$D:$D,0))</f>
        <v>1027</v>
      </c>
      <c r="C31" s="117" t="str">
        <f>VLOOKUP($A31,'All sections of NIF PDF'!$D:$N,4,FALSE)</f>
        <v>dd: YES, NO</v>
      </c>
      <c r="D31" s="117" t="str">
        <f>INDEX('All sections of NIF PDF'!$B:$B,MATCH($A31,'All sections of NIF PDF'!$D:$D,0))</f>
        <v>Requestor - Project Initiation</v>
      </c>
      <c r="E31" s="117" t="str">
        <f>VLOOKUP($A31,'All sections of NIF PDF'!$D:$N,6,FALSE)</f>
        <v>Requestor</v>
      </c>
      <c r="F31" s="117" t="str">
        <f>IF(VLOOKUP($A31,Definitions!$D:$E,2,FALSE)=0, "", VLOOKUP($A31,Definitions!$D:$E,2,FALSE))</f>
        <v>Answer yes if the new item is meant for sale to one customer (i.e. Walmart). This information will be used by the Data Sync team for item publication to customers - (CUSTOMER_SPECIFIC)</v>
      </c>
      <c r="G31" s="117" t="str">
        <f>IF(VLOOKUP($A31,'All sections of NIF PDF'!$D:$N,11,FALSE)=0,"",VLOOKUP($A31,'All sections of NIF PDF'!$D:$N,11,FALSE))</f>
        <v/>
      </c>
    </row>
    <row r="32" spans="1:7" ht="86.45">
      <c r="A32" s="121" t="str">
        <f>'All sections of NIF PDF'!D32</f>
        <v>Designated Customer Name</v>
      </c>
      <c r="B32" s="117">
        <f>INDEX('All sections of NIF PDF'!$A:$A,MATCH($A32,'All sections of NIF PDF'!$D:$D,0))</f>
        <v>1028</v>
      </c>
      <c r="C32" s="117" t="str">
        <f>VLOOKUP($A32,'All sections of NIF PDF'!$D:$N,4,FALSE)</f>
        <v>dd: reference list: PRL: Designated Customer Name</v>
      </c>
      <c r="D32" s="117" t="str">
        <f>INDEX('All sections of NIF PDF'!$B:$B,MATCH($A32,'All sections of NIF PDF'!$D:$D,0))</f>
        <v>Requestor - Project Initiation</v>
      </c>
      <c r="E32" s="117" t="str">
        <f>VLOOKUP($A32,'All sections of NIF PDF'!$D:$N,6,FALSE)</f>
        <v>Requestor</v>
      </c>
      <c r="F32" s="117" t="str">
        <f>IF(VLOOKUP($A32,Definitions!$D:$E,2,FALSE)=0, "", VLOOKUP($A32,Definitions!$D:$E,2,FALSE))</f>
        <v>If the answer to "Is product designated to one customer?" is Yes, this field will open up for population. Provide the name of the customer using the drop down. This information is required if the product is designated to one customer, and will be used by the Data Sync team for item publication. If it is not populated with the customer name, the item will be published out to all customers, vs just (as an example) Walmart. Required for Data Sync in order to ensure the item is published only to this customer, versus all customers.</v>
      </c>
      <c r="G32" s="117" t="str">
        <f>IF(VLOOKUP($A32,'All sections of NIF PDF'!$D:$N,11,FALSE)=0,"",VLOOKUP($A32,'All sections of NIF PDF'!$D:$N,11,FALSE))</f>
        <v/>
      </c>
    </row>
    <row r="33" spans="1:7" ht="28.9">
      <c r="A33" s="121" t="str">
        <f>'All sections of NIF PDF'!D33</f>
        <v>Include Designated Cust In Material Desc</v>
      </c>
      <c r="B33" s="117">
        <f>INDEX('All sections of NIF PDF'!$A:$A,MATCH($A33,'All sections of NIF PDF'!$D:$D,0))</f>
        <v>1029</v>
      </c>
      <c r="C33" s="117" t="str">
        <f>VLOOKUP($A33,'All sections of NIF PDF'!$D:$N,4,FALSE)</f>
        <v>dd: YES, NO</v>
      </c>
      <c r="D33" s="117" t="str">
        <f>INDEX('All sections of NIF PDF'!$B:$B,MATCH($A33,'All sections of NIF PDF'!$D:$D,0))</f>
        <v>Requestor - Project Initiation</v>
      </c>
      <c r="E33" s="117" t="str">
        <f>VLOOKUP($A33,'All sections of NIF PDF'!$D:$N,6,FALSE)</f>
        <v>Requestor</v>
      </c>
      <c r="F33" s="117" t="str">
        <f>IF(VLOOKUP($A33,Definitions!$D:$E,2,FALSE)=0, "", VLOOKUP($A33,Definitions!$D:$E,2,FALSE))</f>
        <v>Answer yes if the customer's name should appear in the product description in SAP.</v>
      </c>
      <c r="G33" s="117" t="str">
        <f>IF(VLOOKUP($A33,'All sections of NIF PDF'!$D:$N,11,FALSE)=0,"",VLOOKUP($A33,'All sections of NIF PDF'!$D:$N,11,FALSE))</f>
        <v/>
      </c>
    </row>
    <row r="34" spans="1:7">
      <c r="A34" s="121" t="str">
        <f>'All sections of NIF PDF'!D34</f>
        <v>Variety Pack</v>
      </c>
      <c r="B34" s="117">
        <f>INDEX('All sections of NIF PDF'!$A:$A,MATCH($A34,'All sections of NIF PDF'!$D:$D,0))</f>
        <v>1030</v>
      </c>
      <c r="C34" s="117" t="str">
        <f>VLOOKUP($A34,'All sections of NIF PDF'!$D:$N,4,FALSE)</f>
        <v>dd: YES, NO</v>
      </c>
      <c r="D34" s="117" t="str">
        <f>INDEX('All sections of NIF PDF'!$B:$B,MATCH($A34,'All sections of NIF PDF'!$D:$D,0))</f>
        <v>Requestor - Project Initiation</v>
      </c>
      <c r="E34" s="117" t="str">
        <f>VLOOKUP($A34,'All sections of NIF PDF'!$D:$N,6,FALSE)</f>
        <v>Requestor</v>
      </c>
      <c r="F34" s="117" t="str">
        <f>IF(VLOOKUP($A34,Definitions!$D:$E,2,FALSE)=0, "", VLOOKUP($A34,Definitions!$D:$E,2,FALSE))</f>
        <v>Is the new item considered a variety pack? For example, a carton that has different flavors inside.</v>
      </c>
      <c r="G34" s="117" t="str">
        <f>IF(VLOOKUP($A34,'All sections of NIF PDF'!$D:$N,11,FALSE)=0,"",VLOOKUP($A34,'All sections of NIF PDF'!$D:$N,11,FALSE))</f>
        <v/>
      </c>
    </row>
    <row r="35" spans="1:7" ht="57.6">
      <c r="A35" s="121" t="str">
        <f>'All sections of NIF PDF'!D35</f>
        <v>Variety Pack components have UPC codes</v>
      </c>
      <c r="B35" s="117">
        <f>INDEX('All sections of NIF PDF'!$A:$A,MATCH($A35,'All sections of NIF PDF'!$D:$D,0))</f>
        <v>1031</v>
      </c>
      <c r="C35" s="117" t="str">
        <f>VLOOKUP($A35,'All sections of NIF PDF'!$D:$N,4,FALSE)</f>
        <v>dd: YES, NO</v>
      </c>
      <c r="D35" s="117" t="str">
        <f>INDEX('All sections of NIF PDF'!$B:$B,MATCH($A35,'All sections of NIF PDF'!$D:$D,0))</f>
        <v>Requestor - Project Initiation</v>
      </c>
      <c r="E35" s="117" t="str">
        <f>VLOOKUP($A35,'All sections of NIF PDF'!$D:$N,6,FALSE)</f>
        <v>Requestor</v>
      </c>
      <c r="F35" s="117" t="str">
        <f>IF(VLOOKUP($A35,Definitions!$D:$E,2,FALSE)=0, "", VLOOKUP($A35,Definitions!$D:$E,2,FALSE))</f>
        <v xml:space="preserve">Do the items inside the variety pack have UPC codes printed on them? If so, you will need to provide the BOM details on the Requestor Update task for what is inside for Data Sync purposes - Yes or No.  If answered Yes to Variety Pack? this field will open up for population.  If yes, provide BOM details for Data Sync purposes (CASE Form Type) - Drives the 0200 BOM </v>
      </c>
      <c r="G35" s="117" t="str">
        <f>IF(VLOOKUP($A35,'All sections of NIF PDF'!$D:$N,11,FALSE)=0,"",VLOOKUP($A35,'All sections of NIF PDF'!$D:$N,11,FALSE))</f>
        <v/>
      </c>
    </row>
    <row r="36" spans="1:7" ht="43.15">
      <c r="A36" s="121" t="str">
        <f>'All sections of NIF PDF'!D36</f>
        <v>Build SKU Using Existing Package UPCs</v>
      </c>
      <c r="B36" s="117">
        <f>INDEX('All sections of NIF PDF'!$A:$A,MATCH($A36,'All sections of NIF PDF'!$D:$D,0))</f>
        <v>1032</v>
      </c>
      <c r="C36" s="117" t="str">
        <f>VLOOKUP($A36,'All sections of NIF PDF'!$D:$N,4,FALSE)</f>
        <v>dd: YES, NO</v>
      </c>
      <c r="D36" s="117" t="str">
        <f>INDEX('All sections of NIF PDF'!$B:$B,MATCH($A36,'All sections of NIF PDF'!$D:$D,0))</f>
        <v>Requestor - Project Initiation</v>
      </c>
      <c r="E36" s="117" t="str">
        <f>VLOOKUP($A36,'All sections of NIF PDF'!$D:$N,6,FALSE)</f>
        <v>Requestor</v>
      </c>
      <c r="F36" s="117" t="str">
        <f>IF(VLOOKUP($A36,Definitions!$D:$E,2,FALSE)=0, "", VLOOKUP($A36,Definitions!$D:$E,2,FALSE))</f>
        <v>Should be No, unless the Setup Type is Repack/RCP - This field should be locked and defaulted based on the setup type chosen. Should be no, unless the Setup Type is Repack/RCP - Provide the existing export UPC's and K numbers that will be used for this new item</v>
      </c>
      <c r="G36" s="117" t="str">
        <f>IF(VLOOKUP($A36,'All sections of NIF PDF'!$D:$N,11,FALSE)=0,"",VLOOKUP($A36,'All sections of NIF PDF'!$D:$N,11,FALSE))</f>
        <v/>
      </c>
    </row>
    <row r="37" spans="1:7" ht="43.15">
      <c r="A37" s="121" t="str">
        <f>'All sections of NIF PDF'!D37</f>
        <v>Is this item owned by Away From Home</v>
      </c>
      <c r="B37" s="117">
        <f>INDEX('All sections of NIF PDF'!$A:$A,MATCH($A37,'All sections of NIF PDF'!$D:$D,0))</f>
        <v>1033</v>
      </c>
      <c r="C37" s="117" t="str">
        <f>VLOOKUP($A37,'All sections of NIF PDF'!$D:$N,4,FALSE)</f>
        <v>dd: YES, NO</v>
      </c>
      <c r="D37" s="117" t="str">
        <f>INDEX('All sections of NIF PDF'!$B:$B,MATCH($A37,'All sections of NIF PDF'!$D:$D,0))</f>
        <v>Requestor - Project Initiation</v>
      </c>
      <c r="E37" s="117" t="str">
        <f>VLOOKUP($A37,'All sections of NIF PDF'!$D:$N,6,FALSE)</f>
        <v>Requestor</v>
      </c>
      <c r="F37" s="117" t="str">
        <f>IF(VLOOKUP($A37,Definitions!$D:$E,2,FALSE)=0, "", VLOOKUP($A37,Definitions!$D:$E,2,FALSE))</f>
        <v>Yes or No.  If Yes, the External Material Group dropdown is restricted to only AFH choices - If the new item being set up is owned by Away From Home (AFH), the External Material Group dropdown is restricted to only AFH (Away From Home) choices</v>
      </c>
      <c r="G37" s="117" t="str">
        <f>IF(VLOOKUP($A37,'All sections of NIF PDF'!$D:$N,11,FALSE)=0,"",VLOOKUP($A37,'All sections of NIF PDF'!$D:$N,11,FALSE))</f>
        <v/>
      </c>
    </row>
    <row r="38" spans="1:7" ht="28.9">
      <c r="A38" s="121" t="str">
        <f>'All sections of NIF PDF'!D38</f>
        <v>Is this an Export Product</v>
      </c>
      <c r="B38" s="117">
        <f>INDEX('All sections of NIF PDF'!$A:$A,MATCH($A38,'All sections of NIF PDF'!$D:$D,0))</f>
        <v>1034</v>
      </c>
      <c r="C38" s="117" t="str">
        <f>VLOOKUP($A38,'All sections of NIF PDF'!$D:$N,4,FALSE)</f>
        <v>dd: YES, NO</v>
      </c>
      <c r="D38" s="117" t="str">
        <f>INDEX('All sections of NIF PDF'!$B:$B,MATCH($A38,'All sections of NIF PDF'!$D:$D,0))</f>
        <v>Requestor - Project Initiation</v>
      </c>
      <c r="E38" s="117" t="str">
        <f>VLOOKUP($A38,'All sections of NIF PDF'!$D:$N,6,FALSE)</f>
        <v>Requestor</v>
      </c>
      <c r="F38" s="117" t="str">
        <f>IF(VLOOKUP($A38,Definitions!$D:$E,2,FALSE)=0, "", VLOOKUP($A38,Definitions!$D:$E,2,FALSE))</f>
        <v>Yes or No. If the item is produced in the US or CA, but sold in another country, select Yes, otherwise, select no.</v>
      </c>
      <c r="G38" s="117" t="str">
        <f>IF(VLOOKUP($A38,'All sections of NIF PDF'!$D:$N,11,FALSE)=0,"",VLOOKUP($A38,'All sections of NIF PDF'!$D:$N,11,FALSE))</f>
        <v/>
      </c>
    </row>
    <row r="39" spans="1:7" ht="28.9">
      <c r="A39" s="121" t="str">
        <f>'All sections of NIF PDF'!D39</f>
        <v>Build SKU Using Existing Export UPCs</v>
      </c>
      <c r="B39" s="117">
        <f>INDEX('All sections of NIF PDF'!$A:$A,MATCH($A39,'All sections of NIF PDF'!$D:$D,0))</f>
        <v>1035</v>
      </c>
      <c r="C39" s="117" t="str">
        <f>VLOOKUP($A39,'All sections of NIF PDF'!$D:$N,4,FALSE)</f>
        <v>dd: YES, NO</v>
      </c>
      <c r="D39" s="117" t="str">
        <f>INDEX('All sections of NIF PDF'!$B:$B,MATCH($A39,'All sections of NIF PDF'!$D:$D,0))</f>
        <v>Requestor - Project Initiation</v>
      </c>
      <c r="E39" s="117" t="str">
        <f>VLOOKUP($A39,'All sections of NIF PDF'!$D:$N,6,FALSE)</f>
        <v>Requestor</v>
      </c>
      <c r="F39" s="117" t="str">
        <f>IF(VLOOKUP($A39,Definitions!$D:$E,2,FALSE)=0, "", VLOOKUP($A39,Definitions!$D:$E,2,FALSE))</f>
        <v>If you answer "Is this an Export product?" as yes, this field will open up for population. If the new item you are creating uses existing Export UPC's, select yes. If it will need newly assigned UPC's, select no</v>
      </c>
      <c r="G39" s="117" t="str">
        <f>IF(VLOOKUP($A39,'All sections of NIF PDF'!$D:$N,11,FALSE)=0,"",VLOOKUP($A39,'All sections of NIF PDF'!$D:$N,11,FALSE))</f>
        <v/>
      </c>
    </row>
    <row r="40" spans="1:7" ht="28.9">
      <c r="A40" s="121" t="str">
        <f>'All sections of NIF PDF'!D40</f>
        <v>List Existing Export UPC Codes</v>
      </c>
      <c r="B40" s="117">
        <f>INDEX('All sections of NIF PDF'!$A:$A,MATCH($A40,'All sections of NIF PDF'!$D:$D,0))</f>
        <v>1036</v>
      </c>
      <c r="C40" s="117" t="str">
        <f>VLOOKUP($A40,'All sections of NIF PDF'!$D:$N,4,FALSE)</f>
        <v>free form</v>
      </c>
      <c r="D40" s="117" t="str">
        <f>INDEX('All sections of NIF PDF'!$B:$B,MATCH($A40,'All sections of NIF PDF'!$D:$D,0))</f>
        <v>Requestor - Project Initiation</v>
      </c>
      <c r="E40" s="117" t="str">
        <f>VLOOKUP($A40,'All sections of NIF PDF'!$D:$N,6,FALSE)</f>
        <v>Requestor</v>
      </c>
      <c r="F40" s="117" t="str">
        <f>IF(VLOOKUP($A40,Definitions!$D:$E,2,FALSE)=0, "", VLOOKUP($A40,Definitions!$D:$E,2,FALSE))</f>
        <v>If you answer "Build SKU Using Existing Export UPC’s?" as yes, this field will open up for population. Provide the existing export UPC's that will be used for this new item</v>
      </c>
      <c r="G40" s="117" t="str">
        <f>IF(VLOOKUP($A40,'All sections of NIF PDF'!$D:$N,11,FALSE)=0,"",VLOOKUP($A40,'All sections of NIF PDF'!$D:$N,11,FALSE))</f>
        <v/>
      </c>
    </row>
    <row r="41" spans="1:7">
      <c r="A41" s="121" t="str">
        <f>'All sections of NIF PDF'!D41</f>
        <v>Private Label</v>
      </c>
      <c r="B41" s="117">
        <f>INDEX('All sections of NIF PDF'!$A:$A,MATCH($A41,'All sections of NIF PDF'!$D:$D,0))</f>
        <v>1037</v>
      </c>
      <c r="C41" s="117" t="str">
        <f>VLOOKUP($A41,'All sections of NIF PDF'!$D:$N,4,FALSE)</f>
        <v>dd: YES, NO</v>
      </c>
      <c r="D41" s="117" t="str">
        <f>INDEX('All sections of NIF PDF'!$B:$B,MATCH($A41,'All sections of NIF PDF'!$D:$D,0))</f>
        <v>Requestor - Project Initiation</v>
      </c>
      <c r="E41" s="117" t="str">
        <f>VLOOKUP($A41,'All sections of NIF PDF'!$D:$N,6,FALSE)</f>
        <v>Requestor</v>
      </c>
      <c r="F41" s="117" t="str">
        <f>IF(VLOOKUP($A41,Definitions!$D:$E,2,FALSE)=0, "", VLOOKUP($A41,Definitions!$D:$E,2,FALSE))</f>
        <v>Will the new item be produced under a Private Label? Ex. Sysco - Select from drop down</v>
      </c>
      <c r="G41" s="117" t="str">
        <f>IF(VLOOKUP($A41,'All sections of NIF PDF'!$D:$N,11,FALSE)=0,"",VLOOKUP($A41,'All sections of NIF PDF'!$D:$N,11,FALSE))</f>
        <v/>
      </c>
    </row>
    <row r="42" spans="1:7" ht="28.9">
      <c r="A42" s="121" t="str">
        <f>'All sections of NIF PDF'!D42</f>
        <v>Private Label Name</v>
      </c>
      <c r="B42" s="117">
        <f>INDEX('All sections of NIF PDF'!$A:$A,MATCH($A42,'All sections of NIF PDF'!$D:$D,0))</f>
        <v>1038</v>
      </c>
      <c r="C42" s="117" t="str">
        <f>VLOOKUP($A42,'All sections of NIF PDF'!$D:$N,4,FALSE)</f>
        <v>dd: reference list: PRL: Private Label Customers</v>
      </c>
      <c r="D42" s="117" t="str">
        <f>INDEX('All sections of NIF PDF'!$B:$B,MATCH($A42,'All sections of NIF PDF'!$D:$D,0))</f>
        <v>Requestor - Project Initiation</v>
      </c>
      <c r="E42" s="117" t="str">
        <f>VLOOKUP($A42,'All sections of NIF PDF'!$D:$N,6,FALSE)</f>
        <v>Requestor</v>
      </c>
      <c r="F42" s="117" t="str">
        <f>IF(VLOOKUP($A42,Definitions!$D:$E,2,FALSE)=0, "", VLOOKUP($A42,Definitions!$D:$E,2,FALSE))</f>
        <v>If you answer "Private Label?" as Yes, this field will open up for population. Select the name of the Private Label Customer from the drop down</v>
      </c>
      <c r="G42" s="117" t="str">
        <f>IF(VLOOKUP($A42,'All sections of NIF PDF'!$D:$N,11,FALSE)=0,"",VLOOKUP($A42,'All sections of NIF PDF'!$D:$N,11,FALSE))</f>
        <v/>
      </c>
    </row>
    <row r="43" spans="1:7" ht="28.9">
      <c r="A43" s="121" t="str">
        <f>'All sections of NIF PDF'!D43</f>
        <v>Build SKU Using Existing Private UPCs</v>
      </c>
      <c r="B43" s="117">
        <f>INDEX('All sections of NIF PDF'!$A:$A,MATCH($A43,'All sections of NIF PDF'!$D:$D,0))</f>
        <v>1039</v>
      </c>
      <c r="C43" s="117" t="str">
        <f>VLOOKUP($A43,'All sections of NIF PDF'!$D:$N,4,FALSE)</f>
        <v>dd: YES, NO</v>
      </c>
      <c r="D43" s="117" t="str">
        <f>INDEX('All sections of NIF PDF'!$B:$B,MATCH($A43,'All sections of NIF PDF'!$D:$D,0))</f>
        <v>Requestor - Project Initiation</v>
      </c>
      <c r="E43" s="117" t="str">
        <f>VLOOKUP($A43,'All sections of NIF PDF'!$D:$N,6,FALSE)</f>
        <v>Requestor</v>
      </c>
      <c r="F43" s="117" t="str">
        <f>IF(VLOOKUP($A43,Definitions!$D:$E,2,FALSE)=0, "", VLOOKUP($A43,Definitions!$D:$E,2,FALSE))</f>
        <v>If you answer "Private Label?" as Yes, this field will open up for population. Select Yes if this item will use existing Private Label UPC's. If not, select No</v>
      </c>
      <c r="G43" s="117" t="str">
        <f>IF(VLOOKUP($A43,'All sections of NIF PDF'!$D:$N,11,FALSE)=0,"",VLOOKUP($A43,'All sections of NIF PDF'!$D:$N,11,FALSE))</f>
        <v/>
      </c>
    </row>
    <row r="44" spans="1:7" ht="43.15">
      <c r="A44" s="121" t="str">
        <f>'All sections of NIF PDF'!D44</f>
        <v>List Existing Private UPCs</v>
      </c>
      <c r="B44" s="117">
        <f>INDEX('All sections of NIF PDF'!$A:$A,MATCH($A44,'All sections of NIF PDF'!$D:$D,0))</f>
        <v>1040</v>
      </c>
      <c r="C44" s="117" t="str">
        <f>VLOOKUP($A44,'All sections of NIF PDF'!$D:$N,4,FALSE)</f>
        <v>free form</v>
      </c>
      <c r="D44" s="117" t="str">
        <f>INDEX('All sections of NIF PDF'!$B:$B,MATCH($A44,'All sections of NIF PDF'!$D:$D,0))</f>
        <v>Requestor - Project Initiation</v>
      </c>
      <c r="E44" s="117" t="str">
        <f>VLOOKUP($A44,'All sections of NIF PDF'!$D:$N,6,FALSE)</f>
        <v>Requestor</v>
      </c>
      <c r="F44" s="117" t="str">
        <f>IF(VLOOKUP($A44,Definitions!$D:$E,2,FALSE)=0, "", VLOOKUP($A44,Definitions!$D:$E,2,FALSE))</f>
        <v>If you answer "Build SKU Using Existing Private Label UPC’s?" with a Yes, this field will open up for population. You will need to provide the existing Private Label UPC's that will be used for this new item</v>
      </c>
      <c r="G44" s="117" t="str">
        <f>IF(VLOOKUP($A44,'All sections of NIF PDF'!$D:$N,11,FALSE)=0,"",VLOOKUP($A44,'All sections of NIF PDF'!$D:$N,11,FALSE))</f>
        <v/>
      </c>
    </row>
    <row r="45" spans="1:7" ht="28.9">
      <c r="A45" s="121" t="str">
        <f>'All sections of NIF PDF'!D45</f>
        <v>Data Sync(GDSN)</v>
      </c>
      <c r="B45" s="117">
        <f>INDEX('All sections of NIF PDF'!$A:$A,MATCH($A45,'All sections of NIF PDF'!$D:$D,0))</f>
        <v>1041</v>
      </c>
      <c r="C45" s="117" t="str">
        <f>VLOOKUP($A45,'All sections of NIF PDF'!$D:$N,4,FALSE)</f>
        <v>dd: YES, NO</v>
      </c>
      <c r="D45" s="117" t="str">
        <f>INDEX('All sections of NIF PDF'!$B:$B,MATCH($A45,'All sections of NIF PDF'!$D:$D,0))</f>
        <v>Requestor - Project Initiation</v>
      </c>
      <c r="E45" s="117" t="str">
        <f>VLOOKUP($A45,'All sections of NIF PDF'!$D:$N,6,FALSE)</f>
        <v>Requestor</v>
      </c>
      <c r="F45" s="117" t="str">
        <f>IF(VLOOKUP($A45,Definitions!$D:$E,2,FALSE)=0, "", VLOOKUP($A45,Definitions!$D:$E,2,FALSE))</f>
        <v>Should stay as yes unless there are special circumstances as to why you would not want the item to go out to Customers via Data Sync</v>
      </c>
      <c r="G45" s="117" t="str">
        <f>IF(VLOOKUP($A45,'All sections of NIF PDF'!$D:$N,11,FALSE)=0,"",VLOOKUP($A45,'All sections of NIF PDF'!$D:$N,11,FALSE))</f>
        <v/>
      </c>
    </row>
    <row r="46" spans="1:7" ht="28.9">
      <c r="A46" s="121" t="str">
        <f>'All sections of NIF PDF'!D46</f>
        <v>Is this Non Sellable FERT WIP</v>
      </c>
      <c r="B46" s="117">
        <f>INDEX('All sections of NIF PDF'!$A:$A,MATCH($A46,'All sections of NIF PDF'!$D:$D,0))</f>
        <v>1304</v>
      </c>
      <c r="C46" s="117" t="str">
        <f>VLOOKUP($A46,'All sections of NIF PDF'!$D:$N,4,FALSE)</f>
        <v>dd: YES, NO</v>
      </c>
      <c r="D46" s="117" t="str">
        <f>INDEX('All sections of NIF PDF'!$B:$B,MATCH($A46,'All sections of NIF PDF'!$D:$D,0))</f>
        <v>Requestor - Project Initiation</v>
      </c>
      <c r="E46" s="117" t="str">
        <f>VLOOKUP($A46,'All sections of NIF PDF'!$D:$N,6,FALSE)</f>
        <v>Requestor</v>
      </c>
      <c r="F46" s="117" t="str">
        <f>IF(VLOOKUP($A46,Definitions!$D:$E,2,FALSE)=0, "", VLOOKUP($A46,Definitions!$D:$E,2,FALSE))</f>
        <v xml:space="preserve">A Non Sellable FERT WIP is an item that needs to be setup in SAP as a Finished Good (FERT) Material Type as opposed to a Semi-Finished Good or (HALB) </v>
      </c>
      <c r="G46" s="117" t="str">
        <f>IF(VLOOKUP($A46,'All sections of NIF PDF'!$D:$N,11,FALSE)=0,"",VLOOKUP($A46,'All sections of NIF PDF'!$D:$N,11,FALSE))</f>
        <v/>
      </c>
    </row>
    <row r="47" spans="1:7" ht="28.9">
      <c r="A47" s="121" t="str">
        <f>'All sections of NIF PDF'!D47</f>
        <v>Material Prefix Description</v>
      </c>
      <c r="B47" s="117">
        <f>INDEX('All sections of NIF PDF'!$A:$A,MATCH($A47,'All sections of NIF PDF'!$D:$D,0))</f>
        <v>1042</v>
      </c>
      <c r="C47" s="117" t="str">
        <f>VLOOKUP($A47,'All sections of NIF PDF'!$D:$N,4,FALSE)</f>
        <v>dd: reference list: MATERIAL_PREFIX.XLSX</v>
      </c>
      <c r="D47" s="117" t="str">
        <f>INDEX('All sections of NIF PDF'!$B:$B,MATCH($A47,'All sections of NIF PDF'!$D:$D,0))</f>
        <v>Requestor - Project Initiation</v>
      </c>
      <c r="E47" s="117" t="str">
        <f>VLOOKUP($A47,'All sections of NIF PDF'!$D:$N,6,FALSE)</f>
        <v>Requestor</v>
      </c>
      <c r="F47" s="117" t="str">
        <f>IF(VLOOKUP($A47,Definitions!$D:$E,2,FALSE)=0, "", VLOOKUP($A47,Definitions!$D:$E,2,FALSE))</f>
        <v>Select the appropriate Material Prefix, taking into consideration whether or not existing codes are being used (Private Label or Export) - Manufacturer ID used to determine UPCs.</v>
      </c>
      <c r="G47" s="117" t="str">
        <f>IF(VLOOKUP($A47,'All sections of NIF PDF'!$D:$N,11,FALSE)=0,"",VLOOKUP($A47,'All sections of NIF PDF'!$D:$N,11,FALSE))</f>
        <v/>
      </c>
    </row>
    <row r="48" spans="1:7" ht="28.9">
      <c r="A48" s="121" t="str">
        <f>'All sections of NIF PDF'!D48</f>
        <v>Is a Compressed UPC Required for the Components</v>
      </c>
      <c r="B48" s="117">
        <f>INDEX('All sections of NIF PDF'!$A:$A,MATCH($A48,'All sections of NIF PDF'!$D:$D,0))</f>
        <v>1043</v>
      </c>
      <c r="C48" s="117" t="str">
        <f>VLOOKUP($A48,'All sections of NIF PDF'!$D:$N,4,FALSE)</f>
        <v>dd: NO, POUCH, PACKAGE, BOTH</v>
      </c>
      <c r="D48" s="117" t="str">
        <f>INDEX('All sections of NIF PDF'!$B:$B,MATCH($A48,'All sections of NIF PDF'!$D:$D,0))</f>
        <v>Requestor - Project Initiation</v>
      </c>
      <c r="E48" s="117" t="str">
        <f>VLOOKUP($A48,'All sections of NIF PDF'!$D:$N,6,FALSE)</f>
        <v>Requestor</v>
      </c>
      <c r="F48" s="117" t="str">
        <f>IF(VLOOKUP($A48,Definitions!$D:$E,2,FALSE)=0, "", VLOOKUP($A48,Definitions!$D:$E,2,FALSE))</f>
        <v>This is only needed when there are space constraints on the packaging. This will drive the way the UPC is assigned, and is also needed for Data Synchronization</v>
      </c>
      <c r="G48" s="117" t="str">
        <f>IF(VLOOKUP($A48,'All sections of NIF PDF'!$D:$N,11,FALSE)=0,"",VLOOKUP($A48,'All sections of NIF PDF'!$D:$N,11,FALSE))</f>
        <v/>
      </c>
    </row>
    <row r="49" spans="1:7" ht="28.9">
      <c r="A49" s="121" t="str">
        <f>'All sections of NIF PDF'!D49</f>
        <v>Package UPC Code</v>
      </c>
      <c r="B49" s="117">
        <f>INDEX('All sections of NIF PDF'!$A:$A,MATCH($A49,'All sections of NIF PDF'!$D:$D,0))</f>
        <v>1044</v>
      </c>
      <c r="C49" s="117" t="str">
        <f>VLOOKUP($A49,'All sections of NIF PDF'!$D:$N,4,FALSE)</f>
        <v>free form</v>
      </c>
      <c r="D49" s="117" t="str">
        <f>INDEX('All sections of NIF PDF'!$B:$B,MATCH($A49,'All sections of NIF PDF'!$D:$D,0))</f>
        <v>Requestor - Project Initiation</v>
      </c>
      <c r="E49" s="117" t="str">
        <f>VLOOKUP($A49,'All sections of NIF PDF'!$D:$N,6,FALSE)</f>
        <v>Requestor</v>
      </c>
      <c r="F49" s="117" t="str">
        <f>IF(VLOOKUP($A49,Definitions!$D:$E,2,FALSE)=0, "", VLOOKUP($A49,Definitions!$D:$E,2,FALSE))</f>
        <v xml:space="preserve">This field will open up for Repack/RCP Setup Types only.  It should be populated with the existing Package UPC from the parent or base material.  </v>
      </c>
      <c r="G49" s="117" t="str">
        <f>IF(VLOOKUP($A49,'All sections of NIF PDF'!$D:$N,11,FALSE)=0,"",VLOOKUP($A49,'All sections of NIF PDF'!$D:$N,11,FALSE))</f>
        <v/>
      </c>
    </row>
    <row r="50" spans="1:7" ht="28.9">
      <c r="A50" s="121" t="str">
        <f>'All sections of NIF PDF'!D50</f>
        <v>Package K Number</v>
      </c>
      <c r="B50" s="117">
        <f>INDEX('All sections of NIF PDF'!$A:$A,MATCH($A50,'All sections of NIF PDF'!$D:$D,0))</f>
        <v>1045</v>
      </c>
      <c r="C50" s="117" t="str">
        <f>VLOOKUP($A50,'All sections of NIF PDF'!$D:$N,4,FALSE)</f>
        <v>free form</v>
      </c>
      <c r="D50" s="117" t="str">
        <f>INDEX('All sections of NIF PDF'!$B:$B,MATCH($A50,'All sections of NIF PDF'!$D:$D,0))</f>
        <v>Requestor - Project Initiation</v>
      </c>
      <c r="E50" s="117" t="str">
        <f>VLOOKUP($A50,'All sections of NIF PDF'!$D:$N,6,FALSE)</f>
        <v>Requestor</v>
      </c>
      <c r="F50" s="117" t="str">
        <f>IF(VLOOKUP($A50,Definitions!$D:$E,2,FALSE)=0, "", VLOOKUP($A50,Definitions!$D:$E,2,FALSE))</f>
        <v xml:space="preserve">This field will open up for Repack/RCP Setup Types only.  It should be populated with the existing Package K Number from the parent or base material.  </v>
      </c>
      <c r="G50" s="117" t="str">
        <f>IF(VLOOKUP($A50,'All sections of NIF PDF'!$D:$N,11,FALSE)=0,"",VLOOKUP($A50,'All sections of NIF PDF'!$D:$N,11,FALSE))</f>
        <v/>
      </c>
    </row>
    <row r="51" spans="1:7" ht="43.15">
      <c r="A51" s="121" t="str">
        <f>'All sections of NIF PDF'!D51</f>
        <v>Pouch UPC Code</v>
      </c>
      <c r="B51" s="117">
        <f>INDEX('All sections of NIF PDF'!$A:$A,MATCH($A51,'All sections of NIF PDF'!$D:$D,0))</f>
        <v>1046</v>
      </c>
      <c r="C51" s="117" t="str">
        <f>VLOOKUP($A51,'All sections of NIF PDF'!$D:$N,4,FALSE)</f>
        <v>free form</v>
      </c>
      <c r="D51" s="117" t="str">
        <f>INDEX('All sections of NIF PDF'!$B:$B,MATCH($A51,'All sections of NIF PDF'!$D:$D,0))</f>
        <v>Requestor - Project Initiation</v>
      </c>
      <c r="E51" s="117" t="str">
        <f>VLOOKUP($A51,'All sections of NIF PDF'!$D:$N,6,FALSE)</f>
        <v>Requestor</v>
      </c>
      <c r="F51" s="117" t="str">
        <f>IF(VLOOKUP($A51,Definitions!$D:$E,2,FALSE)=0, "", VLOOKUP($A51,Definitions!$D:$E,2,FALSE))</f>
        <v>This field will open up for any setup type that has a pouch level in addition to the package level.  If the setup type is Repack/RCP, then you would use the existing Pouch UPC from the parent or base material.  Otherwise, you can use an existing Pouch UPC with a new Package UPC.</v>
      </c>
      <c r="G51" s="117" t="str">
        <f>IF(VLOOKUP($A51,'All sections of NIF PDF'!$D:$N,11,FALSE)=0,"",VLOOKUP($A51,'All sections of NIF PDF'!$D:$N,11,FALSE))</f>
        <v/>
      </c>
    </row>
    <row r="52" spans="1:7" ht="43.15">
      <c r="A52" s="121" t="str">
        <f>'All sections of NIF PDF'!D52</f>
        <v>Pouch K Number</v>
      </c>
      <c r="B52" s="117">
        <f>INDEX('All sections of NIF PDF'!$A:$A,MATCH($A52,'All sections of NIF PDF'!$D:$D,0))</f>
        <v>1047</v>
      </c>
      <c r="C52" s="117" t="str">
        <f>VLOOKUP($A52,'All sections of NIF PDF'!$D:$N,4,FALSE)</f>
        <v>free form</v>
      </c>
      <c r="D52" s="117" t="str">
        <f>INDEX('All sections of NIF PDF'!$B:$B,MATCH($A52,'All sections of NIF PDF'!$D:$D,0))</f>
        <v>Requestor - Project Initiation</v>
      </c>
      <c r="E52" s="117" t="str">
        <f>VLOOKUP($A52,'All sections of NIF PDF'!$D:$N,6,FALSE)</f>
        <v>Requestor</v>
      </c>
      <c r="F52" s="117" t="str">
        <f>IF(VLOOKUP($A52,Definitions!$D:$E,2,FALSE)=0, "", VLOOKUP($A52,Definitions!$D:$E,2,FALSE))</f>
        <v>This field will open up for any setup type that has a pouch level in addition to the package level.  If the setup type is Repack/RCP, then you would use the existing Pouch K Number from the parent or base material.  Otherwise, you can use an existing Pouch K Number with a new Package UPC.</v>
      </c>
      <c r="G52" s="117" t="str">
        <f>IF(VLOOKUP($A52,'All sections of NIF PDF'!$D:$N,11,FALSE)=0,"",VLOOKUP($A52,'All sections of NIF PDF'!$D:$N,11,FALSE))</f>
        <v/>
      </c>
    </row>
    <row r="53" spans="1:7" ht="28.9">
      <c r="A53" s="121" t="str">
        <f>'All sections of NIF PDF'!D53</f>
        <v>List UPC Codes If Already Assigned</v>
      </c>
      <c r="B53" s="117">
        <f>INDEX('All sections of NIF PDF'!$A:$A,MATCH($A53,'All sections of NIF PDF'!$D:$D,0))</f>
        <v>1048</v>
      </c>
      <c r="C53" s="117" t="str">
        <f>VLOOKUP($A53,'All sections of NIF PDF'!$D:$N,4,FALSE)</f>
        <v>free form</v>
      </c>
      <c r="D53" s="117" t="str">
        <f>INDEX('All sections of NIF PDF'!$B:$B,MATCH($A53,'All sections of NIF PDF'!$D:$D,0))</f>
        <v>Requestor - Project Initiation</v>
      </c>
      <c r="E53" s="117" t="str">
        <f>VLOOKUP($A53,'All sections of NIF PDF'!$D:$N,6,FALSE)</f>
        <v>Requestor</v>
      </c>
      <c r="F53" s="117" t="str">
        <f>IF(VLOOKUP($A53,Definitions!$D:$E,2,FALSE)=0, "", VLOOKUP($A53,Definitions!$D:$E,2,FALSE))</f>
        <v xml:space="preserve">This field will open up for Repack/RCP Setup Types only. </v>
      </c>
      <c r="G53" s="117" t="str">
        <f>IF(VLOOKUP($A53,'All sections of NIF PDF'!$D:$N,11,FALSE)=0,"",VLOOKUP($A53,'All sections of NIF PDF'!$D:$N,11,FALSE))</f>
        <v/>
      </c>
    </row>
    <row r="54" spans="1:7" ht="57.6">
      <c r="A54" s="121" t="str">
        <f>'All sections of NIF PDF'!D54</f>
        <v>Compressed UPC Existing</v>
      </c>
      <c r="B54" s="117">
        <f>INDEX('All sections of NIF PDF'!$A:$A,MATCH($A54,'All sections of NIF PDF'!$D:$D,0))</f>
        <v>1049</v>
      </c>
      <c r="C54" s="117" t="str">
        <f>VLOOKUP($A54,'All sections of NIF PDF'!$D:$N,4,FALSE)</f>
        <v>dd: NO, POUCH, PACKAGE, BOTH</v>
      </c>
      <c r="D54" s="117" t="str">
        <f>INDEX('All sections of NIF PDF'!$B:$B,MATCH($A54,'All sections of NIF PDF'!$D:$D,0))</f>
        <v>Requestor - Project Initiation</v>
      </c>
      <c r="E54" s="117" t="str">
        <f>VLOOKUP($A54,'All sections of NIF PDF'!$D:$N,6,FALSE)</f>
        <v>Requestor</v>
      </c>
      <c r="F54" s="117" t="str">
        <f>IF(VLOOKUP($A54,Definitions!$D:$E,2,FALSE)=0, "", VLOOKUP($A54,Definitions!$D:$E,2,FALSE))</f>
        <v>This will drive the way the UPC is assigned. Indicate if the existing Pouch or Package (or both) codes are compressed. Only used when there are space constraints on the packaging (e.g., small packages or pouches) / drives specific fields in the classification tab; Package Bar Code Type &amp; Pouch Bar Code Type fields</v>
      </c>
      <c r="G54" s="117" t="str">
        <f>IF(VLOOKUP($A54,'All sections of NIF PDF'!$D:$N,11,FALSE)=0,"",VLOOKUP($A54,'All sections of NIF PDF'!$D:$N,11,FALSE))</f>
        <v/>
      </c>
    </row>
    <row r="55" spans="1:7" ht="43.15">
      <c r="A55" s="121" t="str">
        <f>'All sections of NIF PDF'!D55</f>
        <v>Sale Samples may be needed</v>
      </c>
      <c r="B55" s="117">
        <f>INDEX('All sections of NIF PDF'!$A:$A,MATCH($A55,'All sections of NIF PDF'!$D:$D,0))</f>
        <v>1050</v>
      </c>
      <c r="C55" s="117" t="str">
        <f>VLOOKUP($A55,'All sections of NIF PDF'!$D:$N,4,FALSE)</f>
        <v>dd: YES, NO</v>
      </c>
      <c r="D55" s="117" t="str">
        <f>INDEX('All sections of NIF PDF'!$B:$B,MATCH($A55,'All sections of NIF PDF'!$D:$D,0))</f>
        <v>Requestor - Project Initiation</v>
      </c>
      <c r="E55" s="117" t="str">
        <f>VLOOKUP($A55,'All sections of NIF PDF'!$D:$N,6,FALSE)</f>
        <v>Requestor</v>
      </c>
      <c r="F55" s="117" t="str">
        <f>IF(VLOOKUP($A55,Definitions!$D:$E,2,FALSE)=0, "", VLOOKUP($A55,Definitions!$D:$E,2,FALSE))</f>
        <v>If Sales Samples are needed, this will pre-populate the additional packaging for launch field with Sales Sample Package K number 999 variant (KXXXXXX999) this will ensure that Data Operations will assign the Sales Sample K Number.</v>
      </c>
      <c r="G55" s="117" t="str">
        <f>IF(VLOOKUP($A55,'All sections of NIF PDF'!$D:$N,11,FALSE)=0,"",VLOOKUP($A55,'All sections of NIF PDF'!$D:$N,11,FALSE))</f>
        <v/>
      </c>
    </row>
    <row r="56" spans="1:7" ht="28.9">
      <c r="A56" s="121" t="str">
        <f>'All sections of NIF PDF'!D56</f>
        <v>Unique UPC</v>
      </c>
      <c r="B56" s="117">
        <f>INDEX('All sections of NIF PDF'!$A:$A,MATCH($A56,'All sections of NIF PDF'!$D:$D,0))</f>
        <v>1051</v>
      </c>
      <c r="C56" s="117" t="str">
        <f>VLOOKUP($A56,'All sections of NIF PDF'!$D:$N,4,FALSE)</f>
        <v>autofill</v>
      </c>
      <c r="D56" s="117" t="str">
        <f>INDEX('All sections of NIF PDF'!$B:$B,MATCH($A56,'All sections of NIF PDF'!$D:$D,0))</f>
        <v>Requestor - Project Initiation</v>
      </c>
      <c r="E56" s="117" t="str">
        <f>VLOOKUP($A56,'All sections of NIF PDF'!$D:$N,6,FALSE)</f>
        <v>Requestor</v>
      </c>
      <c r="F56" s="117" t="str">
        <f>IF(VLOOKUP($A56,Definitions!$D:$E,2,FALSE)=0, "", VLOOKUP($A56,Definitions!$D:$E,2,FALSE))</f>
        <v>The Product Setup Type that is chosen will determine the UPC requirements for each level. The UPC Table displays these for review</v>
      </c>
      <c r="G56" s="117" t="str">
        <f>IF(VLOOKUP($A56,'All sections of NIF PDF'!$D:$N,11,FALSE)=0,"",VLOOKUP($A56,'All sections of NIF PDF'!$D:$N,11,FALSE))</f>
        <v/>
      </c>
    </row>
    <row r="57" spans="1:7" ht="28.9">
      <c r="A57" s="121" t="str">
        <f>'All sections of NIF PDF'!D57</f>
        <v>List Any Existing Knumbers That Will Be Used</v>
      </c>
      <c r="B57" s="117">
        <f>INDEX('All sections of NIF PDF'!$A:$A,MATCH($A57,'All sections of NIF PDF'!$D:$D,0))</f>
        <v>1052</v>
      </c>
      <c r="C57" s="117" t="str">
        <f>VLOOKUP($A57,'All sections of NIF PDF'!$D:$N,4,FALSE)</f>
        <v>free form</v>
      </c>
      <c r="D57" s="117" t="str">
        <f>INDEX('All sections of NIF PDF'!$B:$B,MATCH($A57,'All sections of NIF PDF'!$D:$D,0))</f>
        <v>Requestor - Project Initiation</v>
      </c>
      <c r="E57" s="117" t="str">
        <f>VLOOKUP($A57,'All sections of NIF PDF'!$D:$N,6,FALSE)</f>
        <v>Requestor</v>
      </c>
      <c r="F57" s="117" t="str">
        <f>IF(VLOOKUP($A57,Definitions!$D:$E,2,FALSE)=0, "", VLOOKUP($A57,Definitions!$D:$E,2,FALSE))</f>
        <v>Enter any existing Knumbers that will be used</v>
      </c>
      <c r="G57" s="117" t="str">
        <f>IF(VLOOKUP($A57,'All sections of NIF PDF'!$D:$N,11,FALSE)=0,"",VLOOKUP($A57,'All sections of NIF PDF'!$D:$N,11,FALSE))</f>
        <v/>
      </c>
    </row>
    <row r="58" spans="1:7" ht="43.15">
      <c r="A58" s="121" t="str">
        <f>'All sections of NIF PDF'!D58</f>
        <v>Additional Packaging for Launch</v>
      </c>
      <c r="B58" s="117">
        <f>INDEX('All sections of NIF PDF'!$A:$A,MATCH($A58,'All sections of NIF PDF'!$D:$D,0))</f>
        <v>1053</v>
      </c>
      <c r="C58" s="117" t="str">
        <f>VLOOKUP($A58,'All sections of NIF PDF'!$D:$N,4,FALSE)</f>
        <v>dd: reference list: ADDITIONAL_PACKAGING_LAUNCH.XLSX</v>
      </c>
      <c r="D58" s="117" t="str">
        <f>INDEX('All sections of NIF PDF'!$B:$B,MATCH($A58,'All sections of NIF PDF'!$D:$D,0))</f>
        <v>Requestor - Project Initiation</v>
      </c>
      <c r="E58" s="117" t="str">
        <f>VLOOKUP($A58,'All sections of NIF PDF'!$D:$N,6,FALSE)</f>
        <v>Requestor</v>
      </c>
      <c r="F58" s="117" t="str">
        <f>IF(VLOOKUP($A58,Definitions!$D:$E,2,FALSE)=0, "", VLOOKUP($A58,Definitions!$D:$E,2,FALSE))</f>
        <v>Make a selection if your project has special packaging requirements, and Masterfiles will assign an additional Knumber for it. Can add as many lines as needed, using the "+ Add new item" field on the right</v>
      </c>
      <c r="G58" s="117" t="str">
        <f>IF(VLOOKUP($A58,'All sections of NIF PDF'!$D:$N,11,FALSE)=0,"",VLOOKUP($A58,'All sections of NIF PDF'!$D:$N,11,FALSE))</f>
        <v/>
      </c>
    </row>
    <row r="59" spans="1:7" ht="28.9">
      <c r="A59" s="121" t="str">
        <f>'All sections of NIF PDF'!D59</f>
        <v>Priority</v>
      </c>
      <c r="B59" s="117">
        <f>INDEX('All sections of NIF PDF'!$A:$A,MATCH($A59,'All sections of NIF PDF'!$D:$D,0))</f>
        <v>1054</v>
      </c>
      <c r="C59" s="117" t="str">
        <f>VLOOKUP($A59,'All sections of NIF PDF'!$D:$N,4,FALSE)</f>
        <v>radio button: NORMAL, CBP, URGENT</v>
      </c>
      <c r="D59" s="117" t="str">
        <f>INDEX('All sections of NIF PDF'!$B:$B,MATCH($A59,'All sections of NIF PDF'!$D:$D,0))</f>
        <v>LIM - Initial Review</v>
      </c>
      <c r="E59" s="117" t="str">
        <f>VLOOKUP($A59,'All sections of NIF PDF'!$D:$N,6,FALSE)</f>
        <v>LIM</v>
      </c>
      <c r="F59" s="117" t="str">
        <f>IF(VLOOKUP($A59,Definitions!$D:$E,2,FALSE)=0, "", VLOOKUP($A59,Definitions!$D:$E,2,FALSE))</f>
        <v>Normal, CBP or Urgent - this helps others understand the level of urgency associated with the item so they can prioritize accordingly</v>
      </c>
      <c r="G59" s="117" t="str">
        <f>IF(VLOOKUP($A59,'All sections of NIF PDF'!$D:$N,11,FALSE)=0,"",VLOOKUP($A59,'All sections of NIF PDF'!$D:$N,11,FALSE))</f>
        <v/>
      </c>
    </row>
    <row r="60" spans="1:7" ht="43.15">
      <c r="A60" s="121" t="str">
        <f>'All sections of NIF PDF'!D60</f>
        <v>Select Packaging Tech Assignment</v>
      </c>
      <c r="B60" s="117">
        <f>INDEX('All sections of NIF PDF'!$A:$A,MATCH($A60,'All sections of NIF PDF'!$D:$D,0))</f>
        <v>1055</v>
      </c>
      <c r="C60" s="117" t="str">
        <f>VLOOKUP($A60,'All sections of NIF PDF'!$D:$N,4,FALSE)</f>
        <v>radio button: BPS, Menasha/12 Associates, Canada VAS</v>
      </c>
      <c r="D60" s="117" t="str">
        <f>INDEX('All sections of NIF PDF'!$B:$B,MATCH($A60,'All sections of NIF PDF'!$D:$D,0))</f>
        <v>LIM - Initial Review</v>
      </c>
      <c r="E60" s="117" t="str">
        <f>VLOOKUP($A60,'All sections of NIF PDF'!$D:$N,6,FALSE)</f>
        <v>LIM</v>
      </c>
      <c r="F60" s="117" t="str">
        <f>IF(VLOOKUP($A60,Definitions!$D:$E,2,FALSE)=0, "", VLOOKUP($A60,Definitions!$D:$E,2,FALSE))</f>
        <v>BPS, Menasha/12 Associates (US VAS) or Canada VAS</v>
      </c>
      <c r="G60" s="117" t="str">
        <f>IF(VLOOKUP($A60,'All sections of NIF PDF'!$D:$N,11,FALSE)=0,"",VLOOKUP($A60,'All sections of NIF PDF'!$D:$N,11,FALSE))</f>
        <v/>
      </c>
    </row>
    <row r="61" spans="1:7">
      <c r="A61" s="121" t="str">
        <f>'All sections of NIF PDF'!D61</f>
        <v>Masterfiles</v>
      </c>
      <c r="B61" s="117">
        <f>INDEX('All sections of NIF PDF'!$A:$A,MATCH($A61,'All sections of NIF PDF'!$D:$D,0))</f>
        <v>1056</v>
      </c>
      <c r="C61" s="117" t="str">
        <f>VLOOKUP($A61,'All sections of NIF PDF'!$D:$N,4,FALSE)</f>
        <v>dd: user roles</v>
      </c>
      <c r="D61" s="117" t="str">
        <f>INDEX('All sections of NIF PDF'!$B:$B,MATCH($A61,'All sections of NIF PDF'!$D:$D,0))</f>
        <v>LIM - Initial Review</v>
      </c>
      <c r="E61" s="117" t="str">
        <f>VLOOKUP($A61,'All sections of NIF PDF'!$D:$N,6,FALSE)</f>
        <v>LIM</v>
      </c>
      <c r="F61" s="117" t="str">
        <f>IF(VLOOKUP($A61,Definitions!$D:$E,2,FALSE)=0, "", VLOOKUP($A61,Definitions!$D:$E,2,FALSE))</f>
        <v>Select the individual responsible</v>
      </c>
      <c r="G61" s="117" t="str">
        <f>IF(VLOOKUP($A61,'All sections of NIF PDF'!$D:$N,11,FALSE)=0,"",VLOOKUP($A61,'All sections of NIF PDF'!$D:$N,11,FALSE))</f>
        <v/>
      </c>
    </row>
    <row r="62" spans="1:7">
      <c r="A62" s="121" t="str">
        <f>'All sections of NIF PDF'!D62</f>
        <v>EPM Finance</v>
      </c>
      <c r="B62" s="117">
        <f>INDEX('All sections of NIF PDF'!$A:$A,MATCH($A62,'All sections of NIF PDF'!$D:$D,0))</f>
        <v>1057</v>
      </c>
      <c r="C62" s="117" t="str">
        <f>VLOOKUP($A62,'All sections of NIF PDF'!$D:$N,4,FALSE)</f>
        <v>dd: user roles</v>
      </c>
      <c r="D62" s="117" t="str">
        <f>INDEX('All sections of NIF PDF'!$B:$B,MATCH($A62,'All sections of NIF PDF'!$D:$D,0))</f>
        <v>LIM - Initial Review</v>
      </c>
      <c r="E62" s="117" t="str">
        <f>VLOOKUP($A62,'All sections of NIF PDF'!$D:$N,6,FALSE)</f>
        <v>LIM</v>
      </c>
      <c r="F62" s="117" t="str">
        <f>IF(VLOOKUP($A62,Definitions!$D:$E,2,FALSE)=0, "", VLOOKUP($A62,Definitions!$D:$E,2,FALSE))</f>
        <v>Select the individual responsible</v>
      </c>
      <c r="G62" s="117" t="str">
        <f>IF(VLOOKUP($A62,'All sections of NIF PDF'!$D:$N,11,FALSE)=0,"",VLOOKUP($A62,'All sections of NIF PDF'!$D:$N,11,FALSE))</f>
        <v/>
      </c>
    </row>
    <row r="63" spans="1:7">
      <c r="A63" s="121" t="str">
        <f>'All sections of NIF PDF'!D63</f>
        <v>Data Integrity</v>
      </c>
      <c r="B63" s="117">
        <f>INDEX('All sections of NIF PDF'!$A:$A,MATCH($A63,'All sections of NIF PDF'!$D:$D,0))</f>
        <v>1058</v>
      </c>
      <c r="C63" s="117" t="str">
        <f>VLOOKUP($A63,'All sections of NIF PDF'!$D:$N,4,FALSE)</f>
        <v>dd: user roles</v>
      </c>
      <c r="D63" s="117" t="str">
        <f>INDEX('All sections of NIF PDF'!$B:$B,MATCH($A63,'All sections of NIF PDF'!$D:$D,0))</f>
        <v>LIM - Initial Review</v>
      </c>
      <c r="E63" s="117" t="str">
        <f>VLOOKUP($A63,'All sections of NIF PDF'!$D:$N,6,FALSE)</f>
        <v>LIM</v>
      </c>
      <c r="F63" s="117" t="str">
        <f>IF(VLOOKUP($A63,Definitions!$D:$E,2,FALSE)=0, "", VLOOKUP($A63,Definitions!$D:$E,2,FALSE))</f>
        <v>Select the individual responsible</v>
      </c>
      <c r="G63" s="117" t="str">
        <f>IF(VLOOKUP($A63,'All sections of NIF PDF'!$D:$N,11,FALSE)=0,"",VLOOKUP($A63,'All sections of NIF PDF'!$D:$N,11,FALSE))</f>
        <v/>
      </c>
    </row>
    <row r="64" spans="1:7">
      <c r="A64" s="121" t="str">
        <f>'All sections of NIF PDF'!D64</f>
        <v>Data Integrity (CA)</v>
      </c>
      <c r="B64" s="117">
        <f>INDEX('All sections of NIF PDF'!$A:$A,MATCH($A64,'All sections of NIF PDF'!$D:$D,0))</f>
        <v>1059</v>
      </c>
      <c r="C64" s="117" t="str">
        <f>VLOOKUP($A64,'All sections of NIF PDF'!$D:$N,4,FALSE)</f>
        <v>dd: user roles</v>
      </c>
      <c r="D64" s="117" t="str">
        <f>INDEX('All sections of NIF PDF'!$B:$B,MATCH($A64,'All sections of NIF PDF'!$D:$D,0))</f>
        <v>LIM - Initial Review</v>
      </c>
      <c r="E64" s="117" t="str">
        <f>VLOOKUP($A64,'All sections of NIF PDF'!$D:$N,6,FALSE)</f>
        <v>LIM</v>
      </c>
      <c r="F64" s="117" t="str">
        <f>IF(VLOOKUP($A64,Definitions!$D:$E,2,FALSE)=0, "", VLOOKUP($A64,Definitions!$D:$E,2,FALSE))</f>
        <v>Select the individual responsible</v>
      </c>
      <c r="G64" s="117" t="str">
        <f>IF(VLOOKUP($A64,'All sections of NIF PDF'!$D:$N,11,FALSE)=0,"",VLOOKUP($A64,'All sections of NIF PDF'!$D:$N,11,FALSE))</f>
        <v/>
      </c>
    </row>
    <row r="65" spans="1:7">
      <c r="A65" s="121" t="str">
        <f>'All sections of NIF PDF'!D65</f>
        <v>R&amp;D Quality</v>
      </c>
      <c r="B65" s="117">
        <f>INDEX('All sections of NIF PDF'!$A:$A,MATCH($A65,'All sections of NIF PDF'!$D:$D,0))</f>
        <v>1060</v>
      </c>
      <c r="C65" s="117" t="str">
        <f>VLOOKUP($A65,'All sections of NIF PDF'!$D:$N,4,FALSE)</f>
        <v>dd: user roles</v>
      </c>
      <c r="D65" s="117" t="str">
        <f>INDEX('All sections of NIF PDF'!$B:$B,MATCH($A65,'All sections of NIF PDF'!$D:$D,0))</f>
        <v>LIM - Initial Review</v>
      </c>
      <c r="E65" s="117" t="str">
        <f>VLOOKUP($A65,'All sections of NIF PDF'!$D:$N,6,FALSE)</f>
        <v>LIM</v>
      </c>
      <c r="F65" s="117" t="str">
        <f>IF(VLOOKUP($A65,Definitions!$D:$E,2,FALSE)=0, "", VLOOKUP($A65,Definitions!$D:$E,2,FALSE))</f>
        <v>Select the individual responsible</v>
      </c>
      <c r="G65" s="117" t="str">
        <f>IF(VLOOKUP($A65,'All sections of NIF PDF'!$D:$N,11,FALSE)=0,"",VLOOKUP($A65,'All sections of NIF PDF'!$D:$N,11,FALSE))</f>
        <v/>
      </c>
    </row>
    <row r="66" spans="1:7">
      <c r="A66" s="121" t="str">
        <f>'All sections of NIF PDF'!D66</f>
        <v>Nutrition Labeling</v>
      </c>
      <c r="B66" s="117">
        <f>INDEX('All sections of NIF PDF'!$A:$A,MATCH($A66,'All sections of NIF PDF'!$D:$D,0))</f>
        <v>1061</v>
      </c>
      <c r="C66" s="117" t="str">
        <f>VLOOKUP($A66,'All sections of NIF PDF'!$D:$N,4,FALSE)</f>
        <v>dd: user roles</v>
      </c>
      <c r="D66" s="117" t="str">
        <f>INDEX('All sections of NIF PDF'!$B:$B,MATCH($A66,'All sections of NIF PDF'!$D:$D,0))</f>
        <v>LIM - Initial Review</v>
      </c>
      <c r="E66" s="117" t="str">
        <f>VLOOKUP($A66,'All sections of NIF PDF'!$D:$N,6,FALSE)</f>
        <v>LIM</v>
      </c>
      <c r="F66" s="117" t="str">
        <f>IF(VLOOKUP($A66,Definitions!$D:$E,2,FALSE)=0, "", VLOOKUP($A66,Definitions!$D:$E,2,FALSE))</f>
        <v>Select the individual responsible</v>
      </c>
      <c r="G66" s="117" t="str">
        <f>IF(VLOOKUP($A66,'All sections of NIF PDF'!$D:$N,11,FALSE)=0,"",VLOOKUP($A66,'All sections of NIF PDF'!$D:$N,11,FALSE))</f>
        <v/>
      </c>
    </row>
    <row r="67" spans="1:7">
      <c r="A67" s="121" t="str">
        <f>'All sections of NIF PDF'!D67</f>
        <v>Packaging Tech (Engineer)</v>
      </c>
      <c r="B67" s="117">
        <f>INDEX('All sections of NIF PDF'!$A:$A,MATCH($A67,'All sections of NIF PDF'!$D:$D,0))</f>
        <v>1062</v>
      </c>
      <c r="C67" s="117" t="str">
        <f>VLOOKUP($A67,'All sections of NIF PDF'!$D:$N,4,FALSE)</f>
        <v>dd: user roles</v>
      </c>
      <c r="D67" s="117" t="str">
        <f>INDEX('All sections of NIF PDF'!$B:$B,MATCH($A67,'All sections of NIF PDF'!$D:$D,0))</f>
        <v>LIM - Initial Review</v>
      </c>
      <c r="E67" s="117" t="str">
        <f>VLOOKUP($A67,'All sections of NIF PDF'!$D:$N,6,FALSE)</f>
        <v>LIM</v>
      </c>
      <c r="F67" s="117" t="str">
        <f>IF(VLOOKUP($A67,Definitions!$D:$E,2,FALSE)=0, "", VLOOKUP($A67,Definitions!$D:$E,2,FALSE))</f>
        <v>Select the individual responsible</v>
      </c>
      <c r="G67" s="117" t="str">
        <f>IF(VLOOKUP($A67,'All sections of NIF PDF'!$D:$N,11,FALSE)=0,"",VLOOKUP($A67,'All sections of NIF PDF'!$D:$N,11,FALSE))</f>
        <v/>
      </c>
    </row>
    <row r="68" spans="1:7">
      <c r="A68" s="121" t="str">
        <f>'All sections of NIF PDF'!D68</f>
        <v>Category Finance</v>
      </c>
      <c r="B68" s="117">
        <f>INDEX('All sections of NIF PDF'!$A:$A,MATCH($A68,'All sections of NIF PDF'!$D:$D,0))</f>
        <v>1063</v>
      </c>
      <c r="C68" s="117" t="str">
        <f>VLOOKUP($A68,'All sections of NIF PDF'!$D:$N,4,FALSE)</f>
        <v>dd: user roles</v>
      </c>
      <c r="D68" s="117" t="str">
        <f>INDEX('All sections of NIF PDF'!$B:$B,MATCH($A68,'All sections of NIF PDF'!$D:$D,0))</f>
        <v>LIM - Initial Review</v>
      </c>
      <c r="E68" s="117" t="str">
        <f>VLOOKUP($A68,'All sections of NIF PDF'!$D:$N,6,FALSE)</f>
        <v>LIM</v>
      </c>
      <c r="F68" s="117" t="str">
        <f>IF(VLOOKUP($A68,Definitions!$D:$E,2,FALSE)=0, "", VLOOKUP($A68,Definitions!$D:$E,2,FALSE))</f>
        <v>Select the individual responsible</v>
      </c>
      <c r="G68" s="117" t="str">
        <f>IF(VLOOKUP($A68,'All sections of NIF PDF'!$D:$N,11,FALSE)=0,"",VLOOKUP($A68,'All sections of NIF PDF'!$D:$N,11,FALSE))</f>
        <v/>
      </c>
    </row>
    <row r="69" spans="1:7">
      <c r="A69" s="121" t="str">
        <f>'All sections of NIF PDF'!D69</f>
        <v>Packaging Tech (BPS)</v>
      </c>
      <c r="B69" s="117">
        <f>INDEX('All sections of NIF PDF'!$A:$A,MATCH($A69,'All sections of NIF PDF'!$D:$D,0))</f>
        <v>1064</v>
      </c>
      <c r="C69" s="117" t="str">
        <f>VLOOKUP($A69,'All sections of NIF PDF'!$D:$N,4,FALSE)</f>
        <v>dd: user roles</v>
      </c>
      <c r="D69" s="117" t="str">
        <f>INDEX('All sections of NIF PDF'!$B:$B,MATCH($A69,'All sections of NIF PDF'!$D:$D,0))</f>
        <v>LIM - Initial Review</v>
      </c>
      <c r="E69" s="117" t="str">
        <f>VLOOKUP($A69,'All sections of NIF PDF'!$D:$N,6,FALSE)</f>
        <v>LIM</v>
      </c>
      <c r="F69" s="117" t="str">
        <f>IF(VLOOKUP($A69,Definitions!$D:$E,2,FALSE)=0, "", VLOOKUP($A69,Definitions!$D:$E,2,FALSE))</f>
        <v>Select the individual responsible</v>
      </c>
      <c r="G69" s="117" t="str">
        <f>IF(VLOOKUP($A69,'All sections of NIF PDF'!$D:$N,11,FALSE)=0,"",VLOOKUP($A69,'All sections of NIF PDF'!$D:$N,11,FALSE))</f>
        <v/>
      </c>
    </row>
    <row r="70" spans="1:7">
      <c r="A70" s="121" t="str">
        <f>'All sections of NIF PDF'!D70</f>
        <v>Packaging Tech (Menasha)</v>
      </c>
      <c r="B70" s="117">
        <f>INDEX('All sections of NIF PDF'!$A:$A,MATCH($A70,'All sections of NIF PDF'!$D:$D,0))</f>
        <v>1065</v>
      </c>
      <c r="C70" s="117" t="str">
        <f>VLOOKUP($A70,'All sections of NIF PDF'!$D:$N,4,FALSE)</f>
        <v>dd: user roles</v>
      </c>
      <c r="D70" s="117" t="str">
        <f>INDEX('All sections of NIF PDF'!$B:$B,MATCH($A70,'All sections of NIF PDF'!$D:$D,0))</f>
        <v>LIM - Initial Review</v>
      </c>
      <c r="E70" s="117" t="str">
        <f>VLOOKUP($A70,'All sections of NIF PDF'!$D:$N,6,FALSE)</f>
        <v>LIM</v>
      </c>
      <c r="F70" s="117" t="str">
        <f>IF(VLOOKUP($A70,Definitions!$D:$E,2,FALSE)=0, "", VLOOKUP($A70,Definitions!$D:$E,2,FALSE))</f>
        <v>Select the individual responsible</v>
      </c>
      <c r="G70" s="117" t="str">
        <f>IF(VLOOKUP($A70,'All sections of NIF PDF'!$D:$N,11,FALSE)=0,"",VLOOKUP($A70,'All sections of NIF PDF'!$D:$N,11,FALSE))</f>
        <v/>
      </c>
    </row>
    <row r="71" spans="1:7">
      <c r="A71" s="121" t="str">
        <f>'All sections of NIF PDF'!D71</f>
        <v>Packaging Tech (Canada VAS)</v>
      </c>
      <c r="B71" s="117">
        <f>INDEX('All sections of NIF PDF'!$A:$A,MATCH($A71,'All sections of NIF PDF'!$D:$D,0))</f>
        <v>1066</v>
      </c>
      <c r="C71" s="117" t="str">
        <f>VLOOKUP($A71,'All sections of NIF PDF'!$D:$N,4,FALSE)</f>
        <v>dd: user roles</v>
      </c>
      <c r="D71" s="117" t="str">
        <f>INDEX('All sections of NIF PDF'!$B:$B,MATCH($A71,'All sections of NIF PDF'!$D:$D,0))</f>
        <v>LIM - Initial Review</v>
      </c>
      <c r="E71" s="117" t="str">
        <f>VLOOKUP($A71,'All sections of NIF PDF'!$D:$N,6,FALSE)</f>
        <v>LIM</v>
      </c>
      <c r="F71" s="117" t="str">
        <f>IF(VLOOKUP($A71,Definitions!$D:$E,2,FALSE)=0, "", VLOOKUP($A71,Definitions!$D:$E,2,FALSE))</f>
        <v>Select the individual responsible</v>
      </c>
      <c r="G71" s="117" t="str">
        <f>IF(VLOOKUP($A71,'All sections of NIF PDF'!$D:$N,11,FALSE)=0,"",VLOOKUP($A71,'All sections of NIF PDF'!$D:$N,11,FALSE))</f>
        <v/>
      </c>
    </row>
    <row r="72" spans="1:7" ht="28.9">
      <c r="A72" s="121" t="str">
        <f>'All sections of NIF PDF'!D72</f>
        <v>Supply Chain Budget Forecast SKU</v>
      </c>
      <c r="B72" s="117">
        <f>INDEX('All sections of NIF PDF'!$A:$A,MATCH($A72,'All sections of NIF PDF'!$D:$D,0))</f>
        <v>1067</v>
      </c>
      <c r="C72" s="117" t="str">
        <f>VLOOKUP($A72,'All sections of NIF PDF'!$D:$N,4,FALSE)</f>
        <v>dd: YES, NO</v>
      </c>
      <c r="D72" s="117" t="str">
        <f>INDEX('All sections of NIF PDF'!$B:$B,MATCH($A72,'All sections of NIF PDF'!$D:$D,0))</f>
        <v>LIM - Initial Review</v>
      </c>
      <c r="E72" s="117" t="str">
        <f>VLOOKUP($A72,'All sections of NIF PDF'!$D:$N,6,FALSE)</f>
        <v>LIM</v>
      </c>
      <c r="F72" s="117" t="str">
        <f>IF(VLOOKUP($A72,Definitions!$D:$E,2,FALSE)=0, "", VLOOKUP($A72,Definitions!$D:$E,2,FALSE))</f>
        <v>Yes or No. If you answer Yes, your setup will become a Forecast SKU setup, and will have a different workflow routing. It will not be considered a “final” SAP setup</v>
      </c>
      <c r="G72" s="117" t="str">
        <f>IF(VLOOKUP($A72,'All sections of NIF PDF'!$D:$N,11,FALSE)=0,"",VLOOKUP($A72,'All sections of NIF PDF'!$D:$N,11,FALSE))</f>
        <v/>
      </c>
    </row>
    <row r="73" spans="1:7" ht="57.6">
      <c r="A73" s="121" t="str">
        <f>'All sections of NIF PDF'!D73</f>
        <v>(LIM Initial) Return Comments</v>
      </c>
      <c r="B73" s="117">
        <f>INDEX('All sections of NIF PDF'!$A:$A,MATCH($A73,'All sections of NIF PDF'!$D:$D,0))</f>
        <v>1068</v>
      </c>
      <c r="C73" s="117" t="str">
        <f>VLOOKUP($A73,'All sections of NIF PDF'!$D:$N,4,FALSE)</f>
        <v>free form</v>
      </c>
      <c r="D73" s="117" t="str">
        <f>INDEX('All sections of NIF PDF'!$B:$B,MATCH($A73,'All sections of NIF PDF'!$D:$D,0))</f>
        <v>LIM - Initial Review</v>
      </c>
      <c r="E73" s="117" t="str">
        <f>VLOOKUP($A73,'All sections of NIF PDF'!$D:$N,6,FALSE)</f>
        <v>LIM</v>
      </c>
      <c r="F73" s="117" t="str">
        <f>IF(VLOOKUP($A73,Definitions!$D:$E,2,FALSE)=0, "", VLOOKUP($A73,Definitions!$D:$E,2,FALSE))</f>
        <v>At LIM Initial Review, the only return that is available is to Requestor Initiate.  Returns can only go one level back.  If the form has made it past LIM Initial Review, and the set-up type is incorrect, the form will have to be started over.  Please be as descriptive as possible and provide the necessary reasons/details as to why you are returning the NIF.</v>
      </c>
      <c r="G73" s="117" t="str">
        <f>IF(VLOOKUP($A73,'All sections of NIF PDF'!$D:$N,11,FALSE)=0,"",VLOOKUP($A73,'All sections of NIF PDF'!$D:$N,11,FALSE))</f>
        <v/>
      </c>
    </row>
    <row r="74" spans="1:7" ht="57.6">
      <c r="A74" s="121" t="str">
        <f>'All sections of NIF PDF'!D74</f>
        <v>5 export (buttons)</v>
      </c>
      <c r="B74" s="117">
        <f>INDEX('All sections of NIF PDF'!$A:$A,MATCH($A74,'All sections of NIF PDF'!$D:$D,0))</f>
        <v>1069</v>
      </c>
      <c r="C74" s="117" t="str">
        <f>VLOOKUP($A74,'All sections of NIF PDF'!$D:$N,4,FALSE)</f>
        <v>export buttons</v>
      </c>
      <c r="D74" s="117" t="str">
        <f>INDEX('All sections of NIF PDF'!$B:$B,MATCH($A74,'All sections of NIF PDF'!$D:$D,0))</f>
        <v>LIM - LIM REPORT</v>
      </c>
      <c r="E74" s="117" t="str">
        <f>VLOOKUP($A74,'All sections of NIF PDF'!$D:$N,6,FALSE)</f>
        <v>LIM</v>
      </c>
      <c r="F74" s="117" t="str">
        <f>IF(VLOOKUP($A74,Definitions!$D:$E,2,FALSE)=0, "", VLOOKUP($A74,Definitions!$D:$E,2,FALSE))</f>
        <v xml:space="preserve">The LIM REPORT task does not affect the workflow of the NIF at all. It is only a reportthat gives the LIM an opportunity to download project information into an Excel spreadsheet. The task is created after the LIM Initial Review, and as the NIF progresses, more data will be available in this report. It is best to run the report after the Packaging group has entered their data </v>
      </c>
      <c r="G74" s="117" t="str">
        <f>IF(VLOOKUP($A74,'All sections of NIF PDF'!$D:$N,11,FALSE)=0,"",VLOOKUP($A74,'All sections of NIF PDF'!$D:$N,11,FALSE))</f>
        <v/>
      </c>
    </row>
    <row r="75" spans="1:7" ht="43.15">
      <c r="A75" s="121" t="str">
        <f>'All sections of NIF PDF'!D75</f>
        <v>Material Number</v>
      </c>
      <c r="B75" s="117">
        <f>INDEX('All sections of NIF PDF'!$A:$A,MATCH($A75,'All sections of NIF PDF'!$D:$D,0))</f>
        <v>1070</v>
      </c>
      <c r="C75" s="117" t="str">
        <f>VLOOKUP($A75,'All sections of NIF PDF'!$D:$N,4,FALSE)</f>
        <v>free form</v>
      </c>
      <c r="D75" s="117" t="str">
        <f>INDEX('All sections of NIF PDF'!$B:$B,MATCH($A75,'All sections of NIF PDF'!$D:$D,0))</f>
        <v>Masterfiles - Get Codes</v>
      </c>
      <c r="E75" s="117" t="str">
        <f>VLOOKUP($A75,'All sections of NIF PDF'!$D:$N,6,FALSE)</f>
        <v>Masterfiles</v>
      </c>
      <c r="F75" s="117" t="str">
        <f>IF(VLOOKUP($A75,Definitions!$D:$E,2,FALSE)=0, "", VLOOKUP($A75,Definitions!$D:$E,2,FALSE))</f>
        <v>Alphanumeric key uniquely identifying the material. This is considered an internal number (internal to Kellogg). Assigned by Masterfiles in SAP via the GPRS transaction. Assign the material number via GPRS, referencing the Material Prefix provided by the Requestor</v>
      </c>
      <c r="G75" s="117" t="str">
        <f>IF(VLOOKUP($A75,'All sections of NIF PDF'!$D:$N,11,FALSE)=0,"",VLOOKUP($A75,'All sections of NIF PDF'!$D:$N,11,FALSE))</f>
        <v/>
      </c>
    </row>
    <row r="76" spans="1:7" ht="86.45">
      <c r="A76" s="121" t="str">
        <f>'All sections of NIF PDF'!D76</f>
        <v>UPC #</v>
      </c>
      <c r="B76" s="117">
        <f>INDEX('All sections of NIF PDF'!$A:$A,MATCH($A76,'All sections of NIF PDF'!$D:$D,0))</f>
        <v>1072</v>
      </c>
      <c r="C76" s="117" t="str">
        <f>VLOOKUP($A76,'All sections of NIF PDF'!$D:$N,4,FALSE)</f>
        <v>free form</v>
      </c>
      <c r="D76" s="117" t="str">
        <f>INDEX('All sections of NIF PDF'!$B:$B,MATCH($A76,'All sections of NIF PDF'!$D:$D,0))</f>
        <v>Masterfiles - Get Codes</v>
      </c>
      <c r="E76" s="117" t="str">
        <f>VLOOKUP($A76,'All sections of NIF PDF'!$D:$N,6,FALSE)</f>
        <v>Masterfiles</v>
      </c>
      <c r="F76" s="117" t="str">
        <f>IF(VLOOKUP($A76,Definitions!$D:$E,2,FALSE)=0, "", VLOOKUP($A76,Definitions!$D:$E,2,FALSE))</f>
        <v>Assign the appropriate UPC’s according to the Setup Type that has been chosen (see ‘Unique or Same UPC?’ Column), using the Prefix provided by the Requestor. Be sure to refer to the Product DeterminationQuestions, Existing Printed Material Codes, and Other UPC Requirementssections to assist. Also refer to the Check Digit Calculator document - UPC's are always 12 digits  (Symbology = UPC-A in the check digit calculator). GTIN's are always 14 digits (Symbology = ITF-14 in the check digit calculator). Drop the "Z" but keep the zeros when entering into the form.</v>
      </c>
      <c r="G76" s="117" t="str">
        <f>IF(VLOOKUP($A76,'All sections of NIF PDF'!$D:$N,11,FALSE)=0,"",VLOOKUP($A76,'All sections of NIF PDF'!$D:$N,11,FALSE))</f>
        <v/>
      </c>
    </row>
    <row r="77" spans="1:7" ht="28.9">
      <c r="A77" s="121" t="str">
        <f>'All sections of NIF PDF'!D77</f>
        <v>K #</v>
      </c>
      <c r="B77" s="117">
        <f>INDEX('All sections of NIF PDF'!$A:$A,MATCH($A77,'All sections of NIF PDF'!$D:$D,0))</f>
        <v>1073</v>
      </c>
      <c r="C77" s="117" t="str">
        <f>VLOOKUP($A77,'All sections of NIF PDF'!$D:$N,4,FALSE)</f>
        <v>free form</v>
      </c>
      <c r="D77" s="117" t="str">
        <f>INDEX('All sections of NIF PDF'!$B:$B,MATCH($A77,'All sections of NIF PDF'!$D:$D,0))</f>
        <v>Masterfiles - Get Codes</v>
      </c>
      <c r="E77" s="117" t="str">
        <f>VLOOKUP($A77,'All sections of NIF PDF'!$D:$N,6,FALSE)</f>
        <v>Masterfiles</v>
      </c>
      <c r="F77" s="117" t="str">
        <f>IF(VLOOKUP($A77,Definitions!$D:$E,2,FALSE)=0, "", VLOOKUP($A77,Definitions!$D:$E,2,FALSE))</f>
        <v>Refer to the List Any Existing Knumbers That Will Be Used section, and either copy/paste those into the corresponding fields or assign new as appropriate</v>
      </c>
      <c r="G77" s="117" t="str">
        <f>IF(VLOOKUP($A77,'All sections of NIF PDF'!$D:$N,11,FALSE)=0,"",VLOOKUP($A77,'All sections of NIF PDF'!$D:$N,11,FALSE))</f>
        <v/>
      </c>
    </row>
    <row r="78" spans="1:7">
      <c r="A78" s="121" t="str">
        <f>'All sections of NIF PDF'!D78</f>
        <v>Ct</v>
      </c>
      <c r="B78" s="117">
        <f>INDEX('All sections of NIF PDF'!$A:$A,MATCH($A78,'All sections of NIF PDF'!$D:$D,0))</f>
        <v>1074</v>
      </c>
      <c r="C78" s="117" t="str">
        <f>VLOOKUP($A78,'All sections of NIF PDF'!$D:$N,4,FALSE)</f>
        <v>autofill</v>
      </c>
      <c r="D78" s="117" t="str">
        <f>INDEX('All sections of NIF PDF'!$B:$B,MATCH($A78,'All sections of NIF PDF'!$D:$D,0))</f>
        <v>Masterfiles - Get Codes</v>
      </c>
      <c r="E78" s="117" t="str">
        <f>VLOOKUP($A78,'All sections of NIF PDF'!$D:$N,6,FALSE)</f>
        <v>Masterfiles</v>
      </c>
      <c r="F78" s="117" t="e">
        <f>IF(VLOOKUP($A78,Definitions!$D:$E,2,FALSE)=0, "", VLOOKUP($A78,Definitions!$D:$E,2,FALSE))</f>
        <v>#N/A</v>
      </c>
      <c r="G78" s="117" t="str">
        <f>IF(VLOOKUP($A78,'All sections of NIF PDF'!$D:$N,11,FALSE)=0,"",VLOOKUP($A78,'All sections of NIF PDF'!$D:$N,11,FALSE))</f>
        <v/>
      </c>
    </row>
    <row r="79" spans="1:7">
      <c r="A79" s="121" t="str">
        <f>'All sections of NIF PDF'!D79</f>
        <v>UPC Required</v>
      </c>
      <c r="B79" s="117">
        <f>INDEX('All sections of NIF PDF'!$A:$A,MATCH($A79,'All sections of NIF PDF'!$D:$D,0))</f>
        <v>1075</v>
      </c>
      <c r="C79" s="117" t="str">
        <f>VLOOKUP($A79,'All sections of NIF PDF'!$D:$N,4,FALSE)</f>
        <v>autofill</v>
      </c>
      <c r="D79" s="117" t="str">
        <f>INDEX('All sections of NIF PDF'!$B:$B,MATCH($A79,'All sections of NIF PDF'!$D:$D,0))</f>
        <v>Masterfiles - Get Codes</v>
      </c>
      <c r="E79" s="117" t="str">
        <f>VLOOKUP($A79,'All sections of NIF PDF'!$D:$N,6,FALSE)</f>
        <v>Masterfiles</v>
      </c>
      <c r="F79" s="117" t="str">
        <f>IF(VLOOKUP($A79,Definitions!$D:$E,2,FALSE)=0, "", VLOOKUP($A79,Definitions!$D:$E,2,FALSE))</f>
        <v>auto-populated from selected Material Type &amp; Sub Type</v>
      </c>
      <c r="G79" s="117" t="str">
        <f>IF(VLOOKUP($A79,'All sections of NIF PDF'!$D:$N,11,FALSE)=0,"",VLOOKUP($A79,'All sections of NIF PDF'!$D:$N,11,FALSE))</f>
        <v/>
      </c>
    </row>
    <row r="80" spans="1:7">
      <c r="A80" s="121" t="str">
        <f>'All sections of NIF PDF'!D80</f>
        <v>Unique or Same UPC</v>
      </c>
      <c r="B80" s="117">
        <f>INDEX('All sections of NIF PDF'!$A:$A,MATCH($A80,'All sections of NIF PDF'!$D:$D,0))</f>
        <v>1076</v>
      </c>
      <c r="C80" s="117" t="str">
        <f>VLOOKUP($A80,'All sections of NIF PDF'!$D:$N,4,FALSE)</f>
        <v>autofill</v>
      </c>
      <c r="D80" s="117" t="str">
        <f>INDEX('All sections of NIF PDF'!$B:$B,MATCH($A80,'All sections of NIF PDF'!$D:$D,0))</f>
        <v>Masterfiles - Get Codes</v>
      </c>
      <c r="E80" s="117" t="str">
        <f>VLOOKUP($A80,'All sections of NIF PDF'!$D:$N,6,FALSE)</f>
        <v>Masterfiles</v>
      </c>
      <c r="F80" s="117" t="str">
        <f>IF(VLOOKUP($A80,Definitions!$D:$E,2,FALSE)=0, "", VLOOKUP($A80,Definitions!$D:$E,2,FALSE))</f>
        <v>auto-populated from selected Material Type &amp; Sub Type</v>
      </c>
      <c r="G80" s="117" t="str">
        <f>IF(VLOOKUP($A80,'All sections of NIF PDF'!$D:$N,11,FALSE)=0,"",VLOOKUP($A80,'All sections of NIF PDF'!$D:$N,11,FALSE))</f>
        <v/>
      </c>
    </row>
    <row r="81" spans="1:7" ht="57.6">
      <c r="A81" s="121" t="str">
        <f>'All sections of NIF PDF'!D81</f>
        <v>GTIN Number</v>
      </c>
      <c r="B81" s="117">
        <f>INDEX('All sections of NIF PDF'!$A:$A,MATCH($A81,'All sections of NIF PDF'!$D:$D,0))</f>
        <v>1077</v>
      </c>
      <c r="C81" s="117" t="str">
        <f>VLOOKUP($A81,'All sections of NIF PDF'!$D:$N,4,FALSE)</f>
        <v>free form</v>
      </c>
      <c r="D81" s="117" t="str">
        <f>INDEX('All sections of NIF PDF'!$B:$B,MATCH($A81,'All sections of NIF PDF'!$D:$D,0))</f>
        <v>Masterfiles - Get Codes</v>
      </c>
      <c r="E81" s="117" t="str">
        <f>VLOOKUP($A81,'All sections of NIF PDF'!$D:$N,6,FALSE)</f>
        <v>Masterfiles</v>
      </c>
      <c r="F81" s="117" t="str">
        <f>IF(VLOOKUP($A81,Definitions!$D:$E,2,FALSE)=0, "", VLOOKUP($A81,Definitions!$D:$E,2,FALSE))</f>
        <v>Assign the appropriate UPC’s according to the Setup Type that has been chosen (see ‘Unique or Same UPC?’ Column), using the Prefix provided by the Requestor. Be sure to refer to the Product Determination Questions, Existing Printed Material Codes, and Other UPC Requirementssections to assist. Also refer to the Check Digit Calculator document</v>
      </c>
      <c r="G81" s="117" t="str">
        <f>IF(VLOOKUP($A81,'All sections of NIF PDF'!$D:$N,11,FALSE)=0,"",VLOOKUP($A81,'All sections of NIF PDF'!$D:$N,11,FALSE))</f>
        <v/>
      </c>
    </row>
    <row r="82" spans="1:7">
      <c r="A82" s="121" t="str">
        <f>'All sections of NIF PDF'!D82</f>
        <v>GTIN Required</v>
      </c>
      <c r="B82" s="117">
        <f>INDEX('All sections of NIF PDF'!$A:$A,MATCH($A82,'All sections of NIF PDF'!$D:$D,0))</f>
        <v>1078</v>
      </c>
      <c r="C82" s="117" t="str">
        <f>VLOOKUP($A82,'All sections of NIF PDF'!$D:$N,4,FALSE)</f>
        <v>autofill</v>
      </c>
      <c r="D82" s="117" t="str">
        <f>INDEX('All sections of NIF PDF'!$B:$B,MATCH($A82,'All sections of NIF PDF'!$D:$D,0))</f>
        <v>Masterfiles - Get Codes</v>
      </c>
      <c r="E82" s="117" t="str">
        <f>VLOOKUP($A82,'All sections of NIF PDF'!$D:$N,6,FALSE)</f>
        <v>Masterfiles</v>
      </c>
      <c r="F82" s="117" t="str">
        <f>IF(VLOOKUP($A82,Definitions!$D:$E,2,FALSE)=0, "", VLOOKUP($A82,Definitions!$D:$E,2,FALSE))</f>
        <v>auto-populated from selected Material Type &amp; Sub Type</v>
      </c>
      <c r="G82" s="117" t="str">
        <f>IF(VLOOKUP($A82,'All sections of NIF PDF'!$D:$N,11,FALSE)=0,"",VLOOKUP($A82,'All sections of NIF PDF'!$D:$N,11,FALSE))</f>
        <v/>
      </c>
    </row>
    <row r="83" spans="1:7">
      <c r="A83" s="121" t="str">
        <f>'All sections of NIF PDF'!D83</f>
        <v>GTIN Prefix</v>
      </c>
      <c r="B83" s="117">
        <f>INDEX('All sections of NIF PDF'!$A:$A,MATCH($A83,'All sections of NIF PDF'!$D:$D,0))</f>
        <v>1079</v>
      </c>
      <c r="C83" s="117" t="str">
        <f>VLOOKUP($A83,'All sections of NIF PDF'!$D:$N,4,FALSE)</f>
        <v>autofill</v>
      </c>
      <c r="D83" s="117" t="str">
        <f>INDEX('All sections of NIF PDF'!$B:$B,MATCH($A83,'All sections of NIF PDF'!$D:$D,0))</f>
        <v>Masterfiles - Get Codes</v>
      </c>
      <c r="E83" s="117" t="str">
        <f>VLOOKUP($A83,'All sections of NIF PDF'!$D:$N,6,FALSE)</f>
        <v>Masterfiles</v>
      </c>
      <c r="F83" s="117" t="str">
        <f>IF(VLOOKUP($A83,Definitions!$D:$E,2,FALSE)=0, "", VLOOKUP($A83,Definitions!$D:$E,2,FALSE))</f>
        <v>auto-populated from selected Material Type &amp; Sub Type</v>
      </c>
      <c r="G83" s="117" t="str">
        <f>IF(VLOOKUP($A83,'All sections of NIF PDF'!$D:$N,11,FALSE)=0,"",VLOOKUP($A83,'All sections of NIF PDF'!$D:$N,11,FALSE))</f>
        <v/>
      </c>
    </row>
    <row r="84" spans="1:7">
      <c r="A84" s="121" t="str">
        <f>'All sections of NIF PDF'!D84</f>
        <v>Unique or Same GTIN</v>
      </c>
      <c r="B84" s="117">
        <f>INDEX('All sections of NIF PDF'!$A:$A,MATCH($A84,'All sections of NIF PDF'!$D:$D,0))</f>
        <v>1080</v>
      </c>
      <c r="C84" s="117" t="str">
        <f>VLOOKUP($A84,'All sections of NIF PDF'!$D:$N,4,FALSE)</f>
        <v>autofill</v>
      </c>
      <c r="D84" s="117" t="str">
        <f>INDEX('All sections of NIF PDF'!$B:$B,MATCH($A84,'All sections of NIF PDF'!$D:$D,0))</f>
        <v>Masterfiles - Get Codes</v>
      </c>
      <c r="E84" s="117" t="str">
        <f>VLOOKUP($A84,'All sections of NIF PDF'!$D:$N,6,FALSE)</f>
        <v>Masterfiles</v>
      </c>
      <c r="F84" s="117" t="str">
        <f>IF(VLOOKUP($A84,Definitions!$D:$E,2,FALSE)=0, "", VLOOKUP($A84,Definitions!$D:$E,2,FALSE))</f>
        <v>auto-populated from selected Material Type &amp; Sub Type</v>
      </c>
      <c r="G84" s="117" t="str">
        <f>IF(VLOOKUP($A84,'All sections of NIF PDF'!$D:$N,11,FALSE)=0,"",VLOOKUP($A84,'All sections of NIF PDF'!$D:$N,11,FALSE))</f>
        <v/>
      </c>
    </row>
    <row r="85" spans="1:7">
      <c r="A85" s="121" t="str">
        <f>'All sections of NIF PDF'!D85</f>
        <v>Special Launch K Number</v>
      </c>
      <c r="B85" s="117">
        <f>INDEX('All sections of NIF PDF'!$A:$A,MATCH($A85,'All sections of NIF PDF'!$D:$D,0))</f>
        <v>1081</v>
      </c>
      <c r="C85" s="117" t="str">
        <f>VLOOKUP($A85,'All sections of NIF PDF'!$D:$N,4,FALSE)</f>
        <v>free form</v>
      </c>
      <c r="D85" s="117" t="str">
        <f>INDEX('All sections of NIF PDF'!$B:$B,MATCH($A85,'All sections of NIF PDF'!$D:$D,0))</f>
        <v>Masterfiles - Get Codes</v>
      </c>
      <c r="E85" s="117" t="str">
        <f>VLOOKUP($A85,'All sections of NIF PDF'!$D:$N,6,FALSE)</f>
        <v>Masterfiles</v>
      </c>
      <c r="F85" s="117" t="str">
        <f>IF(VLOOKUP($A85,Definitions!$D:$E,2,FALSE)=0, "", VLOOKUP($A85,Definitions!$D:$E,2,FALSE))</f>
        <v>Assign additional K#’s as requested.</v>
      </c>
      <c r="G85" s="117" t="str">
        <f>IF(VLOOKUP($A85,'All sections of NIF PDF'!$D:$N,11,FALSE)=0,"",VLOOKUP($A85,'All sections of NIF PDF'!$D:$N,11,FALSE))</f>
        <v/>
      </c>
    </row>
    <row r="86" spans="1:7" ht="57.6">
      <c r="A86" s="121" t="str">
        <f>'All sections of NIF PDF'!D86</f>
        <v>(MF Get Codes) Return Comments</v>
      </c>
      <c r="B86" s="117">
        <f>INDEX('All sections of NIF PDF'!$A:$A,MATCH($A86,'All sections of NIF PDF'!$D:$D,0))</f>
        <v>1082</v>
      </c>
      <c r="C86" s="117" t="str">
        <f>VLOOKUP($A86,'All sections of NIF PDF'!$D:$N,4,FALSE)</f>
        <v>free form</v>
      </c>
      <c r="D86" s="117" t="str">
        <f>INDEX('All sections of NIF PDF'!$B:$B,MATCH($A86,'All sections of NIF PDF'!$D:$D,0))</f>
        <v>Masterfiles - Get Codes</v>
      </c>
      <c r="E86" s="117" t="str">
        <f>VLOOKUP($A86,'All sections of NIF PDF'!$D:$N,6,FALSE)</f>
        <v>Masterfiles</v>
      </c>
      <c r="F86" s="117" t="str">
        <f>IF(VLOOKUP($A86,Definitions!$D:$E,2,FALSE)=0, "", VLOOKUP($A86,Definitions!$D:$E,2,FALSE))</f>
        <v>At MasterFiles Get Codes, the only return that is available is to Requestor Initiate.  Returns can only go one level back.  If the form has made it past LIM Initial Review, and the set-up type is incorrect, the form will have to be started over.  Please be as descriptive as possible and provide the necessary reasons/details as to why you are returning the NIF.</v>
      </c>
      <c r="G86" s="117" t="str">
        <f>IF(VLOOKUP($A86,'All sections of NIF PDF'!$D:$N,11,FALSE)=0,"",VLOOKUP($A86,'All sections of NIF PDF'!$D:$N,11,FALSE))</f>
        <v/>
      </c>
    </row>
    <row r="87" spans="1:7" ht="28.9">
      <c r="A87" s="121" t="str">
        <f>'All sections of NIF PDF'!D87</f>
        <v>MFG Company</v>
      </c>
      <c r="B87" s="117">
        <f>INDEX('All sections of NIF PDF'!$A:$A,MATCH($A87,'All sections of NIF PDF'!$D:$D,0))</f>
        <v>1083</v>
      </c>
      <c r="C87" s="117" t="str">
        <f>VLOOKUP($A87,'All sections of NIF PDF'!$D:$N,4,FALSE)</f>
        <v>dd: reference list: PRL: Manufacturing Company</v>
      </c>
      <c r="D87" s="117" t="str">
        <f>INDEX('All sections of NIF PDF'!$B:$B,MATCH($A87,'All sections of NIF PDF'!$D:$D,0))</f>
        <v>LIM - Forecast Approval</v>
      </c>
      <c r="E87" s="117" t="str">
        <f>VLOOKUP($A87,'All sections of NIF PDF'!$D:$N,6,FALSE)</f>
        <v>LIM</v>
      </c>
      <c r="F87" s="117" t="str">
        <f>IF(VLOOKUP($A87,Definitions!$D:$E,2,FALSE)=0, "", VLOOKUP($A87,Definitions!$D:$E,2,FALSE))</f>
        <v>The MFG Company is determined by Brand.</v>
      </c>
      <c r="G87" s="117" t="str">
        <f>IF(VLOOKUP($A87,'All sections of NIF PDF'!$D:$N,11,FALSE)=0,"",VLOOKUP($A87,'All sections of NIF PDF'!$D:$N,11,FALSE))</f>
        <v/>
      </c>
    </row>
    <row r="88" spans="1:7" ht="28.9">
      <c r="A88" s="121" t="str">
        <f>'All sections of NIF PDF'!D88</f>
        <v>Material Group</v>
      </c>
      <c r="B88" s="117">
        <f>INDEX('All sections of NIF PDF'!$A:$A,MATCH($A88,'All sections of NIF PDF'!$D:$D,0))</f>
        <v>1084</v>
      </c>
      <c r="C88" s="117" t="str">
        <f>VLOOKUP($A88,'All sections of NIF PDF'!$D:$N,4,FALSE)</f>
        <v>dd: reference list: PRL: Material Group</v>
      </c>
      <c r="D88" s="117" t="str">
        <f>INDEX('All sections of NIF PDF'!$B:$B,MATCH($A88,'All sections of NIF PDF'!$D:$D,0))</f>
        <v>LIM - Forecast Approval</v>
      </c>
      <c r="E88" s="117" t="str">
        <f>VLOOKUP($A88,'All sections of NIF PDF'!$D:$N,6,FALSE)</f>
        <v>LIM</v>
      </c>
      <c r="F88" s="117" t="str">
        <f>IF(VLOOKUP($A88,Definitions!$D:$E,2,FALSE)=0, "", VLOOKUP($A88,Definitions!$D:$E,2,FALSE))</f>
        <v>General category of the item you are setting up, used to group together items with the same attributes.</v>
      </c>
      <c r="G88" s="117" t="str">
        <f>IF(VLOOKUP($A88,'All sections of NIF PDF'!$D:$N,11,FALSE)=0,"",VLOOKUP($A88,'All sections of NIF PDF'!$D:$N,11,FALSE))</f>
        <v/>
      </c>
    </row>
    <row r="89" spans="1:7" ht="28.9">
      <c r="A89" s="121" t="str">
        <f>'All sections of NIF PDF'!D89</f>
        <v>External Material Group</v>
      </c>
      <c r="B89" s="117">
        <f>INDEX('All sections of NIF PDF'!$A:$A,MATCH($A89,'All sections of NIF PDF'!$D:$D,0))</f>
        <v>1085</v>
      </c>
      <c r="C89" s="117" t="str">
        <f>VLOOKUP($A89,'All sections of NIF PDF'!$D:$N,4,FALSE)</f>
        <v>dd: reference list: PRL: External Material Group</v>
      </c>
      <c r="D89" s="117" t="str">
        <f>INDEX('All sections of NIF PDF'!$B:$B,MATCH($A89,'All sections of NIF PDF'!$D:$D,0))</f>
        <v>LIM - Forecast Approval</v>
      </c>
      <c r="E89" s="117" t="str">
        <f>VLOOKUP($A89,'All sections of NIF PDF'!$D:$N,6,FALSE)</f>
        <v>LIM</v>
      </c>
      <c r="F89" s="117" t="str">
        <f>IF(VLOOKUP($A89,Definitions!$D:$E,2,FALSE)=0, "", VLOOKUP($A89,Definitions!$D:$E,2,FALSE))</f>
        <v>This is the Channel owner of the item being created.</v>
      </c>
      <c r="G89" s="117" t="str">
        <f>IF(VLOOKUP($A89,'All sections of NIF PDF'!$D:$N,11,FALSE)=0,"",VLOOKUP($A89,'All sections of NIF PDF'!$D:$N,11,FALSE))</f>
        <v/>
      </c>
    </row>
    <row r="90" spans="1:7">
      <c r="A90" s="121" t="str">
        <f>'All sections of NIF PDF'!D90</f>
        <v>Estimated Standard Cost</v>
      </c>
      <c r="B90" s="117">
        <f>INDEX('All sections of NIF PDF'!$A:$A,MATCH($A90,'All sections of NIF PDF'!$D:$D,0))</f>
        <v>1086</v>
      </c>
      <c r="C90" s="117" t="str">
        <f>VLOOKUP($A90,'All sections of NIF PDF'!$D:$N,4,FALSE)</f>
        <v>free form</v>
      </c>
      <c r="D90" s="117" t="str">
        <f>INDEX('All sections of NIF PDF'!$B:$B,MATCH($A90,'All sections of NIF PDF'!$D:$D,0))</f>
        <v>LIM - Forecast Approval</v>
      </c>
      <c r="E90" s="117" t="str">
        <f>VLOOKUP($A90,'All sections of NIF PDF'!$D:$N,6,FALSE)</f>
        <v>LIM</v>
      </c>
      <c r="F90" s="117" t="str">
        <f>IF(VLOOKUP($A90,Definitions!$D:$E,2,FALSE)=0, "", VLOOKUP($A90,Definitions!$D:$E,2,FALSE))</f>
        <v>This is the Estimated Standard Cost of item being create.</v>
      </c>
      <c r="G90" s="117" t="str">
        <f>IF(VLOOKUP($A90,'All sections of NIF PDF'!$D:$N,11,FALSE)=0,"",VLOOKUP($A90,'All sections of NIF PDF'!$D:$N,11,FALSE))</f>
        <v/>
      </c>
    </row>
    <row r="91" spans="1:7" ht="28.9">
      <c r="A91" s="121" t="str">
        <f>'All sections of NIF PDF'!D91</f>
        <v>Specialty Channels Field Category</v>
      </c>
      <c r="B91" s="117">
        <f>INDEX('All sections of NIF PDF'!$A:$A,MATCH($A91,'All sections of NIF PDF'!$D:$D,0))</f>
        <v>1155</v>
      </c>
      <c r="C91" s="117" t="str">
        <f>VLOOKUP($A91,'All sections of NIF PDF'!$D:$N,4,FALSE)</f>
        <v>dd: reference list: PRL: KSC Field Category</v>
      </c>
      <c r="D91" s="117" t="str">
        <f>INDEX('All sections of NIF PDF'!$B:$B,MATCH($A91,'All sections of NIF PDF'!$D:$D,0))</f>
        <v>Requestor Update</v>
      </c>
      <c r="E91" s="117" t="str">
        <f>VLOOKUP($A91,'All sections of NIF PDF'!$D:$N,6,FALSE)</f>
        <v>Requestor</v>
      </c>
      <c r="F91" s="117" t="str">
        <f>IF(VLOOKUP($A91,Definitions!$D:$E,2,FALSE)=0, "", VLOOKUP($A91,Definitions!$D:$E,2,FALSE))</f>
        <v>This is the KSC Field Category field that is found in the Classification View.  It is used by AFH (Away From Home) for reporting purposes.</v>
      </c>
      <c r="G91" s="117" t="str">
        <f>IF(VLOOKUP($A91,'All sections of NIF PDF'!$D:$N,11,FALSE)=0,"",VLOOKUP($A91,'All sections of NIF PDF'!$D:$N,11,FALSE))</f>
        <v/>
      </c>
    </row>
    <row r="92" spans="1:7">
      <c r="A92" s="121" t="str">
        <f>'All sections of NIF PDF'!D92</f>
        <v>Red K Price</v>
      </c>
      <c r="B92" s="117">
        <f>INDEX('All sections of NIF PDF'!$A:$A,MATCH($A92,'All sections of NIF PDF'!$D:$D,0))</f>
        <v>1087</v>
      </c>
      <c r="C92" s="117" t="str">
        <f>VLOOKUP($A92,'All sections of NIF PDF'!$D:$N,4,FALSE)</f>
        <v>free form</v>
      </c>
      <c r="D92" s="117" t="str">
        <f>INDEX('All sections of NIF PDF'!$B:$B,MATCH($A92,'All sections of NIF PDF'!$D:$D,0))</f>
        <v>LIM - Forecast Approval</v>
      </c>
      <c r="E92" s="117" t="str">
        <f>VLOOKUP($A92,'All sections of NIF PDF'!$D:$N,6,FALSE)</f>
        <v>LIM</v>
      </c>
      <c r="F92" s="117" t="str">
        <f>IF(VLOOKUP($A92,Definitions!$D:$E,2,FALSE)=0, "", VLOOKUP($A92,Definitions!$D:$E,2,FALSE))</f>
        <v>This is the base price for all retail customers - based on case quantity</v>
      </c>
      <c r="G92" s="117" t="str">
        <f>IF(VLOOKUP($A92,'All sections of NIF PDF'!$D:$N,11,FALSE)=0,"",VLOOKUP($A92,'All sections of NIF PDF'!$D:$N,11,FALSE))</f>
        <v/>
      </c>
    </row>
    <row r="93" spans="1:7">
      <c r="A93" s="121" t="str">
        <f>'All sections of NIF PDF'!D93</f>
        <v>Material Prefix</v>
      </c>
      <c r="B93" s="117">
        <f>INDEX('All sections of NIF PDF'!$A:$A,MATCH($A93,'All sections of NIF PDF'!$D:$D,0))</f>
        <v>1088</v>
      </c>
      <c r="C93" s="117" t="str">
        <f>VLOOKUP($A93,'All sections of NIF PDF'!$D:$N,4,FALSE)</f>
        <v>autofill</v>
      </c>
      <c r="D93" s="117" t="str">
        <f>INDEX('All sections of NIF PDF'!$B:$B,MATCH($A93,'All sections of NIF PDF'!$D:$D,0))</f>
        <v>LIM - Forecast Approval</v>
      </c>
      <c r="E93" s="117" t="str">
        <f>VLOOKUP($A93,'All sections of NIF PDF'!$D:$N,6,FALSE)</f>
        <v>LIM</v>
      </c>
      <c r="F93" s="117" t="str">
        <f>IF(VLOOKUP($A93,Definitions!$D:$E,2,FALSE)=0, "", VLOOKUP($A93,Definitions!$D:$E,2,FALSE))</f>
        <v>Manufacturer ID Used to determine UPCs</v>
      </c>
      <c r="G93" s="117" t="str">
        <f>IF(VLOOKUP($A93,'All sections of NIF PDF'!$D:$N,11,FALSE)=0,"",VLOOKUP($A93,'All sections of NIF PDF'!$D:$N,11,FALSE))</f>
        <v>(same as Material Prefix Description)</v>
      </c>
    </row>
    <row r="94" spans="1:7" ht="28.9">
      <c r="A94" s="121" t="str">
        <f>'All sections of NIF PDF'!D94</f>
        <v>Transportation Group</v>
      </c>
      <c r="B94" s="117">
        <f>INDEX('All sections of NIF PDF'!$A:$A,MATCH($A94,'All sections of NIF PDF'!$D:$D,0))</f>
        <v>1089</v>
      </c>
      <c r="C94" s="117" t="str">
        <f>VLOOKUP($A94,'All sections of NIF PDF'!$D:$N,4,FALSE)</f>
        <v>dd: reference list: PRL: Transportation Group</v>
      </c>
      <c r="D94" s="117" t="str">
        <f>INDEX('All sections of NIF PDF'!$B:$B,MATCH($A94,'All sections of NIF PDF'!$D:$D,0))</f>
        <v>LIM - Forecast Approval</v>
      </c>
      <c r="E94" s="117" t="str">
        <f>VLOOKUP($A94,'All sections of NIF PDF'!$D:$N,6,FALSE)</f>
        <v>LIM</v>
      </c>
      <c r="F94" s="117" t="str">
        <f>IF(VLOOKUP($A94,Definitions!$D:$E,2,FALSE)=0, "", VLOOKUP($A94,Definitions!$D:$E,2,FALSE))</f>
        <v>A grouping of materials thatshare the same route and transportation requirements. Identifies how product will be transported and stored within the Kellanova network – Dry or Frozen</v>
      </c>
      <c r="G94" s="117" t="str">
        <f>IF(VLOOKUP($A94,'All sections of NIF PDF'!$D:$N,11,FALSE)=0,"",VLOOKUP($A94,'All sections of NIF PDF'!$D:$N,11,FALSE))</f>
        <v/>
      </c>
    </row>
    <row r="95" spans="1:7">
      <c r="A95" s="121" t="str">
        <f>'All sections of NIF PDF'!D95</f>
        <v>Net Case Weight</v>
      </c>
      <c r="B95" s="117">
        <f>INDEX('All sections of NIF PDF'!$A:$A,MATCH($A95,'All sections of NIF PDF'!$D:$D,0))</f>
        <v>1090</v>
      </c>
      <c r="C95" s="117" t="str">
        <f>VLOOKUP($A95,'All sections of NIF PDF'!$D:$N,4,FALSE)</f>
        <v>free form</v>
      </c>
      <c r="D95" s="117" t="str">
        <f>INDEX('All sections of NIF PDF'!$B:$B,MATCH($A95,'All sections of NIF PDF'!$D:$D,0))</f>
        <v>LIM - Forecast Approval</v>
      </c>
      <c r="E95" s="117" t="str">
        <f>VLOOKUP($A95,'All sections of NIF PDF'!$D:$N,6,FALSE)</f>
        <v>LIM</v>
      </c>
      <c r="F95" s="117" t="str">
        <f>IF(VLOOKUP($A95,Definitions!$D:$E,2,FALSE)=0, "", VLOOKUP($A95,Definitions!$D:$E,2,FALSE))</f>
        <v>The total case weight of the food only.  It does not include any packaging.</v>
      </c>
      <c r="G95" s="117" t="str">
        <f>IF(VLOOKUP($A95,'All sections of NIF PDF'!$D:$N,11,FALSE)=0,"",VLOOKUP($A95,'All sections of NIF PDF'!$D:$N,11,FALSE))</f>
        <v/>
      </c>
    </row>
    <row r="96" spans="1:7">
      <c r="A96" s="121" t="str">
        <f>'All sections of NIF PDF'!D96</f>
        <v>Metric Stated Net Pkg Wt</v>
      </c>
      <c r="B96" s="117">
        <f>INDEX('All sections of NIF PDF'!$A:$A,MATCH($A96,'All sections of NIF PDF'!$D:$D,0))</f>
        <v>1091</v>
      </c>
      <c r="C96" s="117" t="str">
        <f>VLOOKUP($A96,'All sections of NIF PDF'!$D:$N,4,FALSE)</f>
        <v>free form</v>
      </c>
      <c r="D96" s="117" t="str">
        <f>INDEX('All sections of NIF PDF'!$B:$B,MATCH($A96,'All sections of NIF PDF'!$D:$D,0))</f>
        <v>LIM - Forecast Approval</v>
      </c>
      <c r="E96" s="117" t="str">
        <f>VLOOKUP($A96,'All sections of NIF PDF'!$D:$N,6,FALSE)</f>
        <v>LIM</v>
      </c>
      <c r="F96" s="117" t="str">
        <f>IF(VLOOKUP($A96,Definitions!$D:$E,2,FALSE)=0, "", VLOOKUP($A96,Definitions!$D:$E,2,FALSE))</f>
        <v>This is the metric value for the stated net package weight typically indicated in Grams.</v>
      </c>
      <c r="G96" s="117" t="str">
        <f>IF(VLOOKUP($A96,'All sections of NIF PDF'!$D:$N,11,FALSE)=0,"",VLOOKUP($A96,'All sections of NIF PDF'!$D:$N,11,FALSE))</f>
        <v/>
      </c>
    </row>
    <row r="97" spans="1:7">
      <c r="A97" s="121" t="str">
        <f>'All sections of NIF PDF'!D97</f>
        <v>Imperial Stated Net Pkg Wt</v>
      </c>
      <c r="B97" s="117">
        <f>INDEX('All sections of NIF PDF'!$A:$A,MATCH($A97,'All sections of NIF PDF'!$D:$D,0))</f>
        <v>1092</v>
      </c>
      <c r="C97" s="117" t="str">
        <f>VLOOKUP($A97,'All sections of NIF PDF'!$D:$N,4,FALSE)</f>
        <v>free form</v>
      </c>
      <c r="D97" s="117" t="str">
        <f>INDEX('All sections of NIF PDF'!$B:$B,MATCH($A97,'All sections of NIF PDF'!$D:$D,0))</f>
        <v>LIM - Forecast Approval</v>
      </c>
      <c r="E97" s="117" t="str">
        <f>VLOOKUP($A97,'All sections of NIF PDF'!$D:$N,6,FALSE)</f>
        <v>LIM</v>
      </c>
      <c r="F97" s="117" t="str">
        <f>IF(VLOOKUP($A97,Definitions!$D:$E,2,FALSE)=0, "", VLOOKUP($A97,Definitions!$D:$E,2,FALSE))</f>
        <v>This is the imperial value for the stated net package weight typically indicated in Ounces.</v>
      </c>
      <c r="G97" s="117" t="str">
        <f>IF(VLOOKUP($A97,'All sections of NIF PDF'!$D:$N,11,FALSE)=0,"",VLOOKUP($A97,'All sections of NIF PDF'!$D:$N,11,FALSE))</f>
        <v/>
      </c>
    </row>
    <row r="98" spans="1:7" ht="28.9">
      <c r="A98" s="121" t="str">
        <f>'All sections of NIF PDF'!D98</f>
        <v>Country Sold In</v>
      </c>
      <c r="B98" s="117">
        <f>INDEX('All sections of NIF PDF'!$A:$A,MATCH($A98,'All sections of NIF PDF'!$D:$D,0))</f>
        <v>1093</v>
      </c>
      <c r="C98" s="117" t="str">
        <f>VLOOKUP($A98,'All sections of NIF PDF'!$D:$N,4,FALSE)</f>
        <v>dd: reference list: PRL: COUNTRY</v>
      </c>
      <c r="D98" s="117" t="str">
        <f>INDEX('All sections of NIF PDF'!$B:$B,MATCH($A98,'All sections of NIF PDF'!$D:$D,0))</f>
        <v>LIM - Forecast Approval</v>
      </c>
      <c r="E98" s="117" t="str">
        <f>VLOOKUP($A98,'All sections of NIF PDF'!$D:$N,6,FALSE)</f>
        <v>LIM</v>
      </c>
      <c r="F98" s="117" t="str">
        <f>IF(VLOOKUP($A98,Definitions!$D:$E,2,FALSE)=0, "", VLOOKUP($A98,Definitions!$D:$E,2,FALSE))</f>
        <v>Country that the item will be sold in.</v>
      </c>
      <c r="G98" s="117" t="str">
        <f>IF(VLOOKUP($A98,'All sections of NIF PDF'!$D:$N,11,FALSE)=0,"",VLOOKUP($A98,'All sections of NIF PDF'!$D:$N,11,FALSE))</f>
        <v/>
      </c>
    </row>
    <row r="99" spans="1:7" ht="100.9">
      <c r="A99" s="121" t="str">
        <f>'All sections of NIF PDF'!D99</f>
        <v>Location</v>
      </c>
      <c r="B99" s="117">
        <f>INDEX('All sections of NIF PDF'!$A:$A,MATCH($A99,'All sections of NIF PDF'!$D:$D,0))</f>
        <v>1094</v>
      </c>
      <c r="C99" s="117" t="str">
        <f>VLOOKUP($A99,'All sections of NIF PDF'!$D:$N,4,FALSE)</f>
        <v>dd: reference list: ZMMU table (not in RDL or PRL)</v>
      </c>
      <c r="D99" s="117" t="str">
        <f>INDEX('All sections of NIF PDF'!$B:$B,MATCH($A99,'All sections of NIF PDF'!$D:$D,0))</f>
        <v>LIM - Forecast Approval</v>
      </c>
      <c r="E99" s="117" t="str">
        <f>VLOOKUP($A99,'All sections of NIF PDF'!$D:$N,6,FALSE)</f>
        <v>LIM</v>
      </c>
      <c r="F99" s="117" t="str">
        <f>IF(VLOOKUP($A99,Definitions!$D:$E,2,FALSE)=0, "", VLOOKUP($A99,Definitions!$D:$E,2,FALSE))</f>
        <v>Manufacturing Location / Producing Plant(s) is the location where the food is processed.  The packing location should be completed if the SKU has been packaged at a location other than the processing location.  Repacked should be completed if item is repacked at another location to produce the SKU(fert) that is requested.  Please provide all line numbers even when processed and packaged in one location.  If an allergen is introduced, please indicate where in the next line item or populate NA.  If externally produced, choose Kellogg Owned if there is an SAP BOM, or Non Kellogg Owned Materials if there is not.</v>
      </c>
      <c r="G99" s="117" t="str">
        <f>IF(VLOOKUP($A99,'All sections of NIF PDF'!$D:$N,11,FALSE)=0,"",VLOOKUP($A99,'All sections of NIF PDF'!$D:$N,11,FALSE))</f>
        <v/>
      </c>
    </row>
    <row r="100" spans="1:7">
      <c r="A100" s="121" t="str">
        <f>'All sections of NIF PDF'!D100</f>
        <v>Location Description</v>
      </c>
      <c r="B100" s="117">
        <f>INDEX('All sections of NIF PDF'!$A:$A,MATCH($A100,'All sections of NIF PDF'!$D:$D,0))</f>
        <v>1095</v>
      </c>
      <c r="C100" s="117" t="str">
        <f>VLOOKUP($A100,'All sections of NIF PDF'!$D:$N,4,FALSE)</f>
        <v>autofill</v>
      </c>
      <c r="D100" s="117" t="str">
        <f>INDEX('All sections of NIF PDF'!$B:$B,MATCH($A100,'All sections of NIF PDF'!$D:$D,0))</f>
        <v>LIM - Forecast Approval</v>
      </c>
      <c r="E100" s="117" t="str">
        <f>VLOOKUP($A100,'All sections of NIF PDF'!$D:$N,6,FALSE)</f>
        <v>LIM</v>
      </c>
      <c r="F100" s="117" t="str">
        <f>IF(VLOOKUP($A100,Definitions!$D:$E,2,FALSE)=0, "", VLOOKUP($A100,Definitions!$D:$E,2,FALSE))</f>
        <v>Description of the manufacturing location.</v>
      </c>
      <c r="G100" s="117" t="str">
        <f>IF(VLOOKUP($A100,'All sections of NIF PDF'!$D:$N,11,FALSE)=0,"",VLOOKUP($A100,'All sections of NIF PDF'!$D:$N,11,FALSE))</f>
        <v/>
      </c>
    </row>
    <row r="101" spans="1:7" ht="72">
      <c r="A101" s="121" t="str">
        <f>'All sections of NIF PDF'!D101</f>
        <v>Inbound or Outbound</v>
      </c>
      <c r="B101" s="117">
        <f>INDEX('All sections of NIF PDF'!$A:$A,MATCH($A101,'All sections of NIF PDF'!$D:$D,0))</f>
        <v>1096</v>
      </c>
      <c r="C101" s="117" t="str">
        <f>VLOOKUP($A101,'All sections of NIF PDF'!$D:$N,4,FALSE)</f>
        <v>dd: INBOUND, OUTBOUND</v>
      </c>
      <c r="D101" s="117" t="str">
        <f>INDEX('All sections of NIF PDF'!$B:$B,MATCH($A101,'All sections of NIF PDF'!$D:$D,0))</f>
        <v>LIM - Forecast Approval</v>
      </c>
      <c r="E101" s="117" t="str">
        <f>VLOOKUP($A101,'All sections of NIF PDF'!$D:$N,6,FALSE)</f>
        <v>LIM</v>
      </c>
      <c r="F101" s="117" t="str">
        <f>IF(VLOOKUP($A101,Definitions!$D:$E,2,FALSE)=0, "", VLOOKUP($A101,Definitions!$D:$E,2,FALSE))</f>
        <v xml:space="preserve">Inbound or Outbound refers to how items are extended to locations; primarily plants &amp; Comans/CoPackers. Inbound means the item is produced at a different location, but shipped into this location for use in another item. Outbound means that the item is produced at the location. Ex. a case of product that is produced at a plant (Outbound), but shipped into a Coman (Inbound) to create a Club Pack. </v>
      </c>
      <c r="G101" s="117" t="str">
        <f>IF(VLOOKUP($A101,'All sections of NIF PDF'!$D:$N,11,FALSE)=0,"",VLOOKUP($A101,'All sections of NIF PDF'!$D:$N,11,FALSE))</f>
        <v/>
      </c>
    </row>
    <row r="102" spans="1:7" ht="43.15">
      <c r="A102" s="121" t="str">
        <f>'All sections of NIF PDF'!D102</f>
        <v>Kellogg Owned/Not Owned (Coman)</v>
      </c>
      <c r="B102" s="117">
        <f>INDEX('All sections of NIF PDF'!$A:$A,MATCH($A102,'All sections of NIF PDF'!$D:$D,0))</f>
        <v>1097</v>
      </c>
      <c r="C102" s="117" t="str">
        <f>VLOOKUP($A102,'All sections of NIF PDF'!$D:$N,4,FALSE)</f>
        <v>dd: KELLOGG OWNED, NOT OWNED (COMAN)</v>
      </c>
      <c r="D102" s="117" t="str">
        <f>INDEX('All sections of NIF PDF'!$B:$B,MATCH($A102,'All sections of NIF PDF'!$D:$D,0))</f>
        <v>LIM - Forecast Approval</v>
      </c>
      <c r="E102" s="117" t="str">
        <f>VLOOKUP($A102,'All sections of NIF PDF'!$D:$N,6,FALSE)</f>
        <v>LIM</v>
      </c>
      <c r="F102" s="117" t="str">
        <f>IF(VLOOKUP($A102,Definitions!$D:$E,2,FALSE)=0, "", VLOOKUP($A102,Definitions!$D:$E,2,FALSE))</f>
        <v>Kellogg Owned/Not Owned is needed for Coman/CoPacker locations only.  Kellogg owned means we are using Kellogg owned materials to produce the item, and there will be a BOM created in SAP.  Not Owned means the Coman is using their own materials and there will be no BOM in SAP.</v>
      </c>
      <c r="G102" s="117" t="str">
        <f>IF(VLOOKUP($A102,'All sections of NIF PDF'!$D:$N,11,FALSE)=0,"",VLOOKUP($A102,'All sections of NIF PDF'!$D:$N,11,FALSE))</f>
        <v/>
      </c>
    </row>
    <row r="103" spans="1:7" ht="28.9">
      <c r="A103" s="121" t="str">
        <f>'All sections of NIF PDF'!D103</f>
        <v>Flavor</v>
      </c>
      <c r="B103" s="117">
        <f>INDEX('All sections of NIF PDF'!$A:$A,MATCH($A103,'All sections of NIF PDF'!$D:$D,0))</f>
        <v>1098</v>
      </c>
      <c r="C103" s="117" t="str">
        <f>VLOOKUP($A103,'All sections of NIF PDF'!$D:$N,4,FALSE)</f>
        <v>dd: reference list: PRL: Flavor</v>
      </c>
      <c r="D103" s="117" t="str">
        <f>INDEX('All sections of NIF PDF'!$B:$B,MATCH($A103,'All sections of NIF PDF'!$D:$D,0))</f>
        <v>LIM - Forecast Approval</v>
      </c>
      <c r="E103" s="117" t="str">
        <f>VLOOKUP($A103,'All sections of NIF PDF'!$D:$N,6,FALSE)</f>
        <v>LIM</v>
      </c>
      <c r="F103" s="117" t="str">
        <f>IF(VLOOKUP($A103,Definitions!$D:$E,2,FALSE)=0, "", VLOOKUP($A103,Definitions!$D:$E,2,FALSE))</f>
        <v>Enter the flavor of the item you are requesting</v>
      </c>
      <c r="G103" s="117" t="str">
        <f>IF(VLOOKUP($A103,'All sections of NIF PDF'!$D:$N,11,FALSE)=0,"",VLOOKUP($A103,'All sections of NIF PDF'!$D:$N,11,FALSE))</f>
        <v/>
      </c>
    </row>
    <row r="104" spans="1:7" ht="28.9">
      <c r="A104" s="121" t="str">
        <f>'All sections of NIF PDF'!D104</f>
        <v>Food Form</v>
      </c>
      <c r="B104" s="117">
        <f>INDEX('All sections of NIF PDF'!$A:$A,MATCH($A104,'All sections of NIF PDF'!$D:$D,0))</f>
        <v>1099</v>
      </c>
      <c r="C104" s="117" t="str">
        <f>VLOOKUP($A104,'All sections of NIF PDF'!$D:$N,4,FALSE)</f>
        <v>dd: reference list: PRL: Food Form</v>
      </c>
      <c r="D104" s="117" t="str">
        <f>INDEX('All sections of NIF PDF'!$B:$B,MATCH($A104,'All sections of NIF PDF'!$D:$D,0))</f>
        <v>LIM - Forecast Approval</v>
      </c>
      <c r="E104" s="117" t="str">
        <f>VLOOKUP($A104,'All sections of NIF PDF'!$D:$N,6,FALSE)</f>
        <v>LIM</v>
      </c>
      <c r="F104" s="117" t="str">
        <f>IF(VLOOKUP($A104,Definitions!$D:$E,2,FALSE)=0, "", VLOOKUP($A104,Definitions!$D:$E,2,FALSE))</f>
        <v>If CA, value will be validated by Nutrition Labeling. Identifies the form of the food (i.e. cereal, crackers, bars, etc.) Used in the product description.</v>
      </c>
      <c r="G104" s="117" t="str">
        <f>IF(VLOOKUP($A104,'All sections of NIF PDF'!$D:$N,11,FALSE)=0,"",VLOOKUP($A104,'All sections of NIF PDF'!$D:$N,11,FALSE))</f>
        <v/>
      </c>
    </row>
    <row r="105" spans="1:7" ht="28.9">
      <c r="A105" s="121" t="str">
        <f>'All sections of NIF PDF'!D105</f>
        <v>Sub-Food Form</v>
      </c>
      <c r="B105" s="117">
        <f>INDEX('All sections of NIF PDF'!$A:$A,MATCH($A105,'All sections of NIF PDF'!$D:$D,0))</f>
        <v>1100</v>
      </c>
      <c r="C105" s="117" t="str">
        <f>VLOOKUP($A105,'All sections of NIF PDF'!$D:$N,4,FALSE)</f>
        <v>dd: reference list: PRL: Sub Food Form</v>
      </c>
      <c r="D105" s="117" t="str">
        <f>INDEX('All sections of NIF PDF'!$B:$B,MATCH($A105,'All sections of NIF PDF'!$D:$D,0))</f>
        <v>LIM - Forecast Approval</v>
      </c>
      <c r="E105" s="117" t="str">
        <f>VLOOKUP($A105,'All sections of NIF PDF'!$D:$N,6,FALSE)</f>
        <v>LIM</v>
      </c>
      <c r="F105" s="117" t="str">
        <f>IF(VLOOKUP($A105,Definitions!$D:$E,2,FALSE)=0, "", VLOOKUP($A105,Definitions!$D:$E,2,FALSE))</f>
        <v>Additional way to further define the form of the food (i.e. bites, buds, cup, etc.) Used in the product description.</v>
      </c>
      <c r="G105" s="117" t="str">
        <f>IF(VLOOKUP($A105,'All sections of NIF PDF'!$D:$N,11,FALSE)=0,"",VLOOKUP($A105,'All sections of NIF PDF'!$D:$N,11,FALSE))</f>
        <v/>
      </c>
    </row>
    <row r="106" spans="1:7" ht="43.15">
      <c r="A106" s="121" t="str">
        <f>'All sections of NIF PDF'!D106</f>
        <v>Material Segment Description</v>
      </c>
      <c r="B106" s="117">
        <f>INDEX('All sections of NIF PDF'!$A:$A,MATCH($A106,'All sections of NIF PDF'!$D:$D,0))</f>
        <v>1101</v>
      </c>
      <c r="C106" s="117" t="str">
        <f>VLOOKUP($A106,'All sections of NIF PDF'!$D:$N,4,FALSE)</f>
        <v>dd: reference list: PRL: Product Hierarchy Market Segment</v>
      </c>
      <c r="D106" s="117" t="str">
        <f>INDEX('All sections of NIF PDF'!$B:$B,MATCH($A106,'All sections of NIF PDF'!$D:$D,0))</f>
        <v>LIM - Forecast Approval</v>
      </c>
      <c r="E106" s="117" t="str">
        <f>VLOOKUP($A106,'All sections of NIF PDF'!$D:$N,6,FALSE)</f>
        <v>LIM</v>
      </c>
      <c r="F106" s="117" t="str">
        <f>IF(VLOOKUP($A106,Definitions!$D:$E,2,FALSE)=0, "", VLOOKUP($A106,Definitions!$D:$E,2,FALSE))</f>
        <v>The Material Segment refers to the portion of the product hierarchy that is defined at the material level, allowing you to categorize products for reporting, pricing, and analytics. Ex. Convenience Foods.</v>
      </c>
      <c r="G106" s="117" t="str">
        <f>IF(VLOOKUP($A106,'All sections of NIF PDF'!$D:$N,11,FALSE)=0,"",VLOOKUP($A106,'All sections of NIF PDF'!$D:$N,11,FALSE))</f>
        <v/>
      </c>
    </row>
    <row r="107" spans="1:7" ht="43.15">
      <c r="A107" s="121" t="str">
        <f>'All sections of NIF PDF'!D107</f>
        <v>Material Segment #</v>
      </c>
      <c r="B107" s="117">
        <f>INDEX('All sections of NIF PDF'!$A:$A,MATCH($A107,'All sections of NIF PDF'!$D:$D,0))</f>
        <v>1102</v>
      </c>
      <c r="C107" s="117" t="str">
        <f>VLOOKUP($A107,'All sections of NIF PDF'!$D:$N,4,FALSE)</f>
        <v>dd: reference list: PRL: Product Hierarchy Market Segment</v>
      </c>
      <c r="D107" s="117" t="str">
        <f>INDEX('All sections of NIF PDF'!$B:$B,MATCH($A107,'All sections of NIF PDF'!$D:$D,0))</f>
        <v>LIM - Forecast Approval</v>
      </c>
      <c r="E107" s="117" t="str">
        <f>VLOOKUP($A107,'All sections of NIF PDF'!$D:$N,6,FALSE)</f>
        <v>LIM</v>
      </c>
      <c r="F107" s="117" t="str">
        <f>IF(VLOOKUP($A107,Definitions!$D:$E,2,FALSE)=0, "", VLOOKUP($A107,Definitions!$D:$E,2,FALSE))</f>
        <v>The numerical representation of the Material Segment.</v>
      </c>
      <c r="G107" s="117" t="str">
        <f>IF(VLOOKUP($A107,'All sections of NIF PDF'!$D:$N,11,FALSE)=0,"",VLOOKUP($A107,'All sections of NIF PDF'!$D:$N,11,FALSE))</f>
        <v/>
      </c>
    </row>
    <row r="108" spans="1:7" ht="43.15">
      <c r="A108" s="121" t="str">
        <f>'All sections of NIF PDF'!D108</f>
        <v>Category Description</v>
      </c>
      <c r="B108" s="117">
        <f>INDEX('All sections of NIF PDF'!$A:$A,MATCH($A108,'All sections of NIF PDF'!$D:$D,0))</f>
        <v>1103</v>
      </c>
      <c r="C108" s="117" t="str">
        <f>VLOOKUP($A108,'All sections of NIF PDF'!$D:$N,4,FALSE)</f>
        <v>dd: reference list: PRL: Product Hierarchy Market Category</v>
      </c>
      <c r="D108" s="117" t="str">
        <f>INDEX('All sections of NIF PDF'!$B:$B,MATCH($A108,'All sections of NIF PDF'!$D:$D,0))</f>
        <v>LIM - Forecast Approval</v>
      </c>
      <c r="E108" s="117" t="str">
        <f>VLOOKUP($A108,'All sections of NIF PDF'!$D:$N,6,FALSE)</f>
        <v>LIM</v>
      </c>
      <c r="F108" s="117" t="str">
        <f>IF(VLOOKUP($A108,Definitions!$D:$E,2,FALSE)=0, "", VLOOKUP($A108,Definitions!$D:$E,2,FALSE))</f>
        <v>The Category description is the way to describe what a product group or type is. Ex. Frozen Breakfast</v>
      </c>
      <c r="G108" s="117" t="str">
        <f>IF(VLOOKUP($A108,'All sections of NIF PDF'!$D:$N,11,FALSE)=0,"",VLOOKUP($A108,'All sections of NIF PDF'!$D:$N,11,FALSE))</f>
        <v/>
      </c>
    </row>
    <row r="109" spans="1:7" ht="43.15">
      <c r="A109" s="121" t="str">
        <f>'All sections of NIF PDF'!D109</f>
        <v>Category #</v>
      </c>
      <c r="B109" s="117">
        <f>INDEX('All sections of NIF PDF'!$A:$A,MATCH($A109,'All sections of NIF PDF'!$D:$D,0))</f>
        <v>1104</v>
      </c>
      <c r="C109" s="117" t="str">
        <f>VLOOKUP($A109,'All sections of NIF PDF'!$D:$N,4,FALSE)</f>
        <v>dd: reference list: PRL: Product Hierarchy Market Category</v>
      </c>
      <c r="D109" s="117" t="str">
        <f>INDEX('All sections of NIF PDF'!$B:$B,MATCH($A109,'All sections of NIF PDF'!$D:$D,0))</f>
        <v>LIM - Forecast Approval</v>
      </c>
      <c r="E109" s="117" t="str">
        <f>VLOOKUP($A109,'All sections of NIF PDF'!$D:$N,6,FALSE)</f>
        <v>LIM</v>
      </c>
      <c r="F109" s="117" t="str">
        <f>IF(VLOOKUP($A109,Definitions!$D:$E,2,FALSE)=0, "", VLOOKUP($A109,Definitions!$D:$E,2,FALSE))</f>
        <v>The numerical representation of the Category.</v>
      </c>
      <c r="G109" s="117" t="str">
        <f>IF(VLOOKUP($A109,'All sections of NIF PDF'!$D:$N,11,FALSE)=0,"",VLOOKUP($A109,'All sections of NIF PDF'!$D:$N,11,FALSE))</f>
        <v/>
      </c>
    </row>
    <row r="110" spans="1:7" ht="43.15">
      <c r="A110" s="121" t="str">
        <f>'All sections of NIF PDF'!D110</f>
        <v>Sub-Category Description</v>
      </c>
      <c r="B110" s="117">
        <f>INDEX('All sections of NIF PDF'!$A:$A,MATCH($A110,'All sections of NIF PDF'!$D:$D,0))</f>
        <v>1105</v>
      </c>
      <c r="C110" s="117" t="str">
        <f>VLOOKUP($A110,'All sections of NIF PDF'!$D:$N,4,FALSE)</f>
        <v>dd: reference list: PRL: Product Hierarchy Market Sub-Category</v>
      </c>
      <c r="D110" s="117" t="str">
        <f>INDEX('All sections of NIF PDF'!$B:$B,MATCH($A110,'All sections of NIF PDF'!$D:$D,0))</f>
        <v>LIM - Forecast Approval</v>
      </c>
      <c r="E110" s="117" t="str">
        <f>VLOOKUP($A110,'All sections of NIF PDF'!$D:$N,6,FALSE)</f>
        <v>LIM</v>
      </c>
      <c r="F110" s="117" t="str">
        <f>IF(VLOOKUP($A110,Definitions!$D:$E,2,FALSE)=0, "", VLOOKUP($A110,Definitions!$D:$E,2,FALSE))</f>
        <v>The Sub-Category is the second level in the product hierarchy that further classifies a product within a broader category. Ex. Waffles.</v>
      </c>
      <c r="G110" s="117" t="str">
        <f>IF(VLOOKUP($A110,'All sections of NIF PDF'!$D:$N,11,FALSE)=0,"",VLOOKUP($A110,'All sections of NIF PDF'!$D:$N,11,FALSE))</f>
        <v/>
      </c>
    </row>
    <row r="111" spans="1:7" ht="43.15">
      <c r="A111" s="121" t="str">
        <f>'All sections of NIF PDF'!D111</f>
        <v>Sub-Category #</v>
      </c>
      <c r="B111" s="117">
        <f>INDEX('All sections of NIF PDF'!$A:$A,MATCH($A111,'All sections of NIF PDF'!$D:$D,0))</f>
        <v>1106</v>
      </c>
      <c r="C111" s="117" t="str">
        <f>VLOOKUP($A111,'All sections of NIF PDF'!$D:$N,4,FALSE)</f>
        <v>dd: reference list: PRL: Product Hierarchy Market Sub-Category</v>
      </c>
      <c r="D111" s="117" t="str">
        <f>INDEX('All sections of NIF PDF'!$B:$B,MATCH($A111,'All sections of NIF PDF'!$D:$D,0))</f>
        <v>LIM - Forecast Approval</v>
      </c>
      <c r="E111" s="117" t="str">
        <f>VLOOKUP($A111,'All sections of NIF PDF'!$D:$N,6,FALSE)</f>
        <v>LIM</v>
      </c>
      <c r="F111" s="117" t="str">
        <f>IF(VLOOKUP($A111,Definitions!$D:$E,2,FALSE)=0, "", VLOOKUP($A111,Definitions!$D:$E,2,FALSE))</f>
        <v>The numerical representation of the Sub-Category.</v>
      </c>
      <c r="G111" s="117" t="str">
        <f>IF(VLOOKUP($A111,'All sections of NIF PDF'!$D:$N,11,FALSE)=0,"",VLOOKUP($A111,'All sections of NIF PDF'!$D:$N,11,FALSE))</f>
        <v/>
      </c>
    </row>
    <row r="112" spans="1:7" ht="28.9">
      <c r="A112" s="121" t="str">
        <f>'All sections of NIF PDF'!D112</f>
        <v>Brand Description</v>
      </c>
      <c r="B112" s="117">
        <f>INDEX('All sections of NIF PDF'!$A:$A,MATCH($A112,'All sections of NIF PDF'!$D:$D,0))</f>
        <v>1107</v>
      </c>
      <c r="C112" s="117" t="str">
        <f>VLOOKUP($A112,'All sections of NIF PDF'!$D:$N,4,FALSE)</f>
        <v>dd: reference list: PRL: Product Hierarchy Brand</v>
      </c>
      <c r="D112" s="117" t="str">
        <f>INDEX('All sections of NIF PDF'!$B:$B,MATCH($A112,'All sections of NIF PDF'!$D:$D,0))</f>
        <v>LIM - Forecast Approval</v>
      </c>
      <c r="E112" s="117" t="str">
        <f>VLOOKUP($A112,'All sections of NIF PDF'!$D:$N,6,FALSE)</f>
        <v>LIM</v>
      </c>
      <c r="F112" s="117" t="str">
        <f>IF(VLOOKUP($A112,Definitions!$D:$E,2,FALSE)=0, "", VLOOKUP($A112,Definitions!$D:$E,2,FALSE))</f>
        <v>The Brand is a level in the product hierarchy that identifies the specific brand name under which a product is marketed or sold.  EX Eggo, Nutri-Grain, Townhouse, Pringles.</v>
      </c>
      <c r="G112" s="117" t="str">
        <f>IF(VLOOKUP($A112,'All sections of NIF PDF'!$D:$N,11,FALSE)=0,"",VLOOKUP($A112,'All sections of NIF PDF'!$D:$N,11,FALSE))</f>
        <v/>
      </c>
    </row>
    <row r="113" spans="1:7" ht="28.9">
      <c r="A113" s="121" t="str">
        <f>'All sections of NIF PDF'!D113</f>
        <v>Brand Number</v>
      </c>
      <c r="B113" s="117">
        <f>INDEX('All sections of NIF PDF'!$A:$A,MATCH($A113,'All sections of NIF PDF'!$D:$D,0))</f>
        <v>1108</v>
      </c>
      <c r="C113" s="117" t="str">
        <f>VLOOKUP($A113,'All sections of NIF PDF'!$D:$N,4,FALSE)</f>
        <v>dd: reference list: PRL: Product Hierarchy Brand</v>
      </c>
      <c r="D113" s="117" t="str">
        <f>INDEX('All sections of NIF PDF'!$B:$B,MATCH($A113,'All sections of NIF PDF'!$D:$D,0))</f>
        <v>LIM - Forecast Approval</v>
      </c>
      <c r="E113" s="117" t="str">
        <f>VLOOKUP($A113,'All sections of NIF PDF'!$D:$N,6,FALSE)</f>
        <v>LIM</v>
      </c>
      <c r="F113" s="117" t="str">
        <f>IF(VLOOKUP($A113,Definitions!$D:$E,2,FALSE)=0, "", VLOOKUP($A113,Definitions!$D:$E,2,FALSE))</f>
        <v>The numerical representation of the Brand.</v>
      </c>
      <c r="G113" s="117" t="str">
        <f>IF(VLOOKUP($A113,'All sections of NIF PDF'!$D:$N,11,FALSE)=0,"",VLOOKUP($A113,'All sections of NIF PDF'!$D:$N,11,FALSE))</f>
        <v/>
      </c>
    </row>
    <row r="114" spans="1:7" ht="57.6">
      <c r="A114" s="121" t="str">
        <f>'All sections of NIF PDF'!D114</f>
        <v>Type Description</v>
      </c>
      <c r="B114" s="117">
        <f>INDEX('All sections of NIF PDF'!$A:$A,MATCH($A114,'All sections of NIF PDF'!$D:$D,0))</f>
        <v>1109</v>
      </c>
      <c r="C114" s="117" t="str">
        <f>VLOOKUP($A114,'All sections of NIF PDF'!$D:$N,4,FALSE)</f>
        <v>dd: reference list: PRL: Product Hierarchy Type</v>
      </c>
      <c r="D114" s="117" t="str">
        <f>INDEX('All sections of NIF PDF'!$B:$B,MATCH($A114,'All sections of NIF PDF'!$D:$D,0))</f>
        <v>LIM - Forecast Approval</v>
      </c>
      <c r="E114" s="117" t="str">
        <f>VLOOKUP($A114,'All sections of NIF PDF'!$D:$N,6,FALSE)</f>
        <v>LIM</v>
      </c>
      <c r="F114" s="117" t="str">
        <f>IF(VLOOKUP($A114,Definitions!$D:$E,2,FALSE)=0, "", VLOOKUP($A114,Definitions!$D:$E,2,FALSE))</f>
        <v>The Type is the most detailed level of the product hierarchy that specifies the exact kind or variation of a product. It helps distinguish between similar products within the same brand or category—such as flavor, size, or packaging. For example, under the brand "Pringles," the type might be "Sour Cream &amp; Onion – 5 oz can." This level supports precise reporting, pricing, and product management.</v>
      </c>
      <c r="G114" s="117" t="str">
        <f>IF(VLOOKUP($A114,'All sections of NIF PDF'!$D:$N,11,FALSE)=0,"",VLOOKUP($A114,'All sections of NIF PDF'!$D:$N,11,FALSE))</f>
        <v/>
      </c>
    </row>
    <row r="115" spans="1:7" ht="28.9">
      <c r="A115" s="121" t="str">
        <f>'All sections of NIF PDF'!D115</f>
        <v>Type #</v>
      </c>
      <c r="B115" s="117">
        <f>INDEX('All sections of NIF PDF'!$A:$A,MATCH($A115,'All sections of NIF PDF'!$D:$D,0))</f>
        <v>1110</v>
      </c>
      <c r="C115" s="117" t="str">
        <f>VLOOKUP($A115,'All sections of NIF PDF'!$D:$N,4,FALSE)</f>
        <v>dd: reference list: PRL: Product Hierarchy Type</v>
      </c>
      <c r="D115" s="117" t="str">
        <f>INDEX('All sections of NIF PDF'!$B:$B,MATCH($A115,'All sections of NIF PDF'!$D:$D,0))</f>
        <v>LIM - Forecast Approval</v>
      </c>
      <c r="E115" s="117" t="str">
        <f>VLOOKUP($A115,'All sections of NIF PDF'!$D:$N,6,FALSE)</f>
        <v>LIM</v>
      </c>
      <c r="F115" s="117" t="str">
        <f>IF(VLOOKUP($A115,Definitions!$D:$E,2,FALSE)=0, "", VLOOKUP($A115,Definitions!$D:$E,2,FALSE))</f>
        <v>The numerical representation of the Type.</v>
      </c>
      <c r="G115" s="117" t="str">
        <f>IF(VLOOKUP($A115,'All sections of NIF PDF'!$D:$N,11,FALSE)=0,"",VLOOKUP($A115,'All sections of NIF PDF'!$D:$N,11,FALSE))</f>
        <v/>
      </c>
    </row>
    <row r="116" spans="1:7" ht="43.15">
      <c r="A116" s="121" t="str">
        <f>'All sections of NIF PDF'!D116</f>
        <v>Sub-Type Description</v>
      </c>
      <c r="B116" s="117">
        <f>INDEX('All sections of NIF PDF'!$A:$A,MATCH($A116,'All sections of NIF PDF'!$D:$D,0))</f>
        <v>1111</v>
      </c>
      <c r="C116" s="117" t="str">
        <f>VLOOKUP($A116,'All sections of NIF PDF'!$D:$N,4,FALSE)</f>
        <v>dd: reference list: PRL: Product Hierarchy Sub-Type</v>
      </c>
      <c r="D116" s="117" t="str">
        <f>INDEX('All sections of NIF PDF'!$B:$B,MATCH($A116,'All sections of NIF PDF'!$D:$D,0))</f>
        <v>LIM - Forecast Approval</v>
      </c>
      <c r="E116" s="117" t="str">
        <f>VLOOKUP($A116,'All sections of NIF PDF'!$D:$N,6,FALSE)</f>
        <v>LIM</v>
      </c>
      <c r="F116" s="117" t="str">
        <f>IF(VLOOKUP($A116,Definitions!$D:$E,2,FALSE)=0, "", VLOOKUP($A116,Definitions!$D:$E,2,FALSE))</f>
        <v>The Sub-Type is the most specific level of the product hierarchy that identifies detailed variations of a product, such as flavor, size, packaging style, or regional version. It allows us to track and manage products with fine granularity, which is useful for targeted pricing, promotions, and reporting.</v>
      </c>
      <c r="G116" s="117" t="str">
        <f>IF(VLOOKUP($A116,'All sections of NIF PDF'!$D:$N,11,FALSE)=0,"",VLOOKUP($A116,'All sections of NIF PDF'!$D:$N,11,FALSE))</f>
        <v/>
      </c>
    </row>
    <row r="117" spans="1:7" ht="28.9">
      <c r="A117" s="121" t="str">
        <f>'All sections of NIF PDF'!D117</f>
        <v>Sub-Type #</v>
      </c>
      <c r="B117" s="117">
        <f>INDEX('All sections of NIF PDF'!$A:$A,MATCH($A117,'All sections of NIF PDF'!$D:$D,0))</f>
        <v>1112</v>
      </c>
      <c r="C117" s="117" t="str">
        <f>VLOOKUP($A117,'All sections of NIF PDF'!$D:$N,4,FALSE)</f>
        <v>dd: reference list: PRL: Product Hierarchy Sub-Type</v>
      </c>
      <c r="D117" s="117" t="str">
        <f>INDEX('All sections of NIF PDF'!$B:$B,MATCH($A117,'All sections of NIF PDF'!$D:$D,0))</f>
        <v>LIM - Forecast Approval</v>
      </c>
      <c r="E117" s="117" t="str">
        <f>VLOOKUP($A117,'All sections of NIF PDF'!$D:$N,6,FALSE)</f>
        <v>LIM</v>
      </c>
      <c r="F117" s="117" t="str">
        <f>IF(VLOOKUP($A117,Definitions!$D:$E,2,FALSE)=0, "", VLOOKUP($A117,Definitions!$D:$E,2,FALSE))</f>
        <v>The numerical representation of the Sub-Type.</v>
      </c>
      <c r="G117" s="117" t="str">
        <f>IF(VLOOKUP($A117,'All sections of NIF PDF'!$D:$N,11,FALSE)=0,"",VLOOKUP($A117,'All sections of NIF PDF'!$D:$N,11,FALSE))</f>
        <v/>
      </c>
    </row>
    <row r="118" spans="1:7" ht="57.6">
      <c r="A118" s="121" t="str">
        <f>'All sections of NIF PDF'!D118</f>
        <v>Forecast Entry Options</v>
      </c>
      <c r="B118" s="117">
        <f>INDEX('All sections of NIF PDF'!$A:$A,MATCH($A118,'All sections of NIF PDF'!$D:$D,0))</f>
        <v>1113</v>
      </c>
      <c r="C118" s="117" t="str">
        <f>VLOOKUP($A118,'All sections of NIF PDF'!$D:$N,4,FALSE)</f>
        <v>radio button: DEFAULTS, ESTIMATED, ACTUALS</v>
      </c>
      <c r="D118" s="117" t="str">
        <f>INDEX('All sections of NIF PDF'!$B:$B,MATCH($A118,'All sections of NIF PDF'!$D:$D,0))</f>
        <v>LIM - Forecast Approval</v>
      </c>
      <c r="E118" s="117" t="str">
        <f>VLOOKUP($A118,'All sections of NIF PDF'!$D:$N,6,FALSE)</f>
        <v>LIM</v>
      </c>
      <c r="F118" s="117" t="str">
        <f>IF(VLOOKUP($A118,Definitions!$D:$E,2,FALSE)=0, "", VLOOKUP($A118,Definitions!$D:$E,2,FALSE))</f>
        <v>Entry Options: Defaults, Estimated or Actuals.  Defaults will automatically load default values (X=1 Y=1 Length=1 Width=1 Height=1 Enter Gross Weights which are more than the Net Weights.  Estimated: User will enter estimate values and Packaging Tech will need to confirm.  Actuals: User will enter the actual values</v>
      </c>
      <c r="G118" s="117" t="str">
        <f>IF(VLOOKUP($A118,'All sections of NIF PDF'!$D:$N,11,FALSE)=0,"",VLOOKUP($A118,'All sections of NIF PDF'!$D:$N,11,FALSE))</f>
        <v/>
      </c>
    </row>
    <row r="119" spans="1:7" ht="28.9">
      <c r="A119" s="121" t="str">
        <f>'All sections of NIF PDF'!D119</f>
        <v>X</v>
      </c>
      <c r="B119" s="117">
        <f>INDEX('All sections of NIF PDF'!$A:$A,MATCH($A119,'All sections of NIF PDF'!$D:$D,0))</f>
        <v>1114</v>
      </c>
      <c r="C119" s="117" t="str">
        <f>VLOOKUP($A119,'All sections of NIF PDF'!$D:$N,4,FALSE)</f>
        <v>free form</v>
      </c>
      <c r="D119" s="117" t="str">
        <f>INDEX('All sections of NIF PDF'!$B:$B,MATCH($A119,'All sections of NIF PDF'!$D:$D,0))</f>
        <v>LIM - Forecast Approval</v>
      </c>
      <c r="E119" s="117" t="str">
        <f>VLOOKUP($A119,'All sections of NIF PDF'!$D:$N,6,FALSE)</f>
        <v>LIM</v>
      </c>
      <c r="F119" s="117" t="str">
        <f>IF(VLOOKUP($A119,Definitions!$D:$E,2,FALSE)=0, "", VLOOKUP($A119,Definitions!$D:$E,2,FALSE))</f>
        <v>Denominator of the quotient that specifies the ratio of the alternative unit of measure to the base unit of measure.</v>
      </c>
      <c r="G119" s="117" t="str">
        <f>IF(VLOOKUP($A119,'All sections of NIF PDF'!$D:$N,11,FALSE)=0,"",VLOOKUP($A119,'All sections of NIF PDF'!$D:$N,11,FALSE))</f>
        <v/>
      </c>
    </row>
    <row r="120" spans="1:7" ht="28.9">
      <c r="A120" s="121" t="str">
        <f>'All sections of NIF PDF'!D120</f>
        <v>Alt UOM</v>
      </c>
      <c r="B120" s="117">
        <f>INDEX('All sections of NIF PDF'!$A:$A,MATCH($A120,'All sections of NIF PDF'!$D:$D,0))</f>
        <v>1071</v>
      </c>
      <c r="C120" s="117" t="str">
        <f>VLOOKUP($A120,'All sections of NIF PDF'!$D:$N,4,FALSE)</f>
        <v>autofill</v>
      </c>
      <c r="D120" s="117" t="str">
        <f>INDEX('All sections of NIF PDF'!$B:$B,MATCH($A120,'All sections of NIF PDF'!$D:$D,0))</f>
        <v>Masterfiles - Get Codes</v>
      </c>
      <c r="E120" s="117" t="str">
        <f>VLOOKUP($A120,'All sections of NIF PDF'!$D:$N,6,FALSE)</f>
        <v>Masterfiles</v>
      </c>
      <c r="F120" s="117" t="str">
        <f>IF(VLOOKUP($A120,Definitions!$D:$E,2,FALSE)=0, "", VLOOKUP($A120,Definitions!$D:$E,2,FALSE))</f>
        <v>In SAP Material Master, Alternative Unit of Measure (UoM) fields are used to define additional units in which a material can be measured, besides its base unit of measure.</v>
      </c>
      <c r="G120" s="117" t="str">
        <f>IF(VLOOKUP($A120,'All sections of NIF PDF'!$D:$N,11,FALSE)=0,"",VLOOKUP($A120,'All sections of NIF PDF'!$D:$N,11,FALSE))</f>
        <v/>
      </c>
    </row>
    <row r="121" spans="1:7">
      <c r="A121" s="121" t="str">
        <f>'All sections of NIF PDF'!D121</f>
        <v>&lt;=&gt;</v>
      </c>
      <c r="B121" s="117">
        <f>INDEX('All sections of NIF PDF'!$A:$A,MATCH($A121,'All sections of NIF PDF'!$D:$D,0))</f>
        <v>1115</v>
      </c>
      <c r="C121" s="117" t="str">
        <f>VLOOKUP($A121,'All sections of NIF PDF'!$D:$N,4,FALSE)</f>
        <v>autofill</v>
      </c>
      <c r="D121" s="117" t="str">
        <f>INDEX('All sections of NIF PDF'!$B:$B,MATCH($A121,'All sections of NIF PDF'!$D:$D,0))</f>
        <v>LIM - Forecast Approval</v>
      </c>
      <c r="E121" s="117" t="str">
        <f>VLOOKUP($A121,'All sections of NIF PDF'!$D:$N,6,FALSE)</f>
        <v>LIM</v>
      </c>
      <c r="F121" s="117" t="str">
        <f>IF(VLOOKUP($A121,Definitions!$D:$E,2,FALSE)=0, "", VLOOKUP($A121,Definitions!$D:$E,2,FALSE))</f>
        <v>Represents the conversion factor.</v>
      </c>
      <c r="G121" s="117" t="str">
        <f>IF(VLOOKUP($A121,'All sections of NIF PDF'!$D:$N,11,FALSE)=0,"",VLOOKUP($A121,'All sections of NIF PDF'!$D:$N,11,FALSE))</f>
        <v/>
      </c>
    </row>
    <row r="122" spans="1:7" ht="28.9">
      <c r="A122" s="121" t="str">
        <f>'All sections of NIF PDF'!D122</f>
        <v>Y</v>
      </c>
      <c r="B122" s="117">
        <f>INDEX('All sections of NIF PDF'!$A:$A,MATCH($A122,'All sections of NIF PDF'!$D:$D,0))</f>
        <v>1116</v>
      </c>
      <c r="C122" s="117" t="str">
        <f>VLOOKUP($A122,'All sections of NIF PDF'!$D:$N,4,FALSE)</f>
        <v>free form</v>
      </c>
      <c r="D122" s="117" t="str">
        <f>INDEX('All sections of NIF PDF'!$B:$B,MATCH($A122,'All sections of NIF PDF'!$D:$D,0))</f>
        <v>LIM - Forecast Approval</v>
      </c>
      <c r="E122" s="117" t="str">
        <f>VLOOKUP($A122,'All sections of NIF PDF'!$D:$N,6,FALSE)</f>
        <v>LIM</v>
      </c>
      <c r="F122" s="117" t="str">
        <f>IF(VLOOKUP($A122,Definitions!$D:$E,2,FALSE)=0, "", VLOOKUP($A122,Definitions!$D:$E,2,FALSE))</f>
        <v>Numerator of the quotient that specifies the ratio of the alternative unit of measure to the base unit of measure.</v>
      </c>
      <c r="G122" s="117" t="str">
        <f>IF(VLOOKUP($A122,'All sections of NIF PDF'!$D:$N,11,FALSE)=0,"",VLOOKUP($A122,'All sections of NIF PDF'!$D:$N,11,FALSE))</f>
        <v/>
      </c>
    </row>
    <row r="123" spans="1:7" ht="43.15">
      <c r="A123" s="121" t="str">
        <f>'All sections of NIF PDF'!D123</f>
        <v>Base UOM</v>
      </c>
      <c r="B123" s="117">
        <f>INDEX('All sections of NIF PDF'!$A:$A,MATCH($A123,'All sections of NIF PDF'!$D:$D,0))</f>
        <v>1117</v>
      </c>
      <c r="C123" s="117" t="str">
        <f>VLOOKUP($A123,'All sections of NIF PDF'!$D:$N,4,FALSE)</f>
        <v>autofill</v>
      </c>
      <c r="D123" s="117" t="str">
        <f>INDEX('All sections of NIF PDF'!$B:$B,MATCH($A123,'All sections of NIF PDF'!$D:$D,0))</f>
        <v>LIM - Forecast Approval</v>
      </c>
      <c r="E123" s="117" t="str">
        <f>VLOOKUP($A123,'All sections of NIF PDF'!$D:$N,6,FALSE)</f>
        <v>LIM</v>
      </c>
      <c r="F123" s="117" t="str">
        <f>IF(VLOOKUP($A123,Definitions!$D:$E,2,FALSE)=0, "", VLOOKUP($A123,Definitions!$D:$E,2,FALSE))</f>
        <v>Base Unit of Measure is the unit of measure in which stocks of the material are managed. The system converts all the quantities you enter in other units of measure (alternative units of measure) to the base unit of measure.</v>
      </c>
      <c r="G123" s="117" t="str">
        <f>IF(VLOOKUP($A123,'All sections of NIF PDF'!$D:$N,11,FALSE)=0,"",VLOOKUP($A123,'All sections of NIF PDF'!$D:$N,11,FALSE))</f>
        <v/>
      </c>
    </row>
    <row r="124" spans="1:7">
      <c r="A124" s="121" t="str">
        <f>'All sections of NIF PDF'!D124</f>
        <v>Length</v>
      </c>
      <c r="B124" s="117">
        <f>INDEX('All sections of NIF PDF'!$A:$A,MATCH($A124,'All sections of NIF PDF'!$D:$D,0))</f>
        <v>1118</v>
      </c>
      <c r="C124" s="117" t="str">
        <f>VLOOKUP($A124,'All sections of NIF PDF'!$D:$N,4,FALSE)</f>
        <v>free form</v>
      </c>
      <c r="D124" s="117" t="str">
        <f>INDEX('All sections of NIF PDF'!$B:$B,MATCH($A124,'All sections of NIF PDF'!$D:$D,0))</f>
        <v>LIM - Forecast Approval</v>
      </c>
      <c r="E124" s="117" t="str">
        <f>VLOOKUP($A124,'All sections of NIF PDF'!$D:$N,6,FALSE)</f>
        <v>LIM</v>
      </c>
      <c r="F124" s="117" t="str">
        <f>IF(VLOOKUP($A124,Definitions!$D:$E,2,FALSE)=0, "", VLOOKUP($A124,Definitions!$D:$E,2,FALSE))</f>
        <v>Length is the length of the material or its packaging, measured in the unit of dimension.</v>
      </c>
      <c r="G124" s="117" t="str">
        <f>IF(VLOOKUP($A124,'All sections of NIF PDF'!$D:$N,11,FALSE)=0,"",VLOOKUP($A124,'All sections of NIF PDF'!$D:$N,11,FALSE))</f>
        <v/>
      </c>
    </row>
    <row r="125" spans="1:7">
      <c r="A125" s="121" t="str">
        <f>'All sections of NIF PDF'!D125</f>
        <v>Width</v>
      </c>
      <c r="B125" s="117">
        <f>INDEX('All sections of NIF PDF'!$A:$A,MATCH($A125,'All sections of NIF PDF'!$D:$D,0))</f>
        <v>1119</v>
      </c>
      <c r="C125" s="117" t="str">
        <f>VLOOKUP($A125,'All sections of NIF PDF'!$D:$N,4,FALSE)</f>
        <v>free form</v>
      </c>
      <c r="D125" s="117" t="str">
        <f>INDEX('All sections of NIF PDF'!$B:$B,MATCH($A125,'All sections of NIF PDF'!$D:$D,0))</f>
        <v>LIM - Forecast Approval</v>
      </c>
      <c r="E125" s="117" t="str">
        <f>VLOOKUP($A125,'All sections of NIF PDF'!$D:$N,6,FALSE)</f>
        <v>LIM</v>
      </c>
      <c r="F125" s="117" t="str">
        <f>IF(VLOOKUP($A125,Definitions!$D:$E,2,FALSE)=0, "", VLOOKUP($A125,Definitions!$D:$E,2,FALSE))</f>
        <v>Width is the breadth of the material or its packaging, measured in the unit of dimension.</v>
      </c>
      <c r="G125" s="117" t="str">
        <f>IF(VLOOKUP($A125,'All sections of NIF PDF'!$D:$N,11,FALSE)=0,"",VLOOKUP($A125,'All sections of NIF PDF'!$D:$N,11,FALSE))</f>
        <v/>
      </c>
    </row>
    <row r="126" spans="1:7">
      <c r="A126" s="121" t="str">
        <f>'All sections of NIF PDF'!D126</f>
        <v>Height</v>
      </c>
      <c r="B126" s="117">
        <f>INDEX('All sections of NIF PDF'!$A:$A,MATCH($A126,'All sections of NIF PDF'!$D:$D,0))</f>
        <v>1120</v>
      </c>
      <c r="C126" s="117" t="str">
        <f>VLOOKUP($A126,'All sections of NIF PDF'!$D:$N,4,FALSE)</f>
        <v>free form</v>
      </c>
      <c r="D126" s="117" t="str">
        <f>INDEX('All sections of NIF PDF'!$B:$B,MATCH($A126,'All sections of NIF PDF'!$D:$D,0))</f>
        <v>LIM - Forecast Approval</v>
      </c>
      <c r="E126" s="117" t="str">
        <f>VLOOKUP($A126,'All sections of NIF PDF'!$D:$N,6,FALSE)</f>
        <v>LIM</v>
      </c>
      <c r="F126" s="117" t="str">
        <f>IF(VLOOKUP($A126,Definitions!$D:$E,2,FALSE)=0, "", VLOOKUP($A126,Definitions!$D:$E,2,FALSE))</f>
        <v>Height is the height of the material or its packaging, measured in the unit of dimension.</v>
      </c>
      <c r="G126" s="117" t="str">
        <f>IF(VLOOKUP($A126,'All sections of NIF PDF'!$D:$N,11,FALSE)=0,"",VLOOKUP($A126,'All sections of NIF PDF'!$D:$N,11,FALSE))</f>
        <v/>
      </c>
    </row>
    <row r="127" spans="1:7" ht="28.9">
      <c r="A127" s="121" t="str">
        <f>'All sections of NIF PDF'!D127</f>
        <v>Unit of Dimension</v>
      </c>
      <c r="B127" s="117">
        <f>INDEX('All sections of NIF PDF'!$A:$A,MATCH($A127,'All sections of NIF PDF'!$D:$D,0))</f>
        <v>1121</v>
      </c>
      <c r="C127" s="117" t="str">
        <f>VLOOKUP($A127,'All sections of NIF PDF'!$D:$N,4,FALSE)</f>
        <v>autofill</v>
      </c>
      <c r="D127" s="117" t="str">
        <f>INDEX('All sections of NIF PDF'!$B:$B,MATCH($A127,'All sections of NIF PDF'!$D:$D,0))</f>
        <v>LIM - Forecast Approval</v>
      </c>
      <c r="E127" s="117" t="str">
        <f>VLOOKUP($A127,'All sections of NIF PDF'!$D:$N,6,FALSE)</f>
        <v>LIM</v>
      </c>
      <c r="F127" s="117" t="str">
        <f>IF(VLOOKUP($A127,Definitions!$D:$E,2,FALSE)=0, "", VLOOKUP($A127,Definitions!$D:$E,2,FALSE))</f>
        <v>Unit in which the dimensions of length, breadth, and height of a material or its packaging are measured. Typically " or Inch.</v>
      </c>
      <c r="G127" s="117" t="str">
        <f>IF(VLOOKUP($A127,'All sections of NIF PDF'!$D:$N,11,FALSE)=0,"",VLOOKUP($A127,'All sections of NIF PDF'!$D:$N,11,FALSE))</f>
        <v/>
      </c>
    </row>
    <row r="128" spans="1:7" ht="28.9">
      <c r="A128" s="121" t="str">
        <f>'All sections of NIF PDF'!D128</f>
        <v>Volume</v>
      </c>
      <c r="B128" s="117">
        <f>INDEX('All sections of NIF PDF'!$A:$A,MATCH($A128,'All sections of NIF PDF'!$D:$D,0))</f>
        <v>1122</v>
      </c>
      <c r="C128" s="117" t="str">
        <f>VLOOKUP($A128,'All sections of NIF PDF'!$D:$N,4,FALSE)</f>
        <v>autofill</v>
      </c>
      <c r="D128" s="117" t="str">
        <f>INDEX('All sections of NIF PDF'!$B:$B,MATCH($A128,'All sections of NIF PDF'!$D:$D,0))</f>
        <v>LIM - Forecast Approval</v>
      </c>
      <c r="E128" s="117" t="str">
        <f>VLOOKUP($A128,'All sections of NIF PDF'!$D:$N,6,FALSE)</f>
        <v>LIM</v>
      </c>
      <c r="F128" s="117" t="str">
        <f>IF(VLOOKUP($A128,Definitions!$D:$E,2,FALSE)=0, "", VLOOKUP($A128,Definitions!$D:$E,2,FALSE))</f>
        <v>Space that the material occupies per unit of volume. The volume refers to the unit specified in the "Volume unit" field. The volume and its unit always refer to the base unit of measure.</v>
      </c>
      <c r="G128" s="117" t="str">
        <f>IF(VLOOKUP($A128,'All sections of NIF PDF'!$D:$N,11,FALSE)=0,"",VLOOKUP($A128,'All sections of NIF PDF'!$D:$N,11,FALSE))</f>
        <v/>
      </c>
    </row>
    <row r="129" spans="1:7">
      <c r="A129" s="121" t="str">
        <f>'All sections of NIF PDF'!D129</f>
        <v>Volume Unit</v>
      </c>
      <c r="B129" s="117">
        <f>INDEX('All sections of NIF PDF'!$A:$A,MATCH($A129,'All sections of NIF PDF'!$D:$D,0))</f>
        <v>1123</v>
      </c>
      <c r="C129" s="117" t="str">
        <f>VLOOKUP($A129,'All sections of NIF PDF'!$D:$N,4,FALSE)</f>
        <v>autofill</v>
      </c>
      <c r="D129" s="117" t="str">
        <f>INDEX('All sections of NIF PDF'!$B:$B,MATCH($A129,'All sections of NIF PDF'!$D:$D,0))</f>
        <v>LIM - Forecast Approval</v>
      </c>
      <c r="E129" s="117" t="str">
        <f>VLOOKUP($A129,'All sections of NIF PDF'!$D:$N,6,FALSE)</f>
        <v>LIM</v>
      </c>
      <c r="F129" s="117" t="str">
        <f>IF(VLOOKUP($A129,Definitions!$D:$E,2,FALSE)=0, "", VLOOKUP($A129,Definitions!$D:$E,2,FALSE))</f>
        <v>Unit referring to the volume of the material. Typcially FT3 or Cubic foot.</v>
      </c>
      <c r="G129" s="117" t="str">
        <f>IF(VLOOKUP($A129,'All sections of NIF PDF'!$D:$N,11,FALSE)=0,"",VLOOKUP($A129,'All sections of NIF PDF'!$D:$N,11,FALSE))</f>
        <v/>
      </c>
    </row>
    <row r="130" spans="1:7">
      <c r="A130" s="121" t="str">
        <f>'All sections of NIF PDF'!D130</f>
        <v>Gross Weight</v>
      </c>
      <c r="B130" s="117">
        <f>INDEX('All sections of NIF PDF'!$A:$A,MATCH($A130,'All sections of NIF PDF'!$D:$D,0))</f>
        <v>1124</v>
      </c>
      <c r="C130" s="117" t="str">
        <f>VLOOKUP($A130,'All sections of NIF PDF'!$D:$N,4,FALSE)</f>
        <v>free form</v>
      </c>
      <c r="D130" s="117" t="str">
        <f>INDEX('All sections of NIF PDF'!$B:$B,MATCH($A130,'All sections of NIF PDF'!$D:$D,0))</f>
        <v>LIM - Forecast Approval</v>
      </c>
      <c r="E130" s="117" t="str">
        <f>VLOOKUP($A130,'All sections of NIF PDF'!$D:$N,6,FALSE)</f>
        <v>LIM</v>
      </c>
      <c r="F130" s="117" t="str">
        <f>IF(VLOOKUP($A130,Definitions!$D:$E,2,FALSE)=0, "", VLOOKUP($A130,Definitions!$D:$E,2,FALSE))</f>
        <v>Gross weight expressed in the unit of weight specified by you in the Unit of weight field.</v>
      </c>
      <c r="G130" s="117" t="str">
        <f>IF(VLOOKUP($A130,'All sections of NIF PDF'!$D:$N,11,FALSE)=0,"",VLOOKUP($A130,'All sections of NIF PDF'!$D:$N,11,FALSE))</f>
        <v/>
      </c>
    </row>
    <row r="131" spans="1:7">
      <c r="A131" s="121" t="str">
        <f>'All sections of NIF PDF'!D131</f>
        <v>Weight Unit</v>
      </c>
      <c r="B131" s="117">
        <f>INDEX('All sections of NIF PDF'!$A:$A,MATCH($A131,'All sections of NIF PDF'!$D:$D,0))</f>
        <v>1125</v>
      </c>
      <c r="C131" s="117" t="str">
        <f>VLOOKUP($A131,'All sections of NIF PDF'!$D:$N,4,FALSE)</f>
        <v>autofill</v>
      </c>
      <c r="D131" s="117" t="str">
        <f>INDEX('All sections of NIF PDF'!$B:$B,MATCH($A131,'All sections of NIF PDF'!$D:$D,0))</f>
        <v>LIM - Forecast Approval</v>
      </c>
      <c r="E131" s="117" t="str">
        <f>VLOOKUP($A131,'All sections of NIF PDF'!$D:$N,6,FALSE)</f>
        <v>LIM</v>
      </c>
      <c r="F131" s="117" t="str">
        <f>IF(VLOOKUP($A131,Definitions!$D:$E,2,FALSE)=0, "", VLOOKUP($A131,Definitions!$D:$E,2,FALSE))</f>
        <v>Unit referring to the gross weight or net weight of the material.</v>
      </c>
      <c r="G131" s="117" t="str">
        <f>IF(VLOOKUP($A131,'All sections of NIF PDF'!$D:$N,11,FALSE)=0,"",VLOOKUP($A131,'All sections of NIF PDF'!$D:$N,11,FALSE))</f>
        <v/>
      </c>
    </row>
    <row r="132" spans="1:7" ht="43.15">
      <c r="A132" s="121" t="str">
        <f>'All sections of NIF PDF'!D132</f>
        <v>Language</v>
      </c>
      <c r="B132" s="117">
        <f>INDEX('All sections of NIF PDF'!$A:$A,MATCH($A132,'All sections of NIF PDF'!$D:$D,0))</f>
        <v>1126</v>
      </c>
      <c r="C132" s="117" t="str">
        <f>VLOOKUP($A132,'All sections of NIF PDF'!$D:$N,4,FALSE)</f>
        <v>dd: reference list: DESCRIPTION_LANGUAGES.XLSX</v>
      </c>
      <c r="D132" s="117" t="str">
        <f>INDEX('All sections of NIF PDF'!$B:$B,MATCH($A132,'All sections of NIF PDF'!$D:$D,0))</f>
        <v>LIM - Forecast Approval</v>
      </c>
      <c r="E132" s="117" t="str">
        <f>VLOOKUP($A132,'All sections of NIF PDF'!$D:$N,6,FALSE)</f>
        <v>LIM</v>
      </c>
      <c r="F132" s="117" t="str">
        <f>IF(VLOOKUP($A132,Definitions!$D:$E,2,FALSE)=0, "", VLOOKUP($A132,Definitions!$D:$E,2,FALSE))</f>
        <v>The language key indicates: The language in which texts are displayed, the language in which you enter texts, and the language in which the system prints texts.</v>
      </c>
      <c r="G132" s="117" t="str">
        <f>IF(VLOOKUP($A132,'All sections of NIF PDF'!$D:$N,11,FALSE)=0,"",VLOOKUP($A132,'All sections of NIF PDF'!$D:$N,11,FALSE))</f>
        <v/>
      </c>
    </row>
    <row r="133" spans="1:7" ht="28.9">
      <c r="A133" s="121" t="str">
        <f>'All sections of NIF PDF'!D133</f>
        <v>Material Description</v>
      </c>
      <c r="B133" s="117">
        <f>INDEX('All sections of NIF PDF'!$A:$A,MATCH($A133,'All sections of NIF PDF'!$D:$D,0))</f>
        <v>1127</v>
      </c>
      <c r="C133" s="117" t="str">
        <f>VLOOKUP($A133,'All sections of NIF PDF'!$D:$N,4,FALSE)</f>
        <v>autofill</v>
      </c>
      <c r="D133" s="117" t="str">
        <f>INDEX('All sections of NIF PDF'!$B:$B,MATCH($A133,'All sections of NIF PDF'!$D:$D,0))</f>
        <v>LIM - Forecast Approval</v>
      </c>
      <c r="E133" s="117" t="str">
        <f>VLOOKUP($A133,'All sections of NIF PDF'!$D:$N,6,FALSE)</f>
        <v>LIM</v>
      </c>
      <c r="F133" s="117" t="str">
        <f>IF(VLOOKUP($A133,Definitions!$D:$E,2,FALSE)=0, "", VLOOKUP($A133,Definitions!$D:$E,2,FALSE))</f>
        <v>Ensure that the material description that has been provided by the LIM is following ourstandard nomenclature: FCST + Brand + Flavor + Food Form + OZ + X + PKG per Case</v>
      </c>
      <c r="G133" s="117" t="str">
        <f>IF(VLOOKUP($A133,'All sections of NIF PDF'!$D:$N,11,FALSE)=0,"",VLOOKUP($A133,'All sections of NIF PDF'!$D:$N,11,FALSE))</f>
        <v/>
      </c>
    </row>
    <row r="134" spans="1:7">
      <c r="A134" s="121" t="str">
        <f>'All sections of NIF PDF'!D134</f>
        <v>Material Description Length</v>
      </c>
      <c r="B134" s="117">
        <f>INDEX('All sections of NIF PDF'!$A:$A,MATCH($A134,'All sections of NIF PDF'!$D:$D,0))</f>
        <v>1128</v>
      </c>
      <c r="C134" s="117" t="str">
        <f>VLOOKUP($A134,'All sections of NIF PDF'!$D:$N,4,FALSE)</f>
        <v>autofill</v>
      </c>
      <c r="D134" s="117" t="str">
        <f>INDEX('All sections of NIF PDF'!$B:$B,MATCH($A134,'All sections of NIF PDF'!$D:$D,0))</f>
        <v>LIM - Forecast Approval</v>
      </c>
      <c r="E134" s="117" t="str">
        <f>VLOOKUP($A134,'All sections of NIF PDF'!$D:$N,6,FALSE)</f>
        <v>LIM</v>
      </c>
      <c r="F134" s="117" t="str">
        <f>IF(VLOOKUP($A134,Definitions!$D:$E,2,FALSE)=0, "", VLOOKUP($A134,Definitions!$D:$E,2,FALSE))</f>
        <v>Must be 40 characters or less</v>
      </c>
      <c r="G134" s="117" t="str">
        <f>IF(VLOOKUP($A134,'All sections of NIF PDF'!$D:$N,11,FALSE)=0,"",VLOOKUP($A134,'All sections of NIF PDF'!$D:$N,11,FALSE))</f>
        <v/>
      </c>
    </row>
    <row r="135" spans="1:7">
      <c r="A135" s="121" t="str">
        <f>'All sections of NIF PDF'!D135</f>
        <v>Generate Material Description</v>
      </c>
      <c r="B135" s="117">
        <f>INDEX('All sections of NIF PDF'!$A:$A,MATCH($A135,'All sections of NIF PDF'!$D:$D,0))</f>
        <v>1129</v>
      </c>
      <c r="C135" s="117" t="str">
        <f>VLOOKUP($A135,'All sections of NIF PDF'!$D:$N,4,FALSE)</f>
        <v>button</v>
      </c>
      <c r="D135" s="117" t="str">
        <f>INDEX('All sections of NIF PDF'!$B:$B,MATCH($A135,'All sections of NIF PDF'!$D:$D,0))</f>
        <v>LIM - Forecast Approval</v>
      </c>
      <c r="E135" s="117" t="str">
        <f>VLOOKUP($A135,'All sections of NIF PDF'!$D:$N,6,FALSE)</f>
        <v>LIM</v>
      </c>
      <c r="F135" s="117" t="str">
        <f>IF(VLOOKUP($A135,Definitions!$D:$E,2,FALSE)=0, "", VLOOKUP($A135,Definitions!$D:$E,2,FALSE))</f>
        <v>Pressing this button should generate at least a starting point for the Material Description</v>
      </c>
      <c r="G135" s="117" t="str">
        <f>IF(VLOOKUP($A135,'All sections of NIF PDF'!$D:$N,11,FALSE)=0,"",VLOOKUP($A135,'All sections of NIF PDF'!$D:$N,11,FALSE))</f>
        <v/>
      </c>
    </row>
    <row r="136" spans="1:7" ht="86.45">
      <c r="A136" s="121" t="str">
        <f>'All sections of NIF PDF'!D136</f>
        <v>Suggested Material Desc</v>
      </c>
      <c r="B136" s="117">
        <f>INDEX('All sections of NIF PDF'!$A:$A,MATCH($A136,'All sections of NIF PDF'!$D:$D,0))</f>
        <v>1130</v>
      </c>
      <c r="C136" s="117" t="str">
        <f>VLOOKUP($A136,'All sections of NIF PDF'!$D:$N,4,FALSE)</f>
        <v>free form</v>
      </c>
      <c r="D136" s="117" t="str">
        <f>INDEX('All sections of NIF PDF'!$B:$B,MATCH($A136,'All sections of NIF PDF'!$D:$D,0))</f>
        <v>LIM - Forecast Approval</v>
      </c>
      <c r="E136" s="117" t="str">
        <f>VLOOKUP($A136,'All sections of NIF PDF'!$D:$N,6,FALSE)</f>
        <v>LIM</v>
      </c>
      <c r="F136" s="117" t="str">
        <f>IF(VLOOKUP($A136,Definitions!$D:$E,2,FALSE)=0, "", VLOOKUP($A136,Definitions!$D:$E,2,FALSE))</f>
        <v>This section is meant to provide the LIM with a way to provide input into the final material description. However, the final description must follow ourstandard nomenclature rules - Brand + Flavor + Food Form + Count + CT + Stated Net Weight + OZ or GM X the number of packages + (if applicable) one or more of the following: Customer Name + Royalty + Promo + Special Pack Type. EX: PT PMKN PIE TSTP 8CT 13.5OZX12.  Descriptions for Forecast SKU's must begin with "FCST." Max length = 40 characters.</v>
      </c>
      <c r="G136" s="117" t="str">
        <f>IF(VLOOKUP($A136,'All sections of NIF PDF'!$D:$N,11,FALSE)=0,"",VLOOKUP($A136,'All sections of NIF PDF'!$D:$N,11,FALSE))</f>
        <v/>
      </c>
    </row>
    <row r="137" spans="1:7">
      <c r="A137" s="121" t="str">
        <f>'All sections of NIF PDF'!D137</f>
        <v>Length (of Sugg Matl Desc)</v>
      </c>
      <c r="B137" s="117">
        <f>INDEX('All sections of NIF PDF'!$A:$A,MATCH($A137,'All sections of NIF PDF'!$D:$D,0))</f>
        <v>1131</v>
      </c>
      <c r="C137" s="117" t="str">
        <f>VLOOKUP($A137,'All sections of NIF PDF'!$D:$N,4,FALSE)</f>
        <v>autofill</v>
      </c>
      <c r="D137" s="117" t="str">
        <f>INDEX('All sections of NIF PDF'!$B:$B,MATCH($A137,'All sections of NIF PDF'!$D:$D,0))</f>
        <v>LIM - Forecast Approval</v>
      </c>
      <c r="E137" s="117" t="str">
        <f>VLOOKUP($A137,'All sections of NIF PDF'!$D:$N,6,FALSE)</f>
        <v>LIM</v>
      </c>
      <c r="F137" s="117" t="str">
        <f>IF(VLOOKUP($A137,Definitions!$D:$E,2,FALSE)=0, "", VLOOKUP($A137,Definitions!$D:$E,2,FALSE))</f>
        <v>Max length = 40 characters</v>
      </c>
      <c r="G137" s="117" t="str">
        <f>IF(VLOOKUP($A137,'All sections of NIF PDF'!$D:$N,11,FALSE)=0,"",VLOOKUP($A137,'All sections of NIF PDF'!$D:$N,11,FALSE))</f>
        <v/>
      </c>
    </row>
    <row r="138" spans="1:7" ht="28.9">
      <c r="A138" s="121" t="str">
        <f>'All sections of NIF PDF'!D138</f>
        <v>Departure Country</v>
      </c>
      <c r="B138" s="117">
        <f>INDEX('All sections of NIF PDF'!$A:$A,MATCH($A138,'All sections of NIF PDF'!$D:$D,0))</f>
        <v>1132</v>
      </c>
      <c r="C138" s="117" t="str">
        <f>VLOOKUP($A138,'All sections of NIF PDF'!$D:$N,4,FALSE)</f>
        <v>dd: reference list: PRL: COUNTRY</v>
      </c>
      <c r="D138" s="117" t="str">
        <f>INDEX('All sections of NIF PDF'!$B:$B,MATCH($A138,'All sections of NIF PDF'!$D:$D,0))</f>
        <v>LIM - Forecast Approval</v>
      </c>
      <c r="E138" s="117" t="str">
        <f>VLOOKUP($A138,'All sections of NIF PDF'!$D:$N,6,FALSE)</f>
        <v>LIM</v>
      </c>
      <c r="F138" s="117" t="str">
        <f>IF(VLOOKUP($A138,Definitions!$D:$E,2,FALSE)=0, "", VLOOKUP($A138,Definitions!$D:$E,2,FALSE))</f>
        <v>Departure country (country from which the goods are sent) Identifies the country in which the delivery originates.</v>
      </c>
      <c r="G138" s="117" t="str">
        <f>IF(VLOOKUP($A138,'All sections of NIF PDF'!$D:$N,11,FALSE)=0,"",VLOOKUP($A138,'All sections of NIF PDF'!$D:$N,11,FALSE))</f>
        <v/>
      </c>
    </row>
    <row r="139" spans="1:7" ht="28.9">
      <c r="A139" s="121" t="str">
        <f>'All sections of NIF PDF'!D139</f>
        <v>Tax Category</v>
      </c>
      <c r="B139" s="117">
        <f>INDEX('All sections of NIF PDF'!$A:$A,MATCH($A139,'All sections of NIF PDF'!$D:$D,0))</f>
        <v>1133</v>
      </c>
      <c r="C139" s="117" t="str">
        <f>VLOOKUP($A139,'All sections of NIF PDF'!$D:$N,4,FALSE)</f>
        <v>autofill</v>
      </c>
      <c r="D139" s="117" t="str">
        <f>INDEX('All sections of NIF PDF'!$B:$B,MATCH($A139,'All sections of NIF PDF'!$D:$D,0))</f>
        <v>LIM - Forecast Approval</v>
      </c>
      <c r="E139" s="117" t="str">
        <f>VLOOKUP($A139,'All sections of NIF PDF'!$D:$N,6,FALSE)</f>
        <v>LIM</v>
      </c>
      <c r="F139" s="117" t="str">
        <f>IF(VLOOKUP($A139,Definitions!$D:$E,2,FALSE)=0, "", VLOOKUP($A139,Definitions!$D:$E,2,FALSE))</f>
        <v>Identifies the condition that the system uses to automatically determine country-specific taxes during pricing.</v>
      </c>
      <c r="G139" s="117" t="str">
        <f>IF(VLOOKUP($A139,'All sections of NIF PDF'!$D:$N,11,FALSE)=0,"",VLOOKUP($A139,'All sections of NIF PDF'!$D:$N,11,FALSE))</f>
        <v/>
      </c>
    </row>
    <row r="140" spans="1:7" ht="28.9">
      <c r="A140" s="121" t="str">
        <f>'All sections of NIF PDF'!D140</f>
        <v>Tax Classification</v>
      </c>
      <c r="B140" s="117">
        <f>INDEX('All sections of NIF PDF'!$A:$A,MATCH($A140,'All sections of NIF PDF'!$D:$D,0))</f>
        <v>1134</v>
      </c>
      <c r="C140" s="117" t="str">
        <f>VLOOKUP($A140,'All sections of NIF PDF'!$D:$N,4,FALSE)</f>
        <v>dd: reference list: TAX_CLASSIFICATION.XLSX</v>
      </c>
      <c r="D140" s="117" t="str">
        <f>INDEX('All sections of NIF PDF'!$B:$B,MATCH($A140,'All sections of NIF PDF'!$D:$D,0))</f>
        <v>LIM - Forecast Approval</v>
      </c>
      <c r="E140" s="117" t="str">
        <f>VLOOKUP($A140,'All sections of NIF PDF'!$D:$N,6,FALSE)</f>
        <v>LIM</v>
      </c>
      <c r="F140" s="117" t="str">
        <f>IF(VLOOKUP($A140,Definitions!$D:$E,2,FALSE)=0, "", VLOOKUP($A140,Definitions!$D:$E,2,FALSE))</f>
        <v>The indicator with which the system determines output tax for the material when processing sales and distribution-specific documents.</v>
      </c>
      <c r="G140" s="117" t="str">
        <f>IF(VLOOKUP($A140,'All sections of NIF PDF'!$D:$N,11,FALSE)=0,"",VLOOKUP($A140,'All sections of NIF PDF'!$D:$N,11,FALSE))</f>
        <v/>
      </c>
    </row>
    <row r="141" spans="1:7">
      <c r="A141" s="121" t="str">
        <f>'All sections of NIF PDF'!D141</f>
        <v>Create Forecast Material</v>
      </c>
      <c r="B141" s="117">
        <f>INDEX('All sections of NIF PDF'!$A:$A,MATCH($A141,'All sections of NIF PDF'!$D:$D,0))</f>
        <v>1135</v>
      </c>
      <c r="C141" s="117" t="str">
        <f>VLOOKUP($A141,'All sections of NIF PDF'!$D:$N,4,FALSE)</f>
        <v>button</v>
      </c>
      <c r="D141" s="117" t="str">
        <f>INDEX('All sections of NIF PDF'!$B:$B,MATCH($A141,'All sections of NIF PDF'!$D:$D,0))</f>
        <v>Masterfiles - Get Codes Forecast</v>
      </c>
      <c r="E141" s="117" t="str">
        <f>VLOOKUP($A141,'All sections of NIF PDF'!$D:$N,6,FALSE)</f>
        <v>Masterfiles</v>
      </c>
      <c r="F141" s="117" t="str">
        <f>IF(VLOOKUP($A141,Definitions!$D:$E,2,FALSE)=0, "", VLOOKUP($A141,Definitions!$D:$E,2,FALSE))</f>
        <v>This button will execute the creation of the Forecast Material</v>
      </c>
      <c r="G141" s="117" t="str">
        <f>IF(VLOOKUP($A141,'All sections of NIF PDF'!$D:$N,11,FALSE)=0,"",VLOOKUP($A141,'All sections of NIF PDF'!$D:$N,11,FALSE))</f>
        <v/>
      </c>
    </row>
    <row r="142" spans="1:7" ht="28.9">
      <c r="A142" s="121" t="str">
        <f>'All sections of NIF PDF'!D142</f>
        <v>Manually Execute Scripts</v>
      </c>
      <c r="B142" s="117">
        <f>INDEX('All sections of NIF PDF'!$A:$A,MATCH($A142,'All sections of NIF PDF'!$D:$D,0))</f>
        <v>1136</v>
      </c>
      <c r="C142" s="117" t="str">
        <f>VLOOKUP($A142,'All sections of NIF PDF'!$D:$N,4,FALSE)</f>
        <v>expand group with more buttons</v>
      </c>
      <c r="D142" s="117" t="str">
        <f>INDEX('All sections of NIF PDF'!$B:$B,MATCH($A142,'All sections of NIF PDF'!$D:$D,0))</f>
        <v>Masterfiles - Get Codes Forecast</v>
      </c>
      <c r="E142" s="117" t="str">
        <f>VLOOKUP($A142,'All sections of NIF PDF'!$D:$N,6,FALSE)</f>
        <v>Masterfiles</v>
      </c>
      <c r="F142" s="117" t="str">
        <f>IF(VLOOKUP($A142,Definitions!$D:$E,2,FALSE)=0, "", VLOOKUP($A142,Definitions!$D:$E,2,FALSE))</f>
        <v>Manual button to execute Winshuttle Scripts in the background</v>
      </c>
      <c r="G142" s="117" t="str">
        <f>IF(VLOOKUP($A142,'All sections of NIF PDF'!$D:$N,11,FALSE)=0,"",VLOOKUP($A142,'All sections of NIF PDF'!$D:$N,11,FALSE))</f>
        <v/>
      </c>
    </row>
    <row r="143" spans="1:7" ht="28.9">
      <c r="A143" s="121" t="str">
        <f>'All sections of NIF PDF'!D143</f>
        <v>VAS</v>
      </c>
      <c r="B143" s="117">
        <f>INDEX('All sections of NIF PDF'!$A:$A,MATCH($A143,'All sections of NIF PDF'!$D:$D,0))</f>
        <v>1137</v>
      </c>
      <c r="C143" s="117" t="str">
        <f>VLOOKUP($A143,'All sections of NIF PDF'!$D:$N,4,FALSE)</f>
        <v>dd: YES, NO</v>
      </c>
      <c r="D143" s="117" t="str">
        <f>INDEX('All sections of NIF PDF'!$B:$B,MATCH($A143,'All sections of NIF PDF'!$D:$D,0))</f>
        <v>LIM - Launch</v>
      </c>
      <c r="E143" s="117" t="str">
        <f>VLOOKUP($A143,'All sections of NIF PDF'!$D:$N,6,FALSE)</f>
        <v>LIM</v>
      </c>
      <c r="F143" s="117" t="str">
        <f>IF(VLOOKUP($A143,Definitions!$D:$E,2,FALSE)=0, "", VLOOKUP($A143,Definitions!$D:$E,2,FALSE))</f>
        <v>If yes, there will be a BOM requirement in the form, and the Material Group will be set to REPACK if Case or DISPMOD or SHIPPER if Display</v>
      </c>
      <c r="G143" s="117" t="str">
        <f>IF(VLOOKUP($A143,'All sections of NIF PDF'!$D:$N,11,FALSE)=0,"",VLOOKUP($A143,'All sections of NIF PDF'!$D:$N,11,FALSE))</f>
        <v/>
      </c>
    </row>
    <row r="144" spans="1:7" ht="57.6">
      <c r="A144" s="121" t="str">
        <f>'All sections of NIF PDF'!D144</f>
        <v>(LIM Launch) Return Comments</v>
      </c>
      <c r="B144" s="117">
        <f>INDEX('All sections of NIF PDF'!$A:$A,MATCH($A144,'All sections of NIF PDF'!$D:$D,0))</f>
        <v>1138</v>
      </c>
      <c r="C144" s="117" t="str">
        <f>VLOOKUP($A144,'All sections of NIF PDF'!$D:$N,4,FALSE)</f>
        <v>free form</v>
      </c>
      <c r="D144" s="117" t="str">
        <f>INDEX('All sections of NIF PDF'!$B:$B,MATCH($A144,'All sections of NIF PDF'!$D:$D,0))</f>
        <v>LIM Launch - Update</v>
      </c>
      <c r="E144" s="117" t="str">
        <f>VLOOKUP($A144,'All sections of NIF PDF'!$D:$N,6,FALSE)</f>
        <v>LIM</v>
      </c>
      <c r="F144" s="117" t="str">
        <f>IF(VLOOKUP($A144,Definitions!$D:$E,2,FALSE)=0, "", VLOOKUP($A144,Definitions!$D:$E,2,FALSE))</f>
        <v>At LIM Launch, the only return that is available is to MasterFiles Get Codes.  Returns can only go one level back.  If the form has made it past LIM Initial Review, and the set-up type is incorrect, the form will have to be started over.  Please be as descriptive as possible and provide the necessary reasons/details as to why you are returning the NIF.</v>
      </c>
      <c r="G144" s="117" t="str">
        <f>IF(VLOOKUP($A144,'All sections of NIF PDF'!$D:$N,11,FALSE)=0,"",VLOOKUP($A144,'All sections of NIF PDF'!$D:$N,11,FALSE))</f>
        <v/>
      </c>
    </row>
    <row r="145" spans="1:7" ht="28.9">
      <c r="A145" s="121" t="str">
        <f>'All sections of NIF PDF'!D145</f>
        <v>statuses of the workflow (X, R, C…)</v>
      </c>
      <c r="B145" s="117">
        <f>INDEX('All sections of NIF PDF'!$A:$A,MATCH($A145,'All sections of NIF PDF'!$D:$D,0))</f>
        <v>1139</v>
      </c>
      <c r="C145" s="117" t="str">
        <f>VLOOKUP($A145,'All sections of NIF PDF'!$D:$N,4,FALSE)</f>
        <v>autofill</v>
      </c>
      <c r="D145" s="117" t="str">
        <f>INDEX('All sections of NIF PDF'!$B:$B,MATCH($A145,'All sections of NIF PDF'!$D:$D,0))</f>
        <v>ZNIF Dashboard - view only</v>
      </c>
      <c r="E145" s="117" t="str">
        <f>VLOOKUP($A145,'All sections of NIF PDF'!$D:$N,6,FALSE)</f>
        <v>LIM</v>
      </c>
      <c r="F145" s="117" t="str">
        <f>IF(VLOOKUP($A145,Definitions!$D:$E,2,FALSE)=0, "", VLOOKUP($A145,Definitions!$D:$E,2,FALSE))</f>
        <v>Dashboard Legend: X = Task in Process, C = Task Complete/Approved, R = Task Returned</v>
      </c>
      <c r="G145" s="117" t="str">
        <f>IF(VLOOKUP($A145,'All sections of NIF PDF'!$D:$N,11,FALSE)=0,"",VLOOKUP($A145,'All sections of NIF PDF'!$D:$N,11,FALSE))</f>
        <v/>
      </c>
    </row>
    <row r="146" spans="1:7" ht="28.9">
      <c r="A146" s="121" t="str">
        <f>'All sections of NIF PDF'!D146</f>
        <v>Proposed Red K Price</v>
      </c>
      <c r="B146" s="117">
        <f>INDEX('All sections of NIF PDF'!$A:$A,MATCH($A146,'All sections of NIF PDF'!$D:$D,0))</f>
        <v>1140</v>
      </c>
      <c r="C146" s="117" t="str">
        <f>VLOOKUP($A146,'All sections of NIF PDF'!$D:$N,4,FALSE)</f>
        <v>free form</v>
      </c>
      <c r="D146" s="117" t="str">
        <f>INDEX('All sections of NIF PDF'!$B:$B,MATCH($A146,'All sections of NIF PDF'!$D:$D,0))</f>
        <v>Requestor Update</v>
      </c>
      <c r="E146" s="117" t="str">
        <f>VLOOKUP($A146,'All sections of NIF PDF'!$D:$N,6,FALSE)</f>
        <v>Requestor</v>
      </c>
      <c r="F146" s="117" t="str">
        <f>IF(VLOOKUP($A146,Definitions!$D:$E,2,FALSE)=0, "", VLOOKUP($A146,Definitions!$D:$E,2,FALSE))</f>
        <v>This is the base price for all retail customers - based on case quantity.  This is the proposed initial Red K Price. It is not the final Red K Price.</v>
      </c>
      <c r="G146" s="117" t="str">
        <f>IF(VLOOKUP($A146,'All sections of NIF PDF'!$D:$N,11,FALSE)=0,"",VLOOKUP($A146,'All sections of NIF PDF'!$D:$N,11,FALSE))</f>
        <v/>
      </c>
    </row>
    <row r="147" spans="1:7">
      <c r="A147" s="121" t="str">
        <f>'All sections of NIF PDF'!D147</f>
        <v>Proposed Red K Currency</v>
      </c>
      <c r="B147" s="117">
        <f>INDEX('All sections of NIF PDF'!$A:$A,MATCH($A147,'All sections of NIF PDF'!$D:$D,0))</f>
        <v>1141</v>
      </c>
      <c r="C147" s="117" t="str">
        <f>VLOOKUP($A147,'All sections of NIF PDF'!$D:$N,4,FALSE)</f>
        <v>dd: USD, CAD</v>
      </c>
      <c r="D147" s="117" t="str">
        <f>INDEX('All sections of NIF PDF'!$B:$B,MATCH($A147,'All sections of NIF PDF'!$D:$D,0))</f>
        <v>Requestor Update</v>
      </c>
      <c r="E147" s="117" t="str">
        <f>VLOOKUP($A147,'All sections of NIF PDF'!$D:$N,6,FALSE)</f>
        <v>Requestor</v>
      </c>
      <c r="F147" s="117" t="str">
        <f>IF(VLOOKUP($A147,Definitions!$D:$E,2,FALSE)=0, "", VLOOKUP($A147,Definitions!$D:$E,2,FALSE))</f>
        <v>Select USD or CAD</v>
      </c>
      <c r="G147" s="117" t="str">
        <f>IF(VLOOKUP($A147,'All sections of NIF PDF'!$D:$N,11,FALSE)=0,"",VLOOKUP($A147,'All sections of NIF PDF'!$D:$N,11,FALSE))</f>
        <v/>
      </c>
    </row>
    <row r="148" spans="1:7" ht="28.9">
      <c r="A148" s="121" t="str">
        <f>'All sections of NIF PDF'!D148</f>
        <v>Business Unit</v>
      </c>
      <c r="B148" s="117">
        <f>INDEX('All sections of NIF PDF'!$A:$A,MATCH($A148,'All sections of NIF PDF'!$D:$D,0))</f>
        <v>1142</v>
      </c>
      <c r="C148" s="117" t="str">
        <f>VLOOKUP($A148,'All sections of NIF PDF'!$D:$N,4,FALSE)</f>
        <v>dd: reference list: PRL: Business Unit</v>
      </c>
      <c r="D148" s="117" t="str">
        <f>INDEX('All sections of NIF PDF'!$B:$B,MATCH($A148,'All sections of NIF PDF'!$D:$D,0))</f>
        <v>Requestor Update</v>
      </c>
      <c r="E148" s="117" t="str">
        <f>VLOOKUP($A148,'All sections of NIF PDF'!$D:$N,6,FALSE)</f>
        <v>Requestor</v>
      </c>
      <c r="F148" s="117" t="str">
        <f>IF(VLOOKUP($A148,Definitions!$D:$E,2,FALSE)=0, "", VLOOKUP($A148,Definitions!$D:$E,2,FALSE))</f>
        <v>Business Unit auto-populated by Brand selection. All N&amp;I/Natural and Insurgent Brands = KASHI (RX, Pure, etc.)</v>
      </c>
      <c r="G148" s="117" t="str">
        <f>IF(VLOOKUP($A148,'All sections of NIF PDF'!$D:$N,11,FALSE)=0,"",VLOOKUP($A148,'All sections of NIF PDF'!$D:$N,11,FALSE))</f>
        <v/>
      </c>
    </row>
    <row r="149" spans="1:7" ht="28.9">
      <c r="A149" s="121" t="str">
        <f>'All sections of NIF PDF'!D149</f>
        <v>Material Group 1</v>
      </c>
      <c r="B149" s="117">
        <f>INDEX('All sections of NIF PDF'!$A:$A,MATCH($A149,'All sections of NIF PDF'!$D:$D,0))</f>
        <v>1143</v>
      </c>
      <c r="C149" s="117" t="str">
        <f>VLOOKUP($A149,'All sections of NIF PDF'!$D:$N,4,FALSE)</f>
        <v>dd: reference list: PRL: Material Group 1</v>
      </c>
      <c r="D149" s="117" t="str">
        <f>INDEX('All sections of NIF PDF'!$B:$B,MATCH($A149,'All sections of NIF PDF'!$D:$D,0))</f>
        <v>Requestor Update</v>
      </c>
      <c r="E149" s="117" t="str">
        <f>VLOOKUP($A149,'All sections of NIF PDF'!$D:$N,6,FALSE)</f>
        <v>Requestor</v>
      </c>
      <c r="F149" s="117" t="str">
        <f>IF(VLOOKUP($A149,Definitions!$D:$E,2,FALSE)=0, "", VLOOKUP($A149,Definitions!$D:$E,2,FALSE))</f>
        <v>Auto populated based on other selections like Brand, Product Type, or Setup Type &amp; is used to identify the Commercial Category.</v>
      </c>
      <c r="G149" s="117" t="str">
        <f>IF(VLOOKUP($A149,'All sections of NIF PDF'!$D:$N,11,FALSE)=0,"",VLOOKUP($A149,'All sections of NIF PDF'!$D:$N,11,FALSE))</f>
        <v/>
      </c>
    </row>
    <row r="150" spans="1:7" ht="43.15">
      <c r="A150" s="121" t="str">
        <f>'All sections of NIF PDF'!D150</f>
        <v>1st Arrival Date</v>
      </c>
      <c r="B150" s="117">
        <f>INDEX('All sections of NIF PDF'!$A:$A,MATCH($A150,'All sections of NIF PDF'!$D:$D,0))</f>
        <v>1144</v>
      </c>
      <c r="C150" s="117" t="str">
        <f>VLOOKUP($A150,'All sections of NIF PDF'!$D:$N,4,FALSE)</f>
        <v>date</v>
      </c>
      <c r="D150" s="117" t="str">
        <f>INDEX('All sections of NIF PDF'!$B:$B,MATCH($A150,'All sections of NIF PDF'!$D:$D,0))</f>
        <v>Requestor Update</v>
      </c>
      <c r="E150" s="117" t="str">
        <f>VLOOKUP($A150,'All sections of NIF PDF'!$D:$N,6,FALSE)</f>
        <v>Requestor</v>
      </c>
      <c r="F150" s="117" t="str">
        <f>IF(VLOOKUP($A150,Definitions!$D:$E,2,FALSE)=0, "", VLOOKUP($A150,Definitions!$D:$E,2,FALSE))</f>
        <v>For Canada, First Arrival Date = Thursday, First Ship &amp; Pricing Dates are Sunday Prior (First Arrival - 11 days) - Required Field for Canada SKU's only. Date which product arrives at the customer, which is one week past First Ship Date and a Thursday.</v>
      </c>
      <c r="G150" s="117" t="str">
        <f>IF(VLOOKUP($A150,'All sections of NIF PDF'!$D:$N,11,FALSE)=0,"",VLOOKUP($A150,'All sections of NIF PDF'!$D:$N,11,FALSE))</f>
        <v/>
      </c>
    </row>
    <row r="151" spans="1:7">
      <c r="A151" s="121" t="str">
        <f>'All sections of NIF PDF'!D151</f>
        <v>1st Arrival Date (Day)</v>
      </c>
      <c r="B151" s="117">
        <f>INDEX('All sections of NIF PDF'!$A:$A,MATCH($A151,'All sections of NIF PDF'!$D:$D,0))</f>
        <v>1145</v>
      </c>
      <c r="C151" s="117" t="str">
        <f>VLOOKUP($A151,'All sections of NIF PDF'!$D:$N,4,FALSE)</f>
        <v>autofill</v>
      </c>
      <c r="D151" s="117" t="str">
        <f>INDEX('All sections of NIF PDF'!$B:$B,MATCH($A151,'All sections of NIF PDF'!$D:$D,0))</f>
        <v>Requestor Update</v>
      </c>
      <c r="E151" s="117" t="str">
        <f>VLOOKUP($A151,'All sections of NIF PDF'!$D:$N,6,FALSE)</f>
        <v>Requestor</v>
      </c>
      <c r="F151" s="117" t="str">
        <f>IF(VLOOKUP($A151,Definitions!$D:$E,2,FALSE)=0, "", VLOOKUP($A151,Definitions!$D:$E,2,FALSE))</f>
        <v>Autopopulated based on 1st Arrival Date selected - Should be Thursday</v>
      </c>
      <c r="G151" s="117" t="str">
        <f>IF(VLOOKUP($A151,'All sections of NIF PDF'!$D:$N,11,FALSE)=0,"",VLOOKUP($A151,'All sections of NIF PDF'!$D:$N,11,FALSE))</f>
        <v/>
      </c>
    </row>
    <row r="152" spans="1:7">
      <c r="A152" s="121" t="str">
        <f>'All sections of NIF PDF'!D152</f>
        <v>1st Ship Date</v>
      </c>
      <c r="B152" s="117">
        <f>INDEX('All sections of NIF PDF'!$A:$A,MATCH($A152,'All sections of NIF PDF'!$D:$D,0))</f>
        <v>1146</v>
      </c>
      <c r="C152" s="117" t="str">
        <f>VLOOKUP($A152,'All sections of NIF PDF'!$D:$N,4,FALSE)</f>
        <v>date</v>
      </c>
      <c r="D152" s="117" t="str">
        <f>INDEX('All sections of NIF PDF'!$B:$B,MATCH($A152,'All sections of NIF PDF'!$D:$D,0))</f>
        <v>Requestor Update</v>
      </c>
      <c r="E152" s="117" t="str">
        <f>VLOOKUP($A152,'All sections of NIF PDF'!$D:$N,6,FALSE)</f>
        <v>Requestor</v>
      </c>
      <c r="F152" s="117" t="str">
        <f>IF(VLOOKUP($A152,Definitions!$D:$E,2,FALSE)=0, "", VLOOKUP($A152,Definitions!$D:$E,2,FALSE))</f>
        <v>US - Must be Monday; CA - Must be Sunday.  Date when product is first shipped to customers.</v>
      </c>
      <c r="G152" s="117" t="str">
        <f>IF(VLOOKUP($A152,'All sections of NIF PDF'!$D:$N,11,FALSE)=0,"",VLOOKUP($A152,'All sections of NIF PDF'!$D:$N,11,FALSE))</f>
        <v/>
      </c>
    </row>
    <row r="153" spans="1:7">
      <c r="A153" s="121" t="str">
        <f>'All sections of NIF PDF'!D153</f>
        <v>1st Ship Date (Day)</v>
      </c>
      <c r="B153" s="117">
        <f>INDEX('All sections of NIF PDF'!$A:$A,MATCH($A153,'All sections of NIF PDF'!$D:$D,0))</f>
        <v>1147</v>
      </c>
      <c r="C153" s="117" t="str">
        <f>VLOOKUP($A153,'All sections of NIF PDF'!$D:$N,4,FALSE)</f>
        <v>autofill</v>
      </c>
      <c r="D153" s="117" t="str">
        <f>INDEX('All sections of NIF PDF'!$B:$B,MATCH($A153,'All sections of NIF PDF'!$D:$D,0))</f>
        <v>Requestor Update</v>
      </c>
      <c r="E153" s="117" t="str">
        <f>VLOOKUP($A153,'All sections of NIF PDF'!$D:$N,6,FALSE)</f>
        <v>Requestor</v>
      </c>
      <c r="F153" s="117" t="str">
        <f>IF(VLOOKUP($A153,Definitions!$D:$E,2,FALSE)=0, "", VLOOKUP($A153,Definitions!$D:$E,2,FALSE))</f>
        <v>Autopopulated based on 1st Ship Date selected - Should be Monday (US) or Sunday (CA)</v>
      </c>
      <c r="G153" s="117" t="str">
        <f>IF(VLOOKUP($A153,'All sections of NIF PDF'!$D:$N,11,FALSE)=0,"",VLOOKUP($A153,'All sections of NIF PDF'!$D:$N,11,FALSE))</f>
        <v/>
      </c>
    </row>
    <row r="154" spans="1:7" ht="28.9">
      <c r="A154" s="121" t="str">
        <f>'All sections of NIF PDF'!D154</f>
        <v>FERT Type</v>
      </c>
      <c r="B154" s="117">
        <f>INDEX('All sections of NIF PDF'!$A:$A,MATCH($A154,'All sections of NIF PDF'!$D:$D,0))</f>
        <v>1148</v>
      </c>
      <c r="C154" s="117" t="str">
        <f>VLOOKUP($A154,'All sections of NIF PDF'!$D:$N,4,FALSE)</f>
        <v>dd: reference list: PRL: FERT Type</v>
      </c>
      <c r="D154" s="117" t="str">
        <f>INDEX('All sections of NIF PDF'!$B:$B,MATCH($A154,'All sections of NIF PDF'!$D:$D,0))</f>
        <v>Requestor Update</v>
      </c>
      <c r="E154" s="117" t="str">
        <f>VLOOKUP($A154,'All sections of NIF PDF'!$D:$N,6,FALSE)</f>
        <v>Requestor</v>
      </c>
      <c r="F154" s="117" t="str">
        <f>IF(VLOOKUP($A154,Definitions!$D:$E,2,FALSE)=0, "", VLOOKUP($A154,Definitions!$D:$E,2,FALSE))</f>
        <v>Required for all FERTs, this field is used in the Inventory Write Off process. It identifies what type of FERT the record is.</v>
      </c>
      <c r="G154" s="117" t="str">
        <f>IF(VLOOKUP($A154,'All sections of NIF PDF'!$D:$N,11,FALSE)=0,"",VLOOKUP($A154,'All sections of NIF PDF'!$D:$N,11,FALSE))</f>
        <v/>
      </c>
    </row>
    <row r="155" spans="1:7" ht="28.9">
      <c r="A155" s="121" t="str">
        <f>'All sections of NIF PDF'!D155</f>
        <v>Pricing Validity Date</v>
      </c>
      <c r="B155" s="117">
        <f>INDEX('All sections of NIF PDF'!$A:$A,MATCH($A155,'All sections of NIF PDF'!$D:$D,0))</f>
        <v>1149</v>
      </c>
      <c r="C155" s="117" t="str">
        <f>VLOOKUP($A155,'All sections of NIF PDF'!$D:$N,4,FALSE)</f>
        <v>autofill</v>
      </c>
      <c r="D155" s="117" t="str">
        <f>INDEX('All sections of NIF PDF'!$B:$B,MATCH($A155,'All sections of NIF PDF'!$D:$D,0))</f>
        <v>Requestor Update</v>
      </c>
      <c r="E155" s="117" t="str">
        <f>VLOOKUP($A155,'All sections of NIF PDF'!$D:$N,6,FALSE)</f>
        <v>Requestor</v>
      </c>
      <c r="F155" s="117" t="str">
        <f>IF(VLOOKUP($A155,Definitions!$D:$E,2,FALSE)=0, "", VLOOKUP($A155,Definitions!$D:$E,2,FALSE))</f>
        <v>Always a Sunday (one day before First Ship). This is the date from which the ZBAS/Red K pricing condition is valid.</v>
      </c>
      <c r="G155" s="117" t="str">
        <f>IF(VLOOKUP($A155,'All sections of NIF PDF'!$D:$N,11,FALSE)=0,"",VLOOKUP($A155,'All sections of NIF PDF'!$D:$N,11,FALSE))</f>
        <v/>
      </c>
    </row>
    <row r="156" spans="1:7" ht="86.45">
      <c r="A156" s="121" t="str">
        <f>'All sections of NIF PDF'!D156</f>
        <v>Pack Type Use</v>
      </c>
      <c r="B156" s="117">
        <f>INDEX('All sections of NIF PDF'!$A:$A,MATCH($A156,'All sections of NIF PDF'!$D:$D,0))</f>
        <v>1150</v>
      </c>
      <c r="C156" s="117" t="str">
        <f>VLOOKUP($A156,'All sections of NIF PDF'!$D:$N,4,FALSE)</f>
        <v>dd: reference list: PRL: Pack Type Use</v>
      </c>
      <c r="D156" s="117" t="str">
        <f>INDEX('All sections of NIF PDF'!$B:$B,MATCH($A156,'All sections of NIF PDF'!$D:$D,0))</f>
        <v>Requestor Update</v>
      </c>
      <c r="E156" s="117" t="str">
        <f>VLOOKUP($A156,'All sections of NIF PDF'!$D:$N,6,FALSE)</f>
        <v>Requestor</v>
      </c>
      <c r="F156" s="117" t="str">
        <f>IF(VLOOKUP($A156,Definitions!$D:$E,2,FALSE)=0, "", VLOOKUP($A156,Definitions!$D:$E,2,FALSE))</f>
        <v>This field is located in the Classification View in the Material Master, and is used by the AFH (Away From Home, formerly Specialty Channels) team. There are a variety of choices, but Retail items will always be set up as GROCERY, Club items will always use CLUB PACK, Single Serve items will always use SINGLE SERVE, Bulk items will always use BULK and AFH owned items will use all others - should default to Grocery if it is not an AFH SKU - exception might be for Displays, you may see it default as Shipper</v>
      </c>
      <c r="G156" s="117" t="str">
        <f>IF(VLOOKUP($A156,'All sections of NIF PDF'!$D:$N,11,FALSE)=0,"",VLOOKUP($A156,'All sections of NIF PDF'!$D:$N,11,FALSE))</f>
        <v/>
      </c>
    </row>
    <row r="157" spans="1:7" ht="129.6">
      <c r="A157" s="121" t="str">
        <f>'All sections of NIF PDF'!D157</f>
        <v>Planning Variant</v>
      </c>
      <c r="B157" s="117">
        <f>INDEX('All sections of NIF PDF'!$A:$A,MATCH($A157,'All sections of NIF PDF'!$D:$D,0))</f>
        <v>1151</v>
      </c>
      <c r="C157" s="117" t="str">
        <f>VLOOKUP($A157,'All sections of NIF PDF'!$D:$N,4,FALSE)</f>
        <v>dd: reference list: PRL: Planning Variant</v>
      </c>
      <c r="D157" s="117" t="str">
        <f>INDEX('All sections of NIF PDF'!$B:$B,MATCH($A157,'All sections of NIF PDF'!$D:$D,0))</f>
        <v>Requestor Update</v>
      </c>
      <c r="E157" s="117" t="str">
        <f>VLOOKUP($A157,'All sections of NIF PDF'!$D:$N,6,FALSE)</f>
        <v>Requestor</v>
      </c>
      <c r="F157" s="117" t="str">
        <f>IF(VLOOKUP($A157,Definitions!$D:$E,2,FALSE)=0, "", VLOOKUP($A157,Definitions!$D:$E,2,FALSE))</f>
        <v>EDI references this to find which item is considered the Base Material. If items share package UPC’s, there can only be one that is considered the Base Material. The Planning Variant field is where this is indicated within SAP. Other items(children sku’s) that use the same package UPC as the Base (most often seen with Repack/RCP’s and Promo Codes), will use National, Customer or Limited. Therefore, if your setup type IS NOT Repack/RCP that is using an existing package UPC, your Planning Variantshould always be Base Material. If your setup type IS a Repack/RCP that is using an existing package UPC, your Planning Variant needs to be National, Customer or Limited. In addition, if you are setting up a Repack/RCP that is using an existing package UPC, there may be special setup required if your customer is going to order by the package UPC</v>
      </c>
      <c r="G157" s="117" t="str">
        <f>IF(VLOOKUP($A157,'All sections of NIF PDF'!$D:$N,11,FALSE)=0,"",VLOOKUP($A157,'All sections of NIF PDF'!$D:$N,11,FALSE))</f>
        <v/>
      </c>
    </row>
    <row r="158" spans="1:7" ht="43.15">
      <c r="A158" s="121" t="str">
        <f>'All sections of NIF PDF'!D158</f>
        <v>SKU Type</v>
      </c>
      <c r="B158" s="117">
        <f>INDEX('All sections of NIF PDF'!$A:$A,MATCH($A158,'All sections of NIF PDF'!$D:$D,0))</f>
        <v>1152</v>
      </c>
      <c r="C158" s="117" t="str">
        <f>VLOOKUP($A158,'All sections of NIF PDF'!$D:$N,4,FALSE)</f>
        <v>dd: PERMANENT, LIMITED</v>
      </c>
      <c r="D158" s="117" t="str">
        <f>INDEX('All sections of NIF PDF'!$B:$B,MATCH($A158,'All sections of NIF PDF'!$D:$D,0))</f>
        <v>Requestor Update</v>
      </c>
      <c r="E158" s="117" t="str">
        <f>VLOOKUP($A158,'All sections of NIF PDF'!$D:$N,6,FALSE)</f>
        <v>Requestor</v>
      </c>
      <c r="F158" s="117" t="str">
        <f>IF(VLOOKUP($A158,Definitions!$D:$E,2,FALSE)=0, "", VLOOKUP($A158,Definitions!$D:$E,2,FALSE))</f>
        <v>The SKU Type Indicates whether a SKU is Permanent or Limited - Indicates whether a SKU is permanent, limited, non-SKU or Internal/WIP. Provides product life cycle data for different reporting purposes, but heavily used within the SKU Rationalization process.</v>
      </c>
      <c r="G158" s="117" t="str">
        <f>IF(VLOOKUP($A158,'All sections of NIF PDF'!$D:$N,11,FALSE)=0,"",VLOOKUP($A158,'All sections of NIF PDF'!$D:$N,11,FALSE))</f>
        <v/>
      </c>
    </row>
    <row r="159" spans="1:7" ht="28.9">
      <c r="A159" s="121" t="str">
        <f>'All sections of NIF PDF'!D159</f>
        <v>Promo End Date</v>
      </c>
      <c r="B159" s="117">
        <f>INDEX('All sections of NIF PDF'!$A:$A,MATCH($A159,'All sections of NIF PDF'!$D:$D,0))</f>
        <v>1306</v>
      </c>
      <c r="C159" s="117" t="str">
        <f>VLOOKUP($A159,'All sections of NIF PDF'!$D:$N,4,FALSE)</f>
        <v>date</v>
      </c>
      <c r="D159" s="117" t="str">
        <f>INDEX('All sections of NIF PDF'!$B:$B,MATCH($A159,'All sections of NIF PDF'!$D:$D,0))</f>
        <v>Requestor Update</v>
      </c>
      <c r="E159" s="117" t="str">
        <f>VLOOKUP($A159,'All sections of NIF PDF'!$D:$N,6,FALSE)</f>
        <v>Requestor</v>
      </c>
      <c r="F159" s="117" t="str">
        <f>IF(VLOOKUP($A159,Definitions!$D:$E,2,FALSE)=0, "", VLOOKUP($A159,Definitions!$D:$E,2,FALSE))</f>
        <v xml:space="preserve">If SKU TYPE is LIMITED then the Promo End Date field it will open up for population. This date is an estimation for when the promotional period will end.  It drives the Remarketing and Stop Ship Dates. </v>
      </c>
      <c r="G159" s="117" t="str">
        <f>IF(VLOOKUP($A159,'All sections of NIF PDF'!$D:$N,11,FALSE)=0,"",VLOOKUP($A159,'All sections of NIF PDF'!$D:$N,11,FALSE))</f>
        <v/>
      </c>
    </row>
    <row r="160" spans="1:7" ht="43.15">
      <c r="A160" s="121" t="str">
        <f>'All sections of NIF PDF'!D160</f>
        <v>Stop Ship/Target Discontinuance</v>
      </c>
      <c r="B160" s="117">
        <f>INDEX('All sections of NIF PDF'!$A:$A,MATCH($A160,'All sections of NIF PDF'!$D:$D,0))</f>
        <v>1153</v>
      </c>
      <c r="C160" s="117" t="str">
        <f>VLOOKUP($A160,'All sections of NIF PDF'!$D:$N,4,FALSE)</f>
        <v>date</v>
      </c>
      <c r="D160" s="117" t="str">
        <f>INDEX('All sections of NIF PDF'!$B:$B,MATCH($A160,'All sections of NIF PDF'!$D:$D,0))</f>
        <v>Requestor Update</v>
      </c>
      <c r="E160" s="117" t="str">
        <f>VLOOKUP($A160,'All sections of NIF PDF'!$D:$N,6,FALSE)</f>
        <v>Requestor</v>
      </c>
      <c r="F160" s="117" t="str">
        <f>IF(VLOOKUP($A160,Definitions!$D:$E,2,FALSE)=0, "", VLOOKUP($A160,Definitions!$D:$E,2,FALSE))</f>
        <v xml:space="preserve">If SKU TYPE is LIMITED, the Stop Ship/Target Discontinuance date will autocalculate based off the promo end date. It is the date when the item is targeted for discontinuance which is 42 days after the promo end date.  </v>
      </c>
      <c r="G160" s="117" t="str">
        <f>IF(VLOOKUP($A160,'All sections of NIF PDF'!$D:$N,11,FALSE)=0,"",VLOOKUP($A160,'All sections of NIF PDF'!$D:$N,11,FALSE))</f>
        <v/>
      </c>
    </row>
    <row r="161" spans="1:7" ht="43.15">
      <c r="A161" s="121" t="str">
        <f>'All sections of NIF PDF'!D161</f>
        <v>Remarket Date</v>
      </c>
      <c r="B161" s="117">
        <f>INDEX('All sections of NIF PDF'!$A:$A,MATCH($A161,'All sections of NIF PDF'!$D:$D,0))</f>
        <v>1154</v>
      </c>
      <c r="C161" s="117" t="str">
        <f>VLOOKUP($A161,'All sections of NIF PDF'!$D:$N,4,FALSE)</f>
        <v>autofill</v>
      </c>
      <c r="D161" s="117" t="str">
        <f>INDEX('All sections of NIF PDF'!$B:$B,MATCH($A161,'All sections of NIF PDF'!$D:$D,0))</f>
        <v>Requestor Update</v>
      </c>
      <c r="E161" s="117" t="str">
        <f>VLOOKUP($A161,'All sections of NIF PDF'!$D:$N,6,FALSE)</f>
        <v>Requestor</v>
      </c>
      <c r="F161" s="117" t="str">
        <f>IF(VLOOKUP($A161,Definitions!$D:$E,2,FALSE)=0, "", VLOOKUP($A161,Definitions!$D:$E,2,FALSE))</f>
        <v>If SKU TYPE is LIMITED then the Remarket Date will autocalculate based off the promo end date. It is the date used to trigger when items should be added to the remarketing workstream which is 14 days after the promo end date.</v>
      </c>
      <c r="G161" s="117" t="str">
        <f>IF(VLOOKUP($A161,'All sections of NIF PDF'!$D:$N,11,FALSE)=0,"",VLOOKUP($A161,'All sections of NIF PDF'!$D:$N,11,FALSE))</f>
        <v/>
      </c>
    </row>
    <row r="162" spans="1:7" ht="43.15">
      <c r="A162" s="121" t="str">
        <f>'All sections of NIF PDF'!D162</f>
        <v>Is this a SKU to SKU Transition</v>
      </c>
      <c r="B162" s="117">
        <f>INDEX('All sections of NIF PDF'!$A:$A,MATCH($A162,'All sections of NIF PDF'!$D:$D,0))</f>
        <v>1156</v>
      </c>
      <c r="C162" s="117" t="str">
        <f>VLOOKUP($A162,'All sections of NIF PDF'!$D:$N,4,FALSE)</f>
        <v>dd: YES, NO</v>
      </c>
      <c r="D162" s="117" t="str">
        <f>INDEX('All sections of NIF PDF'!$B:$B,MATCH($A162,'All sections of NIF PDF'!$D:$D,0))</f>
        <v>Requestor Update</v>
      </c>
      <c r="E162" s="117" t="str">
        <f>VLOOKUP($A162,'All sections of NIF PDF'!$D:$N,6,FALSE)</f>
        <v>Requestor</v>
      </c>
      <c r="F162" s="117" t="str">
        <f>IF(VLOOKUP($A162,Definitions!$D:$E,2,FALSE)=0, "", VLOOKUP($A162,Definitions!$D:$E,2,FALSE))</f>
        <v xml:space="preserve">Yes or No. If the new item is going to replace an existing item, this field would be = Yes - Can be used if converting from an older item. If yes, the Conversion Case Code and Conversion Date fields open up for population </v>
      </c>
      <c r="G162" s="117" t="str">
        <f>IF(VLOOKUP($A162,'All sections of NIF PDF'!$D:$N,11,FALSE)=0,"",VLOOKUP($A162,'All sections of NIF PDF'!$D:$N,11,FALSE))</f>
        <v/>
      </c>
    </row>
    <row r="163" spans="1:7" ht="28.9">
      <c r="A163" s="121" t="str">
        <f>'All sections of NIF PDF'!D163</f>
        <v>Conversion Case Code</v>
      </c>
      <c r="B163" s="117">
        <f>INDEX('All sections of NIF PDF'!$A:$A,MATCH($A163,'All sections of NIF PDF'!$D:$D,0))</f>
        <v>1157</v>
      </c>
      <c r="C163" s="117" t="str">
        <f>VLOOKUP($A163,'All sections of NIF PDF'!$D:$N,4,FALSE)</f>
        <v>free form</v>
      </c>
      <c r="D163" s="117" t="str">
        <f>INDEX('All sections of NIF PDF'!$B:$B,MATCH($A163,'All sections of NIF PDF'!$D:$D,0))</f>
        <v>Requestor Update</v>
      </c>
      <c r="E163" s="117" t="str">
        <f>VLOOKUP($A163,'All sections of NIF PDF'!$D:$N,6,FALSE)</f>
        <v>Requestor</v>
      </c>
      <c r="F163" s="117" t="str">
        <f>IF(VLOOKUP($A163,Definitions!$D:$E,2,FALSE)=0, "", VLOOKUP($A163,Definitions!$D:$E,2,FALSE))</f>
        <v>This field will open up for population if the answer to "Is this a SKU to SKU Transition" question is Yes. Used in reporting.</v>
      </c>
      <c r="G163" s="117" t="str">
        <f>IF(VLOOKUP($A163,'All sections of NIF PDF'!$D:$N,11,FALSE)=0,"",VLOOKUP($A163,'All sections of NIF PDF'!$D:$N,11,FALSE))</f>
        <v/>
      </c>
    </row>
    <row r="164" spans="1:7" ht="28.9">
      <c r="A164" s="121" t="str">
        <f>'All sections of NIF PDF'!D164</f>
        <v>Conversion Date</v>
      </c>
      <c r="B164" s="117">
        <f>INDEX('All sections of NIF PDF'!$A:$A,MATCH($A164,'All sections of NIF PDF'!$D:$D,0))</f>
        <v>1158</v>
      </c>
      <c r="C164" s="117" t="str">
        <f>VLOOKUP($A164,'All sections of NIF PDF'!$D:$N,4,FALSE)</f>
        <v>date</v>
      </c>
      <c r="D164" s="117" t="str">
        <f>INDEX('All sections of NIF PDF'!$B:$B,MATCH($A164,'All sections of NIF PDF'!$D:$D,0))</f>
        <v>Requestor Update</v>
      </c>
      <c r="E164" s="117" t="str">
        <f>VLOOKUP($A164,'All sections of NIF PDF'!$D:$N,6,FALSE)</f>
        <v>Requestor</v>
      </c>
      <c r="F164" s="117" t="str">
        <f>IF(VLOOKUP($A164,Definitions!$D:$E,2,FALSE)=0, "", VLOOKUP($A164,Definitions!$D:$E,2,FALSE))</f>
        <v>This field will open up for population if the answer to "Is this a SKU to SKU Transition" question is Yes. Used in reporting.</v>
      </c>
      <c r="G164" s="117" t="str">
        <f>IF(VLOOKUP($A164,'All sections of NIF PDF'!$D:$N,11,FALSE)=0,"",VLOOKUP($A164,'All sections of NIF PDF'!$D:$N,11,FALSE))</f>
        <v/>
      </c>
    </row>
    <row r="165" spans="1:7" ht="28.9">
      <c r="A165" s="121" t="str">
        <f>'All sections of NIF PDF'!D165</f>
        <v>OTG Type</v>
      </c>
      <c r="B165" s="117">
        <f>INDEX('All sections of NIF PDF'!$A:$A,MATCH($A165,'All sections of NIF PDF'!$D:$D,0))</f>
        <v>1159</v>
      </c>
      <c r="C165" s="117" t="str">
        <f>VLOOKUP($A165,'All sections of NIF PDF'!$D:$N,4,FALSE)</f>
        <v>dd: reference list: PRL: OTG Type</v>
      </c>
      <c r="D165" s="117" t="str">
        <f>INDEX('All sections of NIF PDF'!$B:$B,MATCH($A165,'All sections of NIF PDF'!$D:$D,0))</f>
        <v>Requestor Update</v>
      </c>
      <c r="E165" s="117" t="str">
        <f>VLOOKUP($A165,'All sections of NIF PDF'!$D:$N,6,FALSE)</f>
        <v>Requestor</v>
      </c>
      <c r="F165" s="117" t="str">
        <f>IF(VLOOKUP($A165,Definitions!$D:$E,2,FALSE)=0, "", VLOOKUP($A165,Definitions!$D:$E,2,FALSE))</f>
        <v>OTG (On the Go) items only. Used for reporting purposes</v>
      </c>
      <c r="G165" s="117" t="str">
        <f>IF(VLOOKUP($A165,'All sections of NIF PDF'!$D:$N,11,FALSE)=0,"",VLOOKUP($A165,'All sections of NIF PDF'!$D:$N,11,FALSE))</f>
        <v/>
      </c>
    </row>
    <row r="166" spans="1:7">
      <c r="A166" s="121" t="str">
        <f>'All sections of NIF PDF'!D166</f>
        <v>Single Serve</v>
      </c>
      <c r="B166" s="117">
        <f>INDEX('All sections of NIF PDF'!$A:$A,MATCH($A166,'All sections of NIF PDF'!$D:$D,0))</f>
        <v>1160</v>
      </c>
      <c r="C166" s="117" t="str">
        <f>VLOOKUP($A166,'All sections of NIF PDF'!$D:$N,4,FALSE)</f>
        <v>dd: YES, NO</v>
      </c>
      <c r="D166" s="117" t="str">
        <f>INDEX('All sections of NIF PDF'!$B:$B,MATCH($A166,'All sections of NIF PDF'!$D:$D,0))</f>
        <v>Requestor Update</v>
      </c>
      <c r="E166" s="117" t="str">
        <f>VLOOKUP($A166,'All sections of NIF PDF'!$D:$N,6,FALSE)</f>
        <v>Requestor</v>
      </c>
      <c r="F166" s="117" t="str">
        <f>IF(VLOOKUP($A166,Definitions!$D:$E,2,FALSE)=0, "", VLOOKUP($A166,Definitions!$D:$E,2,FALSE))</f>
        <v>Additional descriptor to define the type of single serve item. Used for reporting purposes only.</v>
      </c>
      <c r="G166" s="117" t="str">
        <f>IF(VLOOKUP($A166,'All sections of NIF PDF'!$D:$N,11,FALSE)=0,"",VLOOKUP($A166,'All sections of NIF PDF'!$D:$N,11,FALSE))</f>
        <v/>
      </c>
    </row>
    <row r="167" spans="1:7" ht="57.6">
      <c r="A167" s="121" t="str">
        <f>'All sections of NIF PDF'!D167</f>
        <v>Pack Size</v>
      </c>
      <c r="B167" s="117">
        <f>INDEX('All sections of NIF PDF'!$A:$A,MATCH($A167,'All sections of NIF PDF'!$D:$D,0))</f>
        <v>1307</v>
      </c>
      <c r="C167" s="117" t="str">
        <f>VLOOKUP($A167,'All sections of NIF PDF'!$D:$N,4,FALSE)</f>
        <v>dd: reference list: PRL: Pack Size 
(CLUB PACK, RETAIL, SINGLE SERVE)</v>
      </c>
      <c r="D167" s="117" t="str">
        <f>INDEX('All sections of NIF PDF'!$B:$B,MATCH($A167,'All sections of NIF PDF'!$D:$D,0))</f>
        <v>Requestor Update</v>
      </c>
      <c r="E167" s="117" t="str">
        <f>VLOOKUP($A167,'All sections of NIF PDF'!$D:$N,6,FALSE)</f>
        <v>Requestor</v>
      </c>
      <c r="F167" s="117" t="str">
        <f>IF(VLOOKUP($A167,Definitions!$D:$E,2,FALSE)=0, "", VLOOKUP($A167,Definitions!$D:$E,2,FALSE))</f>
        <v xml:space="preserve">The Pack Size Field in the Classification View is used in EDI Logic to determine how an item is handled on orders. There are three choices: Retail, Club Pack and Single Serve.  This field is autopoulated based on the set-up type. For more details, see the NIF Training Deck.  </v>
      </c>
      <c r="G167" s="117" t="str">
        <f>IF(VLOOKUP($A167,'All sections of NIF PDF'!$D:$N,11,FALSE)=0,"",VLOOKUP($A167,'All sections of NIF PDF'!$D:$N,11,FALSE))</f>
        <v/>
      </c>
    </row>
    <row r="168" spans="1:7">
      <c r="A168" s="121" t="str">
        <f>'All sections of NIF PDF'!D168</f>
        <v>Total shelf life</v>
      </c>
      <c r="B168" s="117">
        <f>INDEX('All sections of NIF PDF'!$A:$A,MATCH($A168,'All sections of NIF PDF'!$D:$D,0))</f>
        <v>1161</v>
      </c>
      <c r="C168" s="117" t="str">
        <f>VLOOKUP($A168,'All sections of NIF PDF'!$D:$N,4,FALSE)</f>
        <v>free form</v>
      </c>
      <c r="D168" s="117" t="str">
        <f>INDEX('All sections of NIF PDF'!$B:$B,MATCH($A168,'All sections of NIF PDF'!$D:$D,0))</f>
        <v>Requestor Update</v>
      </c>
      <c r="E168" s="117" t="str">
        <f>VLOOKUP($A168,'All sections of NIF PDF'!$D:$N,6,FALSE)</f>
        <v>Requestor</v>
      </c>
      <c r="F168" s="117" t="str">
        <f>IF(VLOOKUP($A168,Definitions!$D:$E,2,FALSE)=0, "", VLOOKUP($A168,Definitions!$D:$E,2,FALSE))</f>
        <v>Total days of product life until expiration</v>
      </c>
      <c r="G168" s="117" t="str">
        <f>IF(VLOOKUP($A168,'All sections of NIF PDF'!$D:$N,11,FALSE)=0,"",VLOOKUP($A168,'All sections of NIF PDF'!$D:$N,11,FALSE))</f>
        <v/>
      </c>
    </row>
    <row r="169" spans="1:7" ht="57.6">
      <c r="A169" s="121" t="str">
        <f>'All sections of NIF PDF'!D169</f>
        <v>Will this item be sold at the package level Direct To Consumer  (DTC)</v>
      </c>
      <c r="B169" s="117">
        <f>INDEX('All sections of NIF PDF'!$A:$A,MATCH($A169,'All sections of NIF PDF'!$D:$D,0))</f>
        <v>1162</v>
      </c>
      <c r="C169" s="117" t="str">
        <f>VLOOKUP($A169,'All sections of NIF PDF'!$D:$N,4,FALSE)</f>
        <v>dd: YES, NO</v>
      </c>
      <c r="D169" s="117" t="str">
        <f>INDEX('All sections of NIF PDF'!$B:$B,MATCH($A169,'All sections of NIF PDF'!$D:$D,0))</f>
        <v>Requestor Update</v>
      </c>
      <c r="E169" s="117" t="str">
        <f>VLOOKUP($A169,'All sections of NIF PDF'!$D:$N,6,FALSE)</f>
        <v>Requestor</v>
      </c>
      <c r="F169" s="117" t="str">
        <f>IF(VLOOKUP($A169,Definitions!$D:$E,2,FALSE)=0, "", VLOOKUP($A169,Definitions!$D:$E,2,FALSE))</f>
        <v xml:space="preserve">This field will be locked unless the item is a Retail RX Straight Case.  DTC set-ups are only valid for RX.  Answer Yes, if this is the first time that the item will be sold on the RXBAR.com website. The NIF will automatically kick off the KNA DTC Simple Bundle 1ct Create form at the end of the setup for the Retail Straight Case. </v>
      </c>
      <c r="G169" s="117" t="str">
        <f>IF(VLOOKUP($A169,'All sections of NIF PDF'!$D:$N,11,FALSE)=0,"",VLOOKUP($A169,'All sections of NIF PDF'!$D:$N,11,FALSE))</f>
        <v/>
      </c>
    </row>
    <row r="170" spans="1:7" ht="28.9">
      <c r="A170" s="121" t="str">
        <f>'All sections of NIF PDF'!D170</f>
        <v>Alternate Market Segment</v>
      </c>
      <c r="B170" s="117">
        <f>INDEX('All sections of NIF PDF'!$A:$A,MATCH($A170,'All sections of NIF PDF'!$D:$D,0))</f>
        <v>1163</v>
      </c>
      <c r="C170" s="117" t="str">
        <f>VLOOKUP($A170,'All sections of NIF PDF'!$D:$N,4,FALSE)</f>
        <v>autofill</v>
      </c>
      <c r="D170" s="117" t="str">
        <f>INDEX('All sections of NIF PDF'!$B:$B,MATCH($A170,'All sections of NIF PDF'!$D:$D,0))</f>
        <v>Requestor Update</v>
      </c>
      <c r="E170" s="117" t="str">
        <f>VLOOKUP($A170,'All sections of NIF PDF'!$D:$N,6,FALSE)</f>
        <v>Requestor</v>
      </c>
      <c r="F170" s="117" t="str">
        <f>IF(VLOOKUP($A170,Definitions!$D:$E,2,FALSE)=0, "", VLOOKUP($A170,Definitions!$D:$E,2,FALSE))</f>
        <v>Aligns with Product Hierarchy, but alternate verbiage than Market Segment in Product Hierarchy. Used for reporting only.</v>
      </c>
      <c r="G170" s="117" t="str">
        <f>IF(VLOOKUP($A170,'All sections of NIF PDF'!$D:$N,11,FALSE)=0,"",VLOOKUP($A170,'All sections of NIF PDF'!$D:$N,11,FALSE))</f>
        <v/>
      </c>
    </row>
    <row r="171" spans="1:7" ht="28.9">
      <c r="A171" s="121" t="str">
        <f>'All sections of NIF PDF'!D171</f>
        <v>Alternate Category</v>
      </c>
      <c r="B171" s="117">
        <f>INDEX('All sections of NIF PDF'!$A:$A,MATCH($A171,'All sections of NIF PDF'!$D:$D,0))</f>
        <v>1164</v>
      </c>
      <c r="C171" s="117" t="str">
        <f>VLOOKUP($A171,'All sections of NIF PDF'!$D:$N,4,FALSE)</f>
        <v>autofill</v>
      </c>
      <c r="D171" s="117" t="str">
        <f>INDEX('All sections of NIF PDF'!$B:$B,MATCH($A171,'All sections of NIF PDF'!$D:$D,0))</f>
        <v>Requestor Update</v>
      </c>
      <c r="E171" s="117" t="str">
        <f>VLOOKUP($A171,'All sections of NIF PDF'!$D:$N,6,FALSE)</f>
        <v>Requestor</v>
      </c>
      <c r="F171" s="117" t="str">
        <f>IF(VLOOKUP($A171,Definitions!$D:$E,2,FALSE)=0, "", VLOOKUP($A171,Definitions!$D:$E,2,FALSE))</f>
        <v>Aligns with Product Hierarchy, but alternate verbiage than Category in Product Hierarchy. Used for reporting only.</v>
      </c>
      <c r="G171" s="117" t="str">
        <f>IF(VLOOKUP($A171,'All sections of NIF PDF'!$D:$N,11,FALSE)=0,"",VLOOKUP($A171,'All sections of NIF PDF'!$D:$N,11,FALSE))</f>
        <v/>
      </c>
    </row>
    <row r="172" spans="1:7" ht="28.9">
      <c r="A172" s="121" t="str">
        <f>'All sections of NIF PDF'!D172</f>
        <v>Alternate Sub-Category</v>
      </c>
      <c r="B172" s="117">
        <f>INDEX('All sections of NIF PDF'!$A:$A,MATCH($A172,'All sections of NIF PDF'!$D:$D,0))</f>
        <v>1165</v>
      </c>
      <c r="C172" s="117" t="str">
        <f>VLOOKUP($A172,'All sections of NIF PDF'!$D:$N,4,FALSE)</f>
        <v>autofill</v>
      </c>
      <c r="D172" s="117" t="str">
        <f>INDEX('All sections of NIF PDF'!$B:$B,MATCH($A172,'All sections of NIF PDF'!$D:$D,0))</f>
        <v>Requestor Update</v>
      </c>
      <c r="E172" s="117" t="str">
        <f>VLOOKUP($A172,'All sections of NIF PDF'!$D:$N,6,FALSE)</f>
        <v>Requestor</v>
      </c>
      <c r="F172" s="117" t="str">
        <f>IF(VLOOKUP($A172,Definitions!$D:$E,2,FALSE)=0, "", VLOOKUP($A172,Definitions!$D:$E,2,FALSE))</f>
        <v>Aligns with Product Hierarchy, but alternate verbiage than Sub Category in Product Hierarchy. Used for reporting only.</v>
      </c>
      <c r="G172" s="117" t="str">
        <f>IF(VLOOKUP($A172,'All sections of NIF PDF'!$D:$N,11,FALSE)=0,"",VLOOKUP($A172,'All sections of NIF PDF'!$D:$N,11,FALSE))</f>
        <v/>
      </c>
    </row>
    <row r="173" spans="1:7" ht="28.9">
      <c r="A173" s="121" t="str">
        <f>'All sections of NIF PDF'!D173</f>
        <v>Trade Channel</v>
      </c>
      <c r="B173" s="117">
        <f>INDEX('All sections of NIF PDF'!$A:$A,MATCH($A173,'All sections of NIF PDF'!$D:$D,0))</f>
        <v>1166</v>
      </c>
      <c r="C173" s="117" t="str">
        <f>VLOOKUP($A173,'All sections of NIF PDF'!$D:$N,4,FALSE)</f>
        <v>dd: reference list: PRL: Trade Channel</v>
      </c>
      <c r="D173" s="117" t="str">
        <f>INDEX('All sections of NIF PDF'!$B:$B,MATCH($A173,'All sections of NIF PDF'!$D:$D,0))</f>
        <v>Requestor Update</v>
      </c>
      <c r="E173" s="117" t="str">
        <f>VLOOKUP($A173,'All sections of NIF PDF'!$D:$N,6,FALSE)</f>
        <v>Requestor</v>
      </c>
      <c r="F173" s="117" t="str">
        <f>IF(VLOOKUP($A173,Definitions!$D:$E,2,FALSE)=0, "", VLOOKUP($A173,Definitions!$D:$E,2,FALSE))</f>
        <v xml:space="preserve">Listing of possible trade channels the product will be sold in. Hover on "TRADE CHANNEL HELP" for more information. More than one selection can be made.  Populate all that apply .  </v>
      </c>
      <c r="G173" s="117" t="str">
        <f>IF(VLOOKUP($A173,'All sections of NIF PDF'!$D:$N,11,FALSE)=0,"",VLOOKUP($A173,'All sections of NIF PDF'!$D:$N,11,FALSE))</f>
        <v/>
      </c>
    </row>
    <row r="174" spans="1:7" ht="43.15">
      <c r="A174" s="121" t="str">
        <f>'All sections of NIF PDF'!D174</f>
        <v>Is this item associated with a Promotion or Limited Time Offer</v>
      </c>
      <c r="B174" s="117">
        <f>INDEX('All sections of NIF PDF'!$A:$A,MATCH($A174,'All sections of NIF PDF'!$D:$D,0))</f>
        <v>1308</v>
      </c>
      <c r="C174" s="117" t="str">
        <f>VLOOKUP($A174,'All sections of NIF PDF'!$D:$N,4,FALSE)</f>
        <v>dd: YES, NO</v>
      </c>
      <c r="D174" s="117" t="str">
        <f>INDEX('All sections of NIF PDF'!$B:$B,MATCH($A174,'All sections of NIF PDF'!$D:$D,0))</f>
        <v>Requestor Update</v>
      </c>
      <c r="E174" s="117" t="str">
        <f>VLOOKUP($A174,'All sections of NIF PDF'!$D:$N,6,FALSE)</f>
        <v>Requestor</v>
      </c>
      <c r="F174" s="117" t="str">
        <f>IF(VLOOKUP($A174,Definitions!$D:$E,2,FALSE)=0, "", VLOOKUP($A174,Definitions!$D:$E,2,FALSE))</f>
        <v xml:space="preserve">Answer Yes if associated with Promo or Limited Time Offer, such as Back to School.  </v>
      </c>
      <c r="G174" s="117" t="str">
        <f>IF(VLOOKUP($A174,'All sections of NIF PDF'!$D:$N,11,FALSE)=0,"",VLOOKUP($A174,'All sections of NIF PDF'!$D:$N,11,FALSE))</f>
        <v/>
      </c>
    </row>
    <row r="175" spans="1:7" ht="28.9">
      <c r="A175" s="121" t="str">
        <f>'All sections of NIF PDF'!D175</f>
        <v>Promotion or LTO Description</v>
      </c>
      <c r="B175" s="117">
        <f>INDEX('All sections of NIF PDF'!$A:$A,MATCH($A175,'All sections of NIF PDF'!$D:$D,0))</f>
        <v>1167</v>
      </c>
      <c r="C175" s="117" t="str">
        <f>VLOOKUP($A175,'All sections of NIF PDF'!$D:$N,4,FALSE)</f>
        <v>dd: reference list: PRL: Promotion</v>
      </c>
      <c r="D175" s="117" t="str">
        <f>INDEX('All sections of NIF PDF'!$B:$B,MATCH($A175,'All sections of NIF PDF'!$D:$D,0))</f>
        <v>Requestor Update</v>
      </c>
      <c r="E175" s="117" t="str">
        <f>VLOOKUP($A175,'All sections of NIF PDF'!$D:$N,6,FALSE)</f>
        <v>Requestor</v>
      </c>
      <c r="F175" s="117" t="str">
        <f>IF(VLOOKUP($A175,Definitions!$D:$E,2,FALSE)=0, "", VLOOKUP($A175,Definitions!$D:$E,2,FALSE))</f>
        <v>This is only required if the item will have promotional packaging (ex. Back to School, Halloween or winter). Used in the product description.</v>
      </c>
      <c r="G175" s="117" t="str">
        <f>IF(VLOOKUP($A175,'All sections of NIF PDF'!$D:$N,11,FALSE)=0,"",VLOOKUP($A175,'All sections of NIF PDF'!$D:$N,11,FALSE))</f>
        <v/>
      </c>
    </row>
    <row r="176" spans="1:7" ht="28.9">
      <c r="A176" s="121" t="str">
        <f>'All sections of NIF PDF'!D176</f>
        <v>Promo Short Description</v>
      </c>
      <c r="B176" s="117">
        <f>INDEX('All sections of NIF PDF'!$A:$A,MATCH($A176,'All sections of NIF PDF'!$D:$D,0))</f>
        <v>1168</v>
      </c>
      <c r="C176" s="117" t="str">
        <f>VLOOKUP($A176,'All sections of NIF PDF'!$D:$N,4,FALSE)</f>
        <v>dd: reference list: PRL: Promotion</v>
      </c>
      <c r="D176" s="117" t="str">
        <f>INDEX('All sections of NIF PDF'!$B:$B,MATCH($A176,'All sections of NIF PDF'!$D:$D,0))</f>
        <v>Requestor Update</v>
      </c>
      <c r="E176" s="117" t="str">
        <f>VLOOKUP($A176,'All sections of NIF PDF'!$D:$N,6,FALSE)</f>
        <v>Requestor</v>
      </c>
      <c r="F176" s="117" t="str">
        <f>IF(VLOOKUP($A176,Definitions!$D:$E,2,FALSE)=0, "", VLOOKUP($A176,Definitions!$D:$E,2,FALSE))</f>
        <v>Abbreviated version of the Promotion or LTO which is used in the product description.</v>
      </c>
      <c r="G176" s="117" t="str">
        <f>IF(VLOOKUP($A176,'All sections of NIF PDF'!$D:$N,11,FALSE)=0,"",VLOOKUP($A176,'All sections of NIF PDF'!$D:$N,11,FALSE))</f>
        <v/>
      </c>
    </row>
    <row r="177" spans="1:7" ht="28.9">
      <c r="A177" s="121" t="str">
        <f>'All sections of NIF PDF'!D177</f>
        <v>Business Unit for Promo</v>
      </c>
      <c r="B177" s="117">
        <f>INDEX('All sections of NIF PDF'!$A:$A,MATCH($A177,'All sections of NIF PDF'!$D:$D,0))</f>
        <v>1169</v>
      </c>
      <c r="C177" s="117" t="str">
        <f>VLOOKUP($A177,'All sections of NIF PDF'!$D:$N,4,FALSE)</f>
        <v>dd: reference list: PRL: Business Unit for Promo</v>
      </c>
      <c r="D177" s="117" t="str">
        <f>INDEX('All sections of NIF PDF'!$B:$B,MATCH($A177,'All sections of NIF PDF'!$D:$D,0))</f>
        <v>Requestor Update</v>
      </c>
      <c r="E177" s="117" t="str">
        <f>VLOOKUP($A177,'All sections of NIF PDF'!$D:$N,6,FALSE)</f>
        <v>Requestor</v>
      </c>
      <c r="F177" s="117" t="str">
        <f>IF(VLOOKUP($A177,Definitions!$D:$E,2,FALSE)=0, "", VLOOKUP($A177,Definitions!$D:$E,2,FALSE))</f>
        <v>Will open up for population if a Promotion is selected. Should correspond to the Business Unit.</v>
      </c>
      <c r="G177" s="117" t="str">
        <f>IF(VLOOKUP($A177,'All sections of NIF PDF'!$D:$N,11,FALSE)=0,"",VLOOKUP($A177,'All sections of NIF PDF'!$D:$N,11,FALSE))</f>
        <v/>
      </c>
    </row>
    <row r="178" spans="1:7">
      <c r="A178" s="121" t="str">
        <f>'All sections of NIF PDF'!D178</f>
        <v>Is this product Licensed</v>
      </c>
      <c r="B178" s="117">
        <f>INDEX('All sections of NIF PDF'!$A:$A,MATCH($A178,'All sections of NIF PDF'!$D:$D,0))</f>
        <v>1309</v>
      </c>
      <c r="C178" s="117" t="str">
        <f>VLOOKUP($A178,'All sections of NIF PDF'!$D:$N,4,FALSE)</f>
        <v>dd: YES, NO</v>
      </c>
      <c r="D178" s="117" t="str">
        <f>INDEX('All sections of NIF PDF'!$B:$B,MATCH($A178,'All sections of NIF PDF'!$D:$D,0))</f>
        <v>Requestor Update</v>
      </c>
      <c r="E178" s="117" t="str">
        <f>VLOOKUP($A178,'All sections of NIF PDF'!$D:$N,6,FALSE)</f>
        <v>Requestor</v>
      </c>
      <c r="F178" s="117" t="str">
        <f>IF(VLOOKUP($A178,Definitions!$D:$E,2,FALSE)=0, "", VLOOKUP($A178,Definitions!$D:$E,2,FALSE))</f>
        <v>Required for all FERTs with Licensing Agreements.</v>
      </c>
      <c r="G178" s="117" t="str">
        <f>IF(VLOOKUP($A178,'All sections of NIF PDF'!$D:$N,11,FALSE)=0,"",VLOOKUP($A178,'All sections of NIF PDF'!$D:$N,11,FALSE))</f>
        <v/>
      </c>
    </row>
    <row r="179" spans="1:7" ht="28.9">
      <c r="A179" s="121" t="str">
        <f>'All sections of NIF PDF'!D179</f>
        <v>Royalty Product Type</v>
      </c>
      <c r="B179" s="117">
        <f>INDEX('All sections of NIF PDF'!$A:$A,MATCH($A179,'All sections of NIF PDF'!$D:$D,0))</f>
        <v>1170</v>
      </c>
      <c r="C179" s="117" t="str">
        <f>VLOOKUP($A179,'All sections of NIF PDF'!$D:$N,4,FALSE)</f>
        <v>dd: reference list: PRL: Royalty Product Type</v>
      </c>
      <c r="D179" s="117" t="str">
        <f>INDEX('All sections of NIF PDF'!$B:$B,MATCH($A179,'All sections of NIF PDF'!$D:$D,0))</f>
        <v>Requestor Update</v>
      </c>
      <c r="E179" s="117" t="str">
        <f>VLOOKUP($A179,'All sections of NIF PDF'!$D:$N,6,FALSE)</f>
        <v>Requestor</v>
      </c>
      <c r="F179" s="117" t="str">
        <f>IF(VLOOKUP($A179,Definitions!$D:$E,2,FALSE)=0, "", VLOOKUP($A179,Definitions!$D:$E,2,FALSE))</f>
        <v>This field is no longer available.</v>
      </c>
      <c r="G179" s="117" t="str">
        <f>IF(VLOOKUP($A179,'All sections of NIF PDF'!$D:$N,11,FALSE)=0,"",VLOOKUP($A179,'All sections of NIF PDF'!$D:$N,11,FALSE))</f>
        <v/>
      </c>
    </row>
    <row r="180" spans="1:7" ht="28.9">
      <c r="A180" s="121" t="str">
        <f>'All sections of NIF PDF'!D180</f>
        <v>Royalty Licenser</v>
      </c>
      <c r="B180" s="117">
        <f>INDEX('All sections of NIF PDF'!$A:$A,MATCH($A180,'All sections of NIF PDF'!$D:$D,0))</f>
        <v>1171</v>
      </c>
      <c r="C180" s="117" t="str">
        <f>VLOOKUP($A180,'All sections of NIF PDF'!$D:$N,4,FALSE)</f>
        <v>dd: reference list: PRL: Royalty Licenser</v>
      </c>
      <c r="D180" s="117" t="str">
        <f>INDEX('All sections of NIF PDF'!$B:$B,MATCH($A180,'All sections of NIF PDF'!$D:$D,0))</f>
        <v>Requestor Update</v>
      </c>
      <c r="E180" s="117" t="str">
        <f>VLOOKUP($A180,'All sections of NIF PDF'!$D:$N,6,FALSE)</f>
        <v>Requestor</v>
      </c>
      <c r="F180" s="117" t="str">
        <f>IF(VLOOKUP($A180,Definitions!$D:$E,2,FALSE)=0, "", VLOOKUP($A180,Definitions!$D:$E,2,FALSE))</f>
        <v>Name of licenser for licensed products. Used in the product description.</v>
      </c>
      <c r="G180" s="117" t="str">
        <f>IF(VLOOKUP($A180,'All sections of NIF PDF'!$D:$N,11,FALSE)=0,"",VLOOKUP($A180,'All sections of NIF PDF'!$D:$N,11,FALSE))</f>
        <v/>
      </c>
    </row>
    <row r="181" spans="1:7" ht="28.9">
      <c r="A181" s="121" t="str">
        <f>'All sections of NIF PDF'!D181</f>
        <v>Royalty Licenser Abbreviation</v>
      </c>
      <c r="B181" s="117">
        <f>INDEX('All sections of NIF PDF'!$A:$A,MATCH($A181,'All sections of NIF PDF'!$D:$D,0))</f>
        <v>1172</v>
      </c>
      <c r="C181" s="117" t="str">
        <f>VLOOKUP($A181,'All sections of NIF PDF'!$D:$N,4,FALSE)</f>
        <v>dd: reference list: PRL: Royalty Licenser</v>
      </c>
      <c r="D181" s="117" t="str">
        <f>INDEX('All sections of NIF PDF'!$B:$B,MATCH($A181,'All sections of NIF PDF'!$D:$D,0))</f>
        <v>Requestor Update</v>
      </c>
      <c r="E181" s="117" t="str">
        <f>VLOOKUP($A181,'All sections of NIF PDF'!$D:$N,6,FALSE)</f>
        <v>Requestor</v>
      </c>
      <c r="F181" s="117" t="str">
        <f>IF(VLOOKUP($A181,Definitions!$D:$E,2,FALSE)=0, "", VLOOKUP($A181,Definitions!$D:$E,2,FALSE))</f>
        <v>Autopopulated abbreviation of the name of the royalty licenser</v>
      </c>
      <c r="G181" s="117" t="str">
        <f>IF(VLOOKUP($A181,'All sections of NIF PDF'!$D:$N,11,FALSE)=0,"",VLOOKUP($A181,'All sections of NIF PDF'!$D:$N,11,FALSE))</f>
        <v/>
      </c>
    </row>
    <row r="182" spans="1:7" ht="43.15">
      <c r="A182" s="121" t="str">
        <f>'All sections of NIF PDF'!D182</f>
        <v>Food Count (Bars, Waffles, PT, Shakes, RKT)</v>
      </c>
      <c r="B182" s="117">
        <f>INDEX('All sections of NIF PDF'!$A:$A,MATCH($A182,'All sections of NIF PDF'!$D:$D,0))</f>
        <v>1173</v>
      </c>
      <c r="C182" s="117" t="str">
        <f>VLOOKUP($A182,'All sections of NIF PDF'!$D:$N,4,FALSE)</f>
        <v>free form</v>
      </c>
      <c r="D182" s="117" t="str">
        <f>INDEX('All sections of NIF PDF'!$B:$B,MATCH($A182,'All sections of NIF PDF'!$D:$D,0))</f>
        <v>Requestor Update</v>
      </c>
      <c r="E182" s="117" t="str">
        <f>VLOOKUP($A182,'All sections of NIF PDF'!$D:$N,6,FALSE)</f>
        <v>Requestor</v>
      </c>
      <c r="F182" s="117" t="str">
        <f>IF(VLOOKUP($A182,Definitions!$D:$E,2,FALSE)=0, "", VLOOKUP($A182,Definitions!$D:$E,2,FALSE))</f>
        <v>Used to indicate &amp; define the number of the innter items in a package food count for Bars, Waffles, Pop Tarts and Rice Krispies Treats - It is used in the description and populated into the Food Count field in the Classification View</v>
      </c>
      <c r="G182" s="117" t="str">
        <f>IF(VLOOKUP($A182,'All sections of NIF PDF'!$D:$N,11,FALSE)=0,"",VLOOKUP($A182,'All sections of NIF PDF'!$D:$N,11,FALSE))</f>
        <v/>
      </c>
    </row>
    <row r="183" spans="1:7" ht="28.9">
      <c r="A183" s="121" t="str">
        <f>'All sections of NIF PDF'!D183</f>
        <v>Special Pack Type</v>
      </c>
      <c r="B183" s="117">
        <f>INDEX('All sections of NIF PDF'!$A:$A,MATCH($A183,'All sections of NIF PDF'!$D:$D,0))</f>
        <v>1174</v>
      </c>
      <c r="C183" s="117" t="str">
        <f>VLOOKUP($A183,'All sections of NIF PDF'!$D:$N,4,FALSE)</f>
        <v>dd: reference list: PRL: Special Pack Type</v>
      </c>
      <c r="D183" s="117" t="str">
        <f>INDEX('All sections of NIF PDF'!$B:$B,MATCH($A183,'All sections of NIF PDF'!$D:$D,0))</f>
        <v>Requestor Update</v>
      </c>
      <c r="E183" s="117" t="str">
        <f>VLOOKUP($A183,'All sections of NIF PDF'!$D:$N,6,FALSE)</f>
        <v>Requestor</v>
      </c>
      <c r="F183" s="117" t="str">
        <f>IF(VLOOKUP($A183,Definitions!$D:$E,2,FALSE)=0, "", VLOOKUP($A183,Definitions!$D:$E,2,FALSE))</f>
        <v>Used to provide a way to describe a special type of packaging. It is used in the description if populated</v>
      </c>
      <c r="G183" s="117" t="str">
        <f>IF(VLOOKUP($A183,'All sections of NIF PDF'!$D:$N,11,FALSE)=0,"",VLOOKUP($A183,'All sections of NIF PDF'!$D:$N,11,FALSE))</f>
        <v/>
      </c>
    </row>
    <row r="184" spans="1:7" ht="28.9">
      <c r="A184" s="121" t="str">
        <f>'All sections of NIF PDF'!D184</f>
        <v>Pringles Country for Material Description</v>
      </c>
      <c r="B184" s="117">
        <f>INDEX('All sections of NIF PDF'!$A:$A,MATCH($A184,'All sections of NIF PDF'!$D:$D,0))</f>
        <v>1175</v>
      </c>
      <c r="C184" s="117" t="str">
        <f>VLOOKUP($A184,'All sections of NIF PDF'!$D:$N,4,FALSE)</f>
        <v>free form</v>
      </c>
      <c r="D184" s="117" t="str">
        <f>INDEX('All sections of NIF PDF'!$B:$B,MATCH($A184,'All sections of NIF PDF'!$D:$D,0))</f>
        <v>Requestor Update</v>
      </c>
      <c r="E184" s="117" t="str">
        <f>VLOOKUP($A184,'All sections of NIF PDF'!$D:$N,6,FALSE)</f>
        <v>Requestor</v>
      </c>
      <c r="F184" s="117" t="str">
        <f>IF(VLOOKUP($A184,Definitions!$D:$E,2,FALSE)=0, "", VLOOKUP($A184,Definitions!$D:$E,2,FALSE))</f>
        <v>Provides a method to indicate in the material description, which Country the item will be sold in. Used for Pringles items only.</v>
      </c>
      <c r="G184" s="117" t="str">
        <f>IF(VLOOKUP($A184,'All sections of NIF PDF'!$D:$N,11,FALSE)=0,"",VLOOKUP($A184,'All sections of NIF PDF'!$D:$N,11,FALSE))</f>
        <v/>
      </c>
    </row>
    <row r="185" spans="1:7" ht="43.15">
      <c r="A185" s="121" t="str">
        <f>'All sections of NIF PDF'!D185</f>
        <v>Material Number (BOM setup)</v>
      </c>
      <c r="B185" s="117">
        <f>INDEX('All sections of NIF PDF'!$A:$A,MATCH($A185,'All sections of NIF PDF'!$D:$D,0))</f>
        <v>1176</v>
      </c>
      <c r="C185" s="117" t="str">
        <f>VLOOKUP($A185,'All sections of NIF PDF'!$D:$N,4,FALSE)</f>
        <v>free form</v>
      </c>
      <c r="D185" s="117" t="str">
        <f>INDEX('All sections of NIF PDF'!$B:$B,MATCH($A185,'All sections of NIF PDF'!$D:$D,0))</f>
        <v>Requestor Update</v>
      </c>
      <c r="E185" s="117" t="str">
        <f>VLOOKUP($A185,'All sections of NIF PDF'!$D:$N,6,FALSE)</f>
        <v>Requestor</v>
      </c>
      <c r="F185" s="117" t="str">
        <f>IF(VLOOKUP($A185,Definitions!$D:$E,2,FALSE)=0, "", VLOOKUP($A185,Definitions!$D:$E,2,FALSE))</f>
        <v>This BOM is required if the item is built by VAS, because Masterfiles sets these up in SAP. Otherwise, used as informational only.  This is the material number for the component that will be used to create the new item (not the UPC).</v>
      </c>
      <c r="G185" s="117" t="str">
        <f>IF(VLOOKUP($A185,'All sections of NIF PDF'!$D:$N,11,FALSE)=0,"",VLOOKUP($A185,'All sections of NIF PDF'!$D:$N,11,FALSE))</f>
        <v/>
      </c>
    </row>
    <row r="186" spans="1:7" ht="28.9">
      <c r="A186" s="121" t="str">
        <f>'All sections of NIF PDF'!D186</f>
        <v>Material Description (BOM Setup)</v>
      </c>
      <c r="B186" s="117">
        <f>INDEX('All sections of NIF PDF'!$A:$A,MATCH($A186,'All sections of NIF PDF'!$D:$D,0))</f>
        <v>1177</v>
      </c>
      <c r="C186" s="117" t="str">
        <f>VLOOKUP($A186,'All sections of NIF PDF'!$D:$N,4,FALSE)</f>
        <v>autofill</v>
      </c>
      <c r="D186" s="117" t="str">
        <f>INDEX('All sections of NIF PDF'!$B:$B,MATCH($A186,'All sections of NIF PDF'!$D:$D,0))</f>
        <v>Requestor Update</v>
      </c>
      <c r="E186" s="117" t="str">
        <f>VLOOKUP($A186,'All sections of NIF PDF'!$D:$N,6,FALSE)</f>
        <v>LIM</v>
      </c>
      <c r="F186" s="117" t="str">
        <f>IF(VLOOKUP($A186,Definitions!$D:$E,2,FALSE)=0, "", VLOOKUP($A186,Definitions!$D:$E,2,FALSE))</f>
        <v>This is the description for the component.</v>
      </c>
      <c r="G186" s="117" t="str">
        <f>IF(VLOOKUP($A186,'All sections of NIF PDF'!$D:$N,11,FALSE)=0,"",VLOOKUP($A186,'All sections of NIF PDF'!$D:$N,11,FALSE))</f>
        <v/>
      </c>
    </row>
    <row r="187" spans="1:7">
      <c r="A187" s="121" t="str">
        <f>'All sections of NIF PDF'!D187</f>
        <v>List Price (Red K)</v>
      </c>
      <c r="B187" s="117">
        <f>INDEX('All sections of NIF PDF'!$A:$A,MATCH($A187,'All sections of NIF PDF'!$D:$D,0))</f>
        <v>1178</v>
      </c>
      <c r="C187" s="117" t="str">
        <f>VLOOKUP($A187,'All sections of NIF PDF'!$D:$N,4,FALSE)</f>
        <v>free form</v>
      </c>
      <c r="D187" s="117" t="str">
        <f>INDEX('All sections of NIF PDF'!$B:$B,MATCH($A187,'All sections of NIF PDF'!$D:$D,0))</f>
        <v>Requestor Update</v>
      </c>
      <c r="E187" s="117" t="str">
        <f>VLOOKUP($A187,'All sections of NIF PDF'!$D:$N,6,FALSE)</f>
        <v>Requestor</v>
      </c>
      <c r="F187" s="117" t="str">
        <f>IF(VLOOKUP($A187,Definitions!$D:$E,2,FALSE)=0, "", VLOOKUP($A187,Definitions!$D:$E,2,FALSE))</f>
        <v>This is the base price for all retail customers - based on case quantity</v>
      </c>
      <c r="G187" s="117" t="str">
        <f>IF(VLOOKUP($A187,'All sections of NIF PDF'!$D:$N,11,FALSE)=0,"",VLOOKUP($A187,'All sections of NIF PDF'!$D:$N,11,FALSE))</f>
        <v/>
      </c>
    </row>
    <row r="188" spans="1:7" ht="28.9">
      <c r="A188" s="121" t="str">
        <f>'All sections of NIF PDF'!D188</f>
        <v>Base Material</v>
      </c>
      <c r="B188" s="117">
        <f>INDEX('All sections of NIF PDF'!$A:$A,MATCH($A188,'All sections of NIF PDF'!$D:$D,0))</f>
        <v>1179</v>
      </c>
      <c r="C188" s="117" t="str">
        <f>VLOOKUP($A188,'All sections of NIF PDF'!$D:$N,4,FALSE)</f>
        <v>free form</v>
      </c>
      <c r="D188" s="117" t="str">
        <f>INDEX('All sections of NIF PDF'!$B:$B,MATCH($A188,'All sections of NIF PDF'!$D:$D,0))</f>
        <v>Requestor Update</v>
      </c>
      <c r="E188" s="117" t="str">
        <f>VLOOKUP($A188,'All sections of NIF PDF'!$D:$N,6,FALSE)</f>
        <v>Requestor</v>
      </c>
      <c r="F188" s="117" t="str">
        <f>IF(VLOOKUP($A188,Definitions!$D:$E,2,FALSE)=0, "", VLOOKUP($A188,Definitions!$D:$E,2,FALSE))</f>
        <v>Populate this field with the material number of the component unless the component is a promo code.  If promo code, populate this field with the base material number of the promo code.</v>
      </c>
      <c r="G188" s="117" t="str">
        <f>IF(VLOOKUP($A188,'All sections of NIF PDF'!$D:$N,11,FALSE)=0,"",VLOOKUP($A188,'All sections of NIF PDF'!$D:$N,11,FALSE))</f>
        <v/>
      </c>
    </row>
    <row r="189" spans="1:7">
      <c r="A189" s="121" t="str">
        <f>'All sections of NIF PDF'!D189</f>
        <v>Gross Pkg Weight</v>
      </c>
      <c r="B189" s="117">
        <f>INDEX('All sections of NIF PDF'!$A:$A,MATCH($A189,'All sections of NIF PDF'!$D:$D,0))</f>
        <v>1180</v>
      </c>
      <c r="C189" s="117" t="str">
        <f>VLOOKUP($A189,'All sections of NIF PDF'!$D:$N,4,FALSE)</f>
        <v>free form</v>
      </c>
      <c r="D189" s="117" t="str">
        <f>INDEX('All sections of NIF PDF'!$B:$B,MATCH($A189,'All sections of NIF PDF'!$D:$D,0))</f>
        <v>Requestor Update</v>
      </c>
      <c r="E189" s="117" t="str">
        <f>VLOOKUP($A189,'All sections of NIF PDF'!$D:$N,6,FALSE)</f>
        <v>Requestor</v>
      </c>
      <c r="F189" s="117" t="str">
        <f>IF(VLOOKUP($A189,Definitions!$D:$E,2,FALSE)=0, "", VLOOKUP($A189,Definitions!$D:$E,2,FALSE))</f>
        <v>This is the Package Gross Weight of the component.</v>
      </c>
      <c r="G189" s="117" t="str">
        <f>IF(VLOOKUP($A189,'All sections of NIF PDF'!$D:$N,11,FALSE)=0,"",VLOOKUP($A189,'All sections of NIF PDF'!$D:$N,11,FALSE))</f>
        <v/>
      </c>
    </row>
    <row r="190" spans="1:7">
      <c r="A190" s="121" t="str">
        <f>'All sections of NIF PDF'!D190</f>
        <v>Gross Wt UOM</v>
      </c>
      <c r="B190" s="117">
        <f>INDEX('All sections of NIF PDF'!$A:$A,MATCH($A190,'All sections of NIF PDF'!$D:$D,0))</f>
        <v>1181</v>
      </c>
      <c r="C190" s="117" t="str">
        <f>VLOOKUP($A190,'All sections of NIF PDF'!$D:$N,4,FALSE)</f>
        <v>dd: GM, OZ</v>
      </c>
      <c r="D190" s="117" t="str">
        <f>INDEX('All sections of NIF PDF'!$B:$B,MATCH($A190,'All sections of NIF PDF'!$D:$D,0))</f>
        <v>Requestor Update</v>
      </c>
      <c r="E190" s="117" t="str">
        <f>VLOOKUP($A190,'All sections of NIF PDF'!$D:$N,6,FALSE)</f>
        <v>Requestor</v>
      </c>
      <c r="F190" s="117" t="str">
        <f>IF(VLOOKUP($A190,Definitions!$D:$E,2,FALSE)=0, "", VLOOKUP($A190,Definitions!$D:$E,2,FALSE))</f>
        <v>This is the Imperial or Metric unit of measurement for the Package Gross Weight in OZ or GM</v>
      </c>
      <c r="G190" s="117" t="str">
        <f>IF(VLOOKUP($A190,'All sections of NIF PDF'!$D:$N,11,FALSE)=0,"",VLOOKUP($A190,'All sections of NIF PDF'!$D:$N,11,FALSE))</f>
        <v/>
      </c>
    </row>
    <row r="191" spans="1:7">
      <c r="A191" s="121" t="str">
        <f>'All sections of NIF PDF'!D191</f>
        <v>Net Pkg Weight</v>
      </c>
      <c r="B191" s="117">
        <f>INDEX('All sections of NIF PDF'!$A:$A,MATCH($A191,'All sections of NIF PDF'!$D:$D,0))</f>
        <v>1182</v>
      </c>
      <c r="C191" s="117" t="str">
        <f>VLOOKUP($A191,'All sections of NIF PDF'!$D:$N,4,FALSE)</f>
        <v>free form</v>
      </c>
      <c r="D191" s="117" t="str">
        <f>INDEX('All sections of NIF PDF'!$B:$B,MATCH($A191,'All sections of NIF PDF'!$D:$D,0))</f>
        <v>Requestor Update</v>
      </c>
      <c r="E191" s="117" t="str">
        <f>VLOOKUP($A191,'All sections of NIF PDF'!$D:$N,6,FALSE)</f>
        <v>Requestor</v>
      </c>
      <c r="F191" s="117" t="str">
        <f>IF(VLOOKUP($A191,Definitions!$D:$E,2,FALSE)=0, "", VLOOKUP($A191,Definitions!$D:$E,2,FALSE))</f>
        <v>This is the Package Net Weight of the component.</v>
      </c>
      <c r="G191" s="117" t="str">
        <f>IF(VLOOKUP($A191,'All sections of NIF PDF'!$D:$N,11,FALSE)=0,"",VLOOKUP($A191,'All sections of NIF PDF'!$D:$N,11,FALSE))</f>
        <v/>
      </c>
    </row>
    <row r="192" spans="1:7">
      <c r="A192" s="121" t="str">
        <f>'All sections of NIF PDF'!D192</f>
        <v>Net Wt UOM</v>
      </c>
      <c r="B192" s="117">
        <f>INDEX('All sections of NIF PDF'!$A:$A,MATCH($A192,'All sections of NIF PDF'!$D:$D,0))</f>
        <v>1183</v>
      </c>
      <c r="C192" s="117" t="str">
        <f>VLOOKUP($A192,'All sections of NIF PDF'!$D:$N,4,FALSE)</f>
        <v>dd: GM, OZ</v>
      </c>
      <c r="D192" s="117" t="str">
        <f>INDEX('All sections of NIF PDF'!$B:$B,MATCH($A192,'All sections of NIF PDF'!$D:$D,0))</f>
        <v>Requestor Update</v>
      </c>
      <c r="E192" s="117" t="str">
        <f>VLOOKUP($A192,'All sections of NIF PDF'!$D:$N,6,FALSE)</f>
        <v>Requestor</v>
      </c>
      <c r="F192" s="117" t="str">
        <f>IF(VLOOKUP($A192,Definitions!$D:$E,2,FALSE)=0, "", VLOOKUP($A192,Definitions!$D:$E,2,FALSE))</f>
        <v>This is the Imperial or Metric unit of measurement for the Package Net Weight in OZ or GM</v>
      </c>
      <c r="G192" s="117" t="str">
        <f>IF(VLOOKUP($A192,'All sections of NIF PDF'!$D:$N,11,FALSE)=0,"",VLOOKUP($A192,'All sections of NIF PDF'!$D:$N,11,FALSE))</f>
        <v/>
      </c>
    </row>
    <row r="193" spans="1:7" ht="28.9">
      <c r="A193" s="121" t="str">
        <f>'All sections of NIF PDF'!D193</f>
        <v>Component Pkgs Per Case</v>
      </c>
      <c r="B193" s="117">
        <f>INDEX('All sections of NIF PDF'!$A:$A,MATCH($A193,'All sections of NIF PDF'!$D:$D,0))</f>
        <v>1184</v>
      </c>
      <c r="C193" s="117" t="str">
        <f>VLOOKUP($A193,'All sections of NIF PDF'!$D:$N,4,FALSE)</f>
        <v>free form</v>
      </c>
      <c r="D193" s="117" t="str">
        <f>INDEX('All sections of NIF PDF'!$B:$B,MATCH($A193,'All sections of NIF PDF'!$D:$D,0))</f>
        <v>Requestor Update</v>
      </c>
      <c r="E193" s="117" t="str">
        <f>VLOOKUP($A193,'All sections of NIF PDF'!$D:$N,6,FALSE)</f>
        <v>Requestor</v>
      </c>
      <c r="F193" s="117" t="str">
        <f>IF(VLOOKUP($A193,Definitions!$D:$E,2,FALSE)=0, "", VLOOKUP($A193,Definitions!$D:$E,2,FALSE))</f>
        <v>The “Component Pkgs Per Case” refers to how many packages or pouches are in that specific component SKU.  </v>
      </c>
      <c r="G193" s="117" t="str">
        <f>IF(VLOOKUP($A193,'All sections of NIF PDF'!$D:$N,11,FALSE)=0,"",VLOOKUP($A193,'All sections of NIF PDF'!$D:$N,11,FALSE))</f>
        <v/>
      </c>
    </row>
    <row r="194" spans="1:7" ht="28.9">
      <c r="A194" s="121" t="str">
        <f>'All sections of NIF PDF'!D194</f>
        <v>Packages Per Mod Assortment</v>
      </c>
      <c r="B194" s="117">
        <f>INDEX('All sections of NIF PDF'!$A:$A,MATCH($A194,'All sections of NIF PDF'!$D:$D,0))</f>
        <v>1185</v>
      </c>
      <c r="C194" s="117" t="str">
        <f>VLOOKUP($A194,'All sections of NIF PDF'!$D:$N,4,FALSE)</f>
        <v>free form</v>
      </c>
      <c r="D194" s="117" t="str">
        <f>INDEX('All sections of NIF PDF'!$B:$B,MATCH($A194,'All sections of NIF PDF'!$D:$D,0))</f>
        <v>Requestor Update</v>
      </c>
      <c r="E194" s="117" t="str">
        <f>VLOOKUP($A194,'All sections of NIF PDF'!$D:$N,6,FALSE)</f>
        <v>Requestor</v>
      </c>
      <c r="F194" s="117" t="str">
        <f>IF(VLOOKUP($A194,Definitions!$D:$E,2,FALSE)=0, "", VLOOKUP($A194,Definitions!$D:$E,2,FALSE))</f>
        <v xml:space="preserve">The “Packages Per Mod Assortment” refers to how many packages or pouches are needed for the SKU that we are setting up in the NIF.  </v>
      </c>
      <c r="G194" s="117" t="str">
        <f>IF(VLOOKUP($A194,'All sections of NIF PDF'!$D:$N,11,FALSE)=0,"",VLOOKUP($A194,'All sections of NIF PDF'!$D:$N,11,FALSE))</f>
        <v/>
      </c>
    </row>
    <row r="195" spans="1:7" ht="57.6">
      <c r="A195" s="121" t="str">
        <f>'All sections of NIF PDF'!D195</f>
        <v>Number of Cases Required</v>
      </c>
      <c r="B195" s="117">
        <f>INDEX('All sections of NIF PDF'!$A:$A,MATCH($A195,'All sections of NIF PDF'!$D:$D,0))</f>
        <v>1186</v>
      </c>
      <c r="C195" s="117" t="str">
        <f>VLOOKUP($A195,'All sections of NIF PDF'!$D:$N,4,FALSE)</f>
        <v>free form</v>
      </c>
      <c r="D195" s="117" t="str">
        <f>INDEX('All sections of NIF PDF'!$B:$B,MATCH($A195,'All sections of NIF PDF'!$D:$D,0))</f>
        <v>Requestor Update</v>
      </c>
      <c r="E195" s="117" t="str">
        <f>VLOOKUP($A195,'All sections of NIF PDF'!$D:$N,6,FALSE)</f>
        <v>Requestor</v>
      </c>
      <c r="F195" s="117" t="str">
        <f>IF(VLOOKUP($A195,Definitions!$D:$E,2,FALSE)=0, "", VLOOKUP($A195,Definitions!$D:$E,2,FALSE))</f>
        <v xml:space="preserve">The “Number of Cases Required” field is auto-calculated (do not update value) and calculates each component’s case quantity needed for the total package or pouch count in the new SKU we are setting up.  For Club SKUs produced at VAS, the “Number of Cases Required” field should reflect one Club Pack, not the full UL of the Club Pack (see 3800028677 as an example).  </v>
      </c>
      <c r="G195" s="117" t="str">
        <f>IF(VLOOKUP($A195,'All sections of NIF PDF'!$D:$N,11,FALSE)=0,"",VLOOKUP($A195,'All sections of NIF PDF'!$D:$N,11,FALSE))</f>
        <v/>
      </c>
    </row>
    <row r="196" spans="1:7">
      <c r="A196" s="121" t="str">
        <f>'All sections of NIF PDF'!D196</f>
        <v>Taxable</v>
      </c>
      <c r="B196" s="117">
        <f>INDEX('All sections of NIF PDF'!$A:$A,MATCH($A196,'All sections of NIF PDF'!$D:$D,0))</f>
        <v>1187</v>
      </c>
      <c r="C196" s="117" t="str">
        <f>VLOOKUP($A196,'All sections of NIF PDF'!$D:$N,4,FALSE)</f>
        <v>dd: YES, NO</v>
      </c>
      <c r="D196" s="117" t="str">
        <f>INDEX('All sections of NIF PDF'!$B:$B,MATCH($A196,'All sections of NIF PDF'!$D:$D,0))</f>
        <v>Requestor Update</v>
      </c>
      <c r="E196" s="117" t="str">
        <f>VLOOKUP($A196,'All sections of NIF PDF'!$D:$N,6,FALSE)</f>
        <v>Requestor</v>
      </c>
      <c r="F196" s="117" t="str">
        <f>IF(VLOOKUP($A196,Definitions!$D:$E,2,FALSE)=0, "", VLOOKUP($A196,Definitions!$D:$E,2,FALSE))</f>
        <v>Only required for Canada.  Indicate if the component is taxable; Yes or No</v>
      </c>
      <c r="G196" s="117" t="str">
        <f>IF(VLOOKUP($A196,'All sections of NIF PDF'!$D:$N,11,FALSE)=0,"",VLOOKUP($A196,'All sections of NIF PDF'!$D:$N,11,FALSE))</f>
        <v/>
      </c>
    </row>
    <row r="197" spans="1:7" ht="43.15">
      <c r="A197" s="121" t="str">
        <f>'All sections of NIF PDF'!D197</f>
        <v>Component SKU (can be FERT or HALB. Enter SKU here not UPC)</v>
      </c>
      <c r="B197" s="117">
        <f>INDEX('All sections of NIF PDF'!$A:$A,MATCH($A197,'All sections of NIF PDF'!$D:$D,0))</f>
        <v>1188</v>
      </c>
      <c r="C197" s="117" t="str">
        <f>VLOOKUP($A197,'All sections of NIF PDF'!$D:$N,4,FALSE)</f>
        <v>free form</v>
      </c>
      <c r="D197" s="117" t="str">
        <f>INDEX('All sections of NIF PDF'!$B:$B,MATCH($A197,'All sections of NIF PDF'!$D:$D,0))</f>
        <v>Requestor Update</v>
      </c>
      <c r="E197" s="117" t="str">
        <f>VLOOKUP($A197,'All sections of NIF PDF'!$D:$N,6,FALSE)</f>
        <v>Requestor</v>
      </c>
      <c r="F197" s="117" t="str">
        <f>IF(VLOOKUP($A197,Definitions!$D:$E,2,FALSE)=0, "", VLOOKUP($A197,Definitions!$D:$E,2,FALSE))</f>
        <v xml:space="preserve">This is the SAP Material Numberof each component in the Variety Pack that is being created. It is NOT the UPC. </v>
      </c>
      <c r="G197" s="117" t="str">
        <f>IF(VLOOKUP($A197,'All sections of NIF PDF'!$D:$N,11,FALSE)=0,"",VLOOKUP($A197,'All sections of NIF PDF'!$D:$N,11,FALSE))</f>
        <v/>
      </c>
    </row>
    <row r="198" spans="1:7" ht="43.15">
      <c r="A198" s="121" t="str">
        <f>'All sections of NIF PDF'!D198</f>
        <v>Components Packages per Case (use Pouch if lowest level)</v>
      </c>
      <c r="B198" s="117">
        <f>INDEX('All sections of NIF PDF'!$A:$A,MATCH($A198,'All sections of NIF PDF'!$D:$D,0))</f>
        <v>1189</v>
      </c>
      <c r="C198" s="117" t="str">
        <f>VLOOKUP($A198,'All sections of NIF PDF'!$D:$N,4,FALSE)</f>
        <v>free form</v>
      </c>
      <c r="D198" s="117" t="str">
        <f>INDEX('All sections of NIF PDF'!$B:$B,MATCH($A198,'All sections of NIF PDF'!$D:$D,0))</f>
        <v>Requestor Update</v>
      </c>
      <c r="E198" s="117" t="str">
        <f>VLOOKUP($A198,'All sections of NIF PDF'!$D:$N,6,FALSE)</f>
        <v>Requestor</v>
      </c>
      <c r="F198" s="117" t="str">
        <f>IF(VLOOKUP($A198,Definitions!$D:$E,2,FALSE)=0, "", VLOOKUP($A198,Definitions!$D:$E,2,FALSE))</f>
        <v>This is the number of packages or pouches per case of the component (always use the lowest level, but never tray).</v>
      </c>
      <c r="G198" s="117" t="str">
        <f>IF(VLOOKUP($A198,'All sections of NIF PDF'!$D:$N,11,FALSE)=0,"",VLOOKUP($A198,'All sections of NIF PDF'!$D:$N,11,FALSE))</f>
        <v/>
      </c>
    </row>
    <row r="199" spans="1:7" ht="43.15">
      <c r="A199" s="121" t="str">
        <f>'All sections of NIF PDF'!D199</f>
        <v>Number of Component Packages needed in New Variety Pack</v>
      </c>
      <c r="B199" s="117">
        <f>INDEX('All sections of NIF PDF'!$A:$A,MATCH($A199,'All sections of NIF PDF'!$D:$D,0))</f>
        <v>1190</v>
      </c>
      <c r="C199" s="117" t="str">
        <f>VLOOKUP($A199,'All sections of NIF PDF'!$D:$N,4,FALSE)</f>
        <v>free form</v>
      </c>
      <c r="D199" s="117" t="str">
        <f>INDEX('All sections of NIF PDF'!$B:$B,MATCH($A199,'All sections of NIF PDF'!$D:$D,0))</f>
        <v>Requestor Update</v>
      </c>
      <c r="E199" s="117" t="str">
        <f>VLOOKUP($A199,'All sections of NIF PDF'!$D:$N,6,FALSE)</f>
        <v>Requestor</v>
      </c>
      <c r="F199" s="117" t="str">
        <f>IF(VLOOKUP($A199,Definitions!$D:$E,2,FALSE)=0, "", VLOOKUP($A199,Definitions!$D:$E,2,FALSE))</f>
        <v xml:space="preserve">This information pertains to the new Variety Pack that is being set up in SAP. It is the number of packages or pouches of each component that are needed to create one Variety Pack (always use the lowest level - never tray). </v>
      </c>
      <c r="G199" s="117" t="str">
        <f>IF(VLOOKUP($A199,'All sections of NIF PDF'!$D:$N,11,FALSE)=0,"",VLOOKUP($A199,'All sections of NIF PDF'!$D:$N,11,FALSE))</f>
        <v/>
      </c>
    </row>
    <row r="200" spans="1:7" ht="43.15">
      <c r="A200" s="121" t="str">
        <f>'All sections of NIF PDF'!D200</f>
        <v>New Variety Pack’s number of Packages per Case (enter the same number in each row)</v>
      </c>
      <c r="B200" s="117">
        <f>INDEX('All sections of NIF PDF'!$A:$A,MATCH($A200,'All sections of NIF PDF'!$D:$D,0))</f>
        <v>1191</v>
      </c>
      <c r="C200" s="117" t="str">
        <f>VLOOKUP($A200,'All sections of NIF PDF'!$D:$N,4,FALSE)</f>
        <v>free form</v>
      </c>
      <c r="D200" s="117" t="str">
        <f>INDEX('All sections of NIF PDF'!$B:$B,MATCH($A200,'All sections of NIF PDF'!$D:$D,0))</f>
        <v>Requestor Update</v>
      </c>
      <c r="E200" s="117" t="str">
        <f>VLOOKUP($A200,'All sections of NIF PDF'!$D:$N,6,FALSE)</f>
        <v>Requestor</v>
      </c>
      <c r="F200" s="117" t="str">
        <f>IF(VLOOKUP($A200,Definitions!$D:$E,2,FALSE)=0, "", VLOOKUP($A200,Definitions!$D:$E,2,FALSE))</f>
        <v>This information pertains to the new Variety Pack that is being set up in SAP.  Number of packages per case for the Variety Pack that is being set up</v>
      </c>
      <c r="G200" s="117" t="str">
        <f>IF(VLOOKUP($A200,'All sections of NIF PDF'!$D:$N,11,FALSE)=0,"",VLOOKUP($A200,'All sections of NIF PDF'!$D:$N,11,FALSE))</f>
        <v/>
      </c>
    </row>
    <row r="201" spans="1:7" ht="43.15">
      <c r="A201" s="121" t="str">
        <f>'All sections of NIF PDF'!D201</f>
        <v>Calculation Check</v>
      </c>
      <c r="B201" s="117">
        <f>INDEX('All sections of NIF PDF'!$A:$A,MATCH($A201,'All sections of NIF PDF'!$D:$D,0))</f>
        <v>1192</v>
      </c>
      <c r="C201" s="117" t="str">
        <f>VLOOKUP($A201,'All sections of NIF PDF'!$D:$N,4,FALSE)</f>
        <v>autofill</v>
      </c>
      <c r="D201" s="117" t="str">
        <f>INDEX('All sections of NIF PDF'!$B:$B,MATCH($A201,'All sections of NIF PDF'!$D:$D,0))</f>
        <v>Requestor Update</v>
      </c>
      <c r="E201" s="117" t="str">
        <f>VLOOKUP($A201,'All sections of NIF PDF'!$D:$N,6,FALSE)</f>
        <v>Requestor</v>
      </c>
      <c r="F201" s="117" t="str">
        <f>IF(VLOOKUP($A201,Definitions!$D:$E,2,FALSE)=0, "", VLOOKUP($A201,Definitions!$D:$E,2,FALSE))</f>
        <v>This field is autocalculated and is the # of packages or pouches needed per variety pack / # of packages or pouches per case for the component x # of packages per case for the Variety Pack that is being set up</v>
      </c>
      <c r="G201" s="117" t="str">
        <f>IF(VLOOKUP($A201,'All sections of NIF PDF'!$D:$N,11,FALSE)=0,"",VLOOKUP($A201,'All sections of NIF PDF'!$D:$N,11,FALSE))</f>
        <v/>
      </c>
    </row>
    <row r="202" spans="1:7" ht="28.9">
      <c r="A202" s="121" t="str">
        <f>'All sections of NIF PDF'!D202</f>
        <v>Display Vehicle</v>
      </c>
      <c r="B202" s="117">
        <f>INDEX('All sections of NIF PDF'!$A:$A,MATCH($A202,'All sections of NIF PDF'!$D:$D,0))</f>
        <v>1193</v>
      </c>
      <c r="C202" s="117" t="str">
        <f>VLOOKUP($A202,'All sections of NIF PDF'!$D:$N,4,FALSE)</f>
        <v>dd: reference list: PRL: Display Vehicle</v>
      </c>
      <c r="D202" s="117" t="str">
        <f>INDEX('All sections of NIF PDF'!$B:$B,MATCH($A202,'All sections of NIF PDF'!$D:$D,0))</f>
        <v>LIM - Update</v>
      </c>
      <c r="E202" s="117" t="str">
        <f>VLOOKUP($A202,'All sections of NIF PDF'!$D:$N,6,FALSE)</f>
        <v>LIM</v>
      </c>
      <c r="F202" s="117" t="str">
        <f>IF(VLOOKUP($A202,Definitions!$D:$E,2,FALSE)=0, "", VLOOKUP($A202,Definitions!$D:$E,2,FALSE))</f>
        <v>Dependant on Form Type Display - Additional way to further define the type of Display that is being set up (i.e. Short Mod, Display Tray). Used in the product description.</v>
      </c>
      <c r="G202" s="117" t="str">
        <f>IF(VLOOKUP($A202,'All sections of NIF PDF'!$D:$N,11,FALSE)=0,"",VLOOKUP($A202,'All sections of NIF PDF'!$D:$N,11,FALSE))</f>
        <v/>
      </c>
    </row>
    <row r="203" spans="1:7" ht="28.9">
      <c r="A203" s="121" t="str">
        <f>'All sections of NIF PDF'!D203</f>
        <v>Material Freight Group Label</v>
      </c>
      <c r="B203" s="117">
        <f>INDEX('All sections of NIF PDF'!$A:$A,MATCH($A203,'All sections of NIF PDF'!$D:$D,0))</f>
        <v>1310</v>
      </c>
      <c r="C203" s="117" t="str">
        <f>VLOOKUP($A203,'All sections of NIF PDF'!$D:$N,4,FALSE)</f>
        <v>dd: reference list: PRL: Material Freight Group</v>
      </c>
      <c r="D203" s="117" t="str">
        <f>INDEX('All sections of NIF PDF'!$B:$B,MATCH($A203,'All sections of NIF PDF'!$D:$D,0))</f>
        <v>LIM - Update</v>
      </c>
      <c r="E203" s="117" t="str">
        <f>VLOOKUP($A203,'All sections of NIF PDF'!$D:$N,6,FALSE)</f>
        <v>LIM</v>
      </c>
      <c r="F203" s="117" t="str">
        <f>IF(VLOOKUP($A203,Definitions!$D:$E,2,FALSE)=0, "", VLOOKUP($A203,Definitions!$D:$E,2,FALSE))</f>
        <v xml:space="preserve">Material Freight Group Label </v>
      </c>
      <c r="G203" s="117" t="str">
        <f>IF(VLOOKUP($A203,'All sections of NIF PDF'!$D:$N,11,FALSE)=0,"",VLOOKUP($A203,'All sections of NIF PDF'!$D:$N,11,FALSE))</f>
        <v/>
      </c>
    </row>
    <row r="204" spans="1:7" ht="43.15">
      <c r="A204" s="121" t="str">
        <f>'All sections of NIF PDF'!D204</f>
        <v>Material Freight Group</v>
      </c>
      <c r="B204" s="117">
        <f>INDEX('All sections of NIF PDF'!$A:$A,MATCH($A204,'All sections of NIF PDF'!$D:$D,0))</f>
        <v>1194</v>
      </c>
      <c r="C204" s="117" t="str">
        <f>VLOOKUP($A204,'All sections of NIF PDF'!$D:$N,4,FALSE)</f>
        <v>autofill</v>
      </c>
      <c r="D204" s="117" t="str">
        <f>INDEX('All sections of NIF PDF'!$B:$B,MATCH($A204,'All sections of NIF PDF'!$D:$D,0))</f>
        <v>LIM - Update</v>
      </c>
      <c r="E204" s="117" t="str">
        <f>VLOOKUP($A204,'All sections of NIF PDF'!$D:$N,6,FALSE)</f>
        <v>LIM</v>
      </c>
      <c r="F204" s="117" t="str">
        <f>IF(VLOOKUP($A204,Definitions!$D:$E,2,FALSE)=0, "", VLOOKUP($A204,Definitions!$D:$E,2,FALSE))</f>
        <v xml:space="preserve">Used to group materials so that they can be classified according to freight code and class. The freight code set is used to determine freight costs and for communication with service agents. (Mat Frgt Grp should be the same for all locations) </v>
      </c>
      <c r="G204" s="117" t="str">
        <f>IF(VLOOKUP($A204,'All sections of NIF PDF'!$D:$N,11,FALSE)=0,"",VLOOKUP($A204,'All sections of NIF PDF'!$D:$N,11,FALSE))</f>
        <v/>
      </c>
    </row>
    <row r="205" spans="1:7" ht="43.15">
      <c r="A205" s="121" t="str">
        <f>'All sections of NIF PDF'!D205</f>
        <v>Does this item require Temp Controlled storage in the Warehouse</v>
      </c>
      <c r="B205" s="117">
        <f>INDEX('All sections of NIF PDF'!$A:$A,MATCH($A205,'All sections of NIF PDF'!$D:$D,0))</f>
        <v>1195</v>
      </c>
      <c r="C205" s="117" t="str">
        <f>VLOOKUP($A205,'All sections of NIF PDF'!$D:$N,4,FALSE)</f>
        <v>dd: YES, NO</v>
      </c>
      <c r="D205" s="117" t="str">
        <f>INDEX('All sections of NIF PDF'!$B:$B,MATCH($A205,'All sections of NIF PDF'!$D:$D,0))</f>
        <v>LIM - Update</v>
      </c>
      <c r="E205" s="117" t="str">
        <f>VLOOKUP($A205,'All sections of NIF PDF'!$D:$N,6,FALSE)</f>
        <v>LIM</v>
      </c>
      <c r="F205" s="117" t="str">
        <f>IF(VLOOKUP($A205,Definitions!$D:$E,2,FALSE)=0, "", VLOOKUP($A205,Definitions!$D:$E,2,FALSE))</f>
        <v>Used to identify items that need to be stored in the warehouse away from heat.  This field does not drive transportation settings. If Yes, 05 (keep from heat) is populated. If RX, 03 (refrigerated at 38 degrees) is populated</v>
      </c>
      <c r="G205" s="117" t="str">
        <f>IF(VLOOKUP($A205,'All sections of NIF PDF'!$D:$N,11,FALSE)=0,"",VLOOKUP($A205,'All sections of NIF PDF'!$D:$N,11,FALSE))</f>
        <v/>
      </c>
    </row>
    <row r="206" spans="1:7" ht="28.9">
      <c r="A206" s="121" t="str">
        <f>'All sections of NIF PDF'!D206</f>
        <v>Pouch Size</v>
      </c>
      <c r="B206" s="117">
        <f>INDEX('All sections of NIF PDF'!$A:$A,MATCH($A206,'All sections of NIF PDF'!$D:$D,0))</f>
        <v>1196</v>
      </c>
      <c r="C206" s="117" t="str">
        <f>VLOOKUP($A206,'All sections of NIF PDF'!$D:$N,4,FALSE)</f>
        <v>autofill</v>
      </c>
      <c r="D206" s="117" t="str">
        <f>INDEX('All sections of NIF PDF'!$B:$B,MATCH($A206,'All sections of NIF PDF'!$D:$D,0))</f>
        <v>LIM - Update</v>
      </c>
      <c r="E206" s="117" t="str">
        <f>VLOOKUP($A206,'All sections of NIF PDF'!$D:$N,6,FALSE)</f>
        <v>LIM</v>
      </c>
      <c r="F206" s="117" t="str">
        <f>IF(VLOOKUP($A206,Definitions!$D:$E,2,FALSE)=0, "", VLOOKUP($A206,Definitions!$D:$E,2,FALSE))</f>
        <v>This information pulls from the Nutrition Labeling task. If the new product has a pouch, this represents the stated net weight of the pouch.</v>
      </c>
      <c r="G206" s="117" t="str">
        <f>IF(VLOOKUP($A206,'All sections of NIF PDF'!$D:$N,11,FALSE)=0,"",VLOOKUP($A206,'All sections of NIF PDF'!$D:$N,11,FALSE))</f>
        <v/>
      </c>
    </row>
    <row r="207" spans="1:7">
      <c r="A207" s="121" t="str">
        <f>'All sections of NIF PDF'!D207</f>
        <v>Pouch Size UOM</v>
      </c>
      <c r="B207" s="117">
        <f>INDEX('All sections of NIF PDF'!$A:$A,MATCH($A207,'All sections of NIF PDF'!$D:$D,0))</f>
        <v>1197</v>
      </c>
      <c r="C207" s="117" t="str">
        <f>VLOOKUP($A207,'All sections of NIF PDF'!$D:$N,4,FALSE)</f>
        <v>autofill</v>
      </c>
      <c r="D207" s="117" t="str">
        <f>INDEX('All sections of NIF PDF'!$B:$B,MATCH($A207,'All sections of NIF PDF'!$D:$D,0))</f>
        <v>LIM - Update</v>
      </c>
      <c r="E207" s="117" t="str">
        <f>VLOOKUP($A207,'All sections of NIF PDF'!$D:$N,6,FALSE)</f>
        <v>LIM</v>
      </c>
      <c r="F207" s="117" t="str">
        <f>IF(VLOOKUP($A207,Definitions!$D:$E,2,FALSE)=0, "", VLOOKUP($A207,Definitions!$D:$E,2,FALSE))</f>
        <v>This information pulls from the Nutrition Labeling task. WIll be displayed as OZ (US) or GM (CA)</v>
      </c>
      <c r="G207" s="117" t="str">
        <f>IF(VLOOKUP($A207,'All sections of NIF PDF'!$D:$N,11,FALSE)=0,"",VLOOKUP($A207,'All sections of NIF PDF'!$D:$N,11,FALSE))</f>
        <v/>
      </c>
    </row>
    <row r="208" spans="1:7" ht="28.9">
      <c r="A208" s="121" t="str">
        <f>'All sections of NIF PDF'!D208</f>
        <v>Package Size</v>
      </c>
      <c r="B208" s="117">
        <f>INDEX('All sections of NIF PDF'!$A:$A,MATCH($A208,'All sections of NIF PDF'!$D:$D,0))</f>
        <v>1198</v>
      </c>
      <c r="C208" s="117" t="str">
        <f>VLOOKUP($A208,'All sections of NIF PDF'!$D:$N,4,FALSE)</f>
        <v>autofill</v>
      </c>
      <c r="D208" s="117" t="str">
        <f>INDEX('All sections of NIF PDF'!$B:$B,MATCH($A208,'All sections of NIF PDF'!$D:$D,0))</f>
        <v>LIM - Update</v>
      </c>
      <c r="E208" s="117" t="str">
        <f>VLOOKUP($A208,'All sections of NIF PDF'!$D:$N,6,FALSE)</f>
        <v>LIM</v>
      </c>
      <c r="F208" s="117" t="str">
        <f>IF(VLOOKUP($A208,Definitions!$D:$E,2,FALSE)=0, "", VLOOKUP($A208,Definitions!$D:$E,2,FALSE))</f>
        <v>This information pulls from the Nutrition Labeling task. This represents the stated net weight of the package.</v>
      </c>
      <c r="G208" s="117" t="str">
        <f>IF(VLOOKUP($A208,'All sections of NIF PDF'!$D:$N,11,FALSE)=0,"",VLOOKUP($A208,'All sections of NIF PDF'!$D:$N,11,FALSE))</f>
        <v/>
      </c>
    </row>
    <row r="209" spans="1:7">
      <c r="A209" s="121" t="str">
        <f>'All sections of NIF PDF'!D209</f>
        <v>Package Size UOM</v>
      </c>
      <c r="B209" s="117">
        <f>INDEX('All sections of NIF PDF'!$A:$A,MATCH($A209,'All sections of NIF PDF'!$D:$D,0))</f>
        <v>1199</v>
      </c>
      <c r="C209" s="117" t="str">
        <f>VLOOKUP($A209,'All sections of NIF PDF'!$D:$N,4,FALSE)</f>
        <v>autofill</v>
      </c>
      <c r="D209" s="117" t="str">
        <f>INDEX('All sections of NIF PDF'!$B:$B,MATCH($A209,'All sections of NIF PDF'!$D:$D,0))</f>
        <v>LIM - Update</v>
      </c>
      <c r="E209" s="117" t="str">
        <f>VLOOKUP($A209,'All sections of NIF PDF'!$D:$N,6,FALSE)</f>
        <v>LIM</v>
      </c>
      <c r="F209" s="117" t="str">
        <f>IF(VLOOKUP($A209,Definitions!$D:$E,2,FALSE)=0, "", VLOOKUP($A209,Definitions!$D:$E,2,FALSE))</f>
        <v>This information pulls from the Nutrition Labeling task. WIll be displayed as OZ (US) or GM (CA)</v>
      </c>
      <c r="G209" s="117" t="str">
        <f>IF(VLOOKUP($A209,'All sections of NIF PDF'!$D:$N,11,FALSE)=0,"",VLOOKUP($A209,'All sections of NIF PDF'!$D:$N,11,FALSE))</f>
        <v/>
      </c>
    </row>
    <row r="210" spans="1:7" ht="72">
      <c r="A210" s="121" t="str">
        <f>'All sections of NIF PDF'!D210</f>
        <v>Country of Origin</v>
      </c>
      <c r="B210" s="117">
        <f>INDEX('All sections of NIF PDF'!$A:$A,MATCH($A210,'All sections of NIF PDF'!$D:$D,0))</f>
        <v>1200</v>
      </c>
      <c r="C210" s="117" t="str">
        <f>VLOOKUP($A210,'All sections of NIF PDF'!$D:$N,4,FALSE)</f>
        <v>dd: reference list: PRL: Country of Origin</v>
      </c>
      <c r="D210" s="117" t="str">
        <f>INDEX('All sections of NIF PDF'!$B:$B,MATCH($A210,'All sections of NIF PDF'!$D:$D,0))</f>
        <v>LIM - Update</v>
      </c>
      <c r="E210" s="117" t="str">
        <f>VLOOKUP($A210,'All sections of NIF PDF'!$D:$N,6,FALSE)</f>
        <v>LIM</v>
      </c>
      <c r="F210" s="117" t="str">
        <f>IF(VLOOKUP($A210,Definitions!$D:$E,2,FALSE)=0, "", VLOOKUP($A210,Definitions!$D:$E,2,FALSE))</f>
        <v>The Country of Origin field should always reflect the country where the food itself is produced. Don’t be misled by where the final product is packaged. For example, if food is produced in Canada and then shipped to the U.S. for packaging into cracker boxes (ie Cheez-It), the Country of Origin is still Canada. Why? Because the origin is based on where the food was made—not where it was packaged.</v>
      </c>
      <c r="G210" s="117" t="str">
        <f>IF(VLOOKUP($A210,'All sections of NIF PDF'!$D:$N,11,FALSE)=0,"",VLOOKUP($A210,'All sections of NIF PDF'!$D:$N,11,FALSE))</f>
        <v/>
      </c>
    </row>
    <row r="211" spans="1:7" ht="28.9">
      <c r="A211" s="121" t="str">
        <f>'All sections of NIF PDF'!D211</f>
        <v>Is the Manufacturing Location a Co-Man or Co-Packer</v>
      </c>
      <c r="B211" s="117">
        <f>INDEX('All sections of NIF PDF'!$A:$A,MATCH($A211,'All sections of NIF PDF'!$D:$D,0))</f>
        <v>1201</v>
      </c>
      <c r="C211" s="117" t="str">
        <f>VLOOKUP($A211,'All sections of NIF PDF'!$D:$N,4,FALSE)</f>
        <v>dd: YES, NO</v>
      </c>
      <c r="D211" s="117" t="str">
        <f>INDEX('All sections of NIF PDF'!$B:$B,MATCH($A211,'All sections of NIF PDF'!$D:$D,0))</f>
        <v>LIM - Update</v>
      </c>
      <c r="E211" s="117" t="str">
        <f>VLOOKUP($A211,'All sections of NIF PDF'!$D:$N,6,FALSE)</f>
        <v>LIM</v>
      </c>
      <c r="F211" s="117" t="str">
        <f>IF(VLOOKUP($A211,Definitions!$D:$E,2,FALSE)=0, "", VLOOKUP($A211,Definitions!$D:$E,2,FALSE))</f>
        <v>Comans and Copackers have additional details that must be provided (i.e. do the items use Kellogg owned materials or non-Kellogg owned materials?)</v>
      </c>
      <c r="G211" s="117" t="str">
        <f>IF(VLOOKUP($A211,'All sections of NIF PDF'!$D:$N,11,FALSE)=0,"",VLOOKUP($A211,'All sections of NIF PDF'!$D:$N,11,FALSE))</f>
        <v/>
      </c>
    </row>
    <row r="212" spans="1:7" ht="57.6">
      <c r="A212" s="121" t="str">
        <f>'All sections of NIF PDF'!D212</f>
        <v>(LIM Upd) Return Comments</v>
      </c>
      <c r="B212" s="117">
        <f>INDEX('All sections of NIF PDF'!$A:$A,MATCH($A212,'All sections of NIF PDF'!$D:$D,0))</f>
        <v>1202</v>
      </c>
      <c r="C212" s="117" t="str">
        <f>VLOOKUP($A212,'All sections of NIF PDF'!$D:$N,4,FALSE)</f>
        <v>free form</v>
      </c>
      <c r="D212" s="117" t="str">
        <f>INDEX('All sections of NIF PDF'!$B:$B,MATCH($A212,'All sections of NIF PDF'!$D:$D,0))</f>
        <v>LIM - Update</v>
      </c>
      <c r="E212" s="117" t="str">
        <f>VLOOKUP($A212,'All sections of NIF PDF'!$D:$N,6,FALSE)</f>
        <v>LIM</v>
      </c>
      <c r="F212" s="117" t="str">
        <f>IF(VLOOKUP($A212,Definitions!$D:$E,2,FALSE)=0, "", VLOOKUP($A212,Definitions!$D:$E,2,FALSE))</f>
        <v xml:space="preserve">At LIM Update, the only return that is available is to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12" s="117" t="str">
        <f>IF(VLOOKUP($A212,'All sections of NIF PDF'!$D:$N,11,FALSE)=0,"",VLOOKUP($A212,'All sections of NIF PDF'!$D:$N,11,FALSE))</f>
        <v/>
      </c>
    </row>
    <row r="213" spans="1:7" ht="28.9">
      <c r="A213" s="121" t="str">
        <f>'All sections of NIF PDF'!D213</f>
        <v>VAS Plant Groups</v>
      </c>
      <c r="B213" s="117">
        <f>INDEX('All sections of NIF PDF'!$A:$A,MATCH($A213,'All sections of NIF PDF'!$D:$D,0))</f>
        <v>1203</v>
      </c>
      <c r="C213" s="117" t="str">
        <f>VLOOKUP($A213,'All sections of NIF PDF'!$D:$N,4,FALSE)</f>
        <v>dd: reference list: VAS_PLANTS.XLSX</v>
      </c>
      <c r="D213" s="117" t="str">
        <f>INDEX('All sections of NIF PDF'!$B:$B,MATCH($A213,'All sections of NIF PDF'!$D:$D,0))</f>
        <v>LIM - Update</v>
      </c>
      <c r="E213" s="117" t="str">
        <f>VLOOKUP($A213,'All sections of NIF PDF'!$D:$N,6,FALSE)</f>
        <v>LIM</v>
      </c>
      <c r="F213" s="117" t="str">
        <f>IF(VLOOKUP($A213,Definitions!$D:$E,2,FALSE)=0, "", VLOOKUP($A213,Definitions!$D:$E,2,FALSE))</f>
        <v>Category for the type of VAS item being set up, which has all the appropriate DC's listed within it.</v>
      </c>
      <c r="G213" s="117" t="str">
        <f>IF(VLOOKUP($A213,'All sections of NIF PDF'!$D:$N,11,FALSE)=0,"",VLOOKUP($A213,'All sections of NIF PDF'!$D:$N,11,FALSE))</f>
        <v/>
      </c>
    </row>
    <row r="214" spans="1:7" ht="28.9">
      <c r="A214" s="121" t="str">
        <f>'All sections of NIF PDF'!D214</f>
        <v>Sub-Brand</v>
      </c>
      <c r="B214" s="117">
        <f>INDEX('All sections of NIF PDF'!$A:$A,MATCH($A214,'All sections of NIF PDF'!$D:$D,0))</f>
        <v>1204</v>
      </c>
      <c r="C214" s="117" t="str">
        <f>VLOOKUP($A214,'All sections of NIF PDF'!$D:$N,4,FALSE)</f>
        <v>dd: reference list: PRL: Sub Brand (Finance)</v>
      </c>
      <c r="D214" s="117" t="str">
        <f>INDEX('All sections of NIF PDF'!$B:$B,MATCH($A214,'All sections of NIF PDF'!$D:$D,0))</f>
        <v>Requestor Update</v>
      </c>
      <c r="E214" s="117" t="str">
        <f>VLOOKUP($A214,'All sections of NIF PDF'!$D:$N,6,FALSE)</f>
        <v>EPM Finance</v>
      </c>
      <c r="F214" s="117" t="str">
        <f>IF(VLOOKUP($A214,Definitions!$D:$E,2,FALSE)=0, "", VLOOKUP($A214,Definitions!$D:$E,2,FALSE))</f>
        <v>A more granular determination of brand which allows for more detailed reporting.</v>
      </c>
      <c r="G214" s="117" t="str">
        <f>IF(VLOOKUP($A214,'All sections of NIF PDF'!$D:$N,11,FALSE)=0,"",VLOOKUP($A214,'All sections of NIF PDF'!$D:$N,11,FALSE))</f>
        <v/>
      </c>
    </row>
    <row r="215" spans="1:7">
      <c r="A215" s="121" t="str">
        <f>'All sections of NIF PDF'!D215</f>
        <v>(EPM) Return Comments</v>
      </c>
      <c r="B215" s="117">
        <f>INDEX('All sections of NIF PDF'!$A:$A,MATCH($A215,'All sections of NIF PDF'!$D:$D,0))</f>
        <v>1205</v>
      </c>
      <c r="C215" s="117" t="str">
        <f>VLOOKUP($A215,'All sections of NIF PDF'!$D:$N,4,FALSE)</f>
        <v>free form</v>
      </c>
      <c r="D215" s="117" t="str">
        <f>INDEX('All sections of NIF PDF'!$B:$B,MATCH($A215,'All sections of NIF PDF'!$D:$D,0))</f>
        <v>EPM Finance - Update</v>
      </c>
      <c r="E215" s="117" t="str">
        <f>VLOOKUP($A215,'All sections of NIF PDF'!$D:$N,6,FALSE)</f>
        <v>EPM Finance</v>
      </c>
      <c r="F215" s="117" t="str">
        <f>IF(VLOOKUP($A215,Definitions!$D:$E,2,FALSE)=0, "", VLOOKUP($A215,Definitions!$D:$E,2,FALSE))</f>
        <v>This field is no longer available.</v>
      </c>
      <c r="G215" s="117" t="str">
        <f>IF(VLOOKUP($A215,'All sections of NIF PDF'!$D:$N,11,FALSE)=0,"",VLOOKUP($A215,'All sections of NIF PDF'!$D:$N,11,FALSE))</f>
        <v/>
      </c>
    </row>
    <row r="216" spans="1:7" ht="57.6">
      <c r="A216" s="121" t="str">
        <f>'All sections of NIF PDF'!D216</f>
        <v>(DI Review) Return Comments</v>
      </c>
      <c r="B216" s="117">
        <f>INDEX('All sections of NIF PDF'!$A:$A,MATCH($A216,'All sections of NIF PDF'!$D:$D,0))</f>
        <v>1206</v>
      </c>
      <c r="C216" s="117" t="str">
        <f>VLOOKUP($A216,'All sections of NIF PDF'!$D:$N,4,FALSE)</f>
        <v>free form</v>
      </c>
      <c r="D216" s="117" t="str">
        <f>INDEX('All sections of NIF PDF'!$B:$B,MATCH($A216,'All sections of NIF PDF'!$D:$D,0))</f>
        <v>Data Integrity (DI) - Review</v>
      </c>
      <c r="E216" s="117" t="str">
        <f>VLOOKUP($A216,'All sections of NIF PDF'!$D:$N,6,FALSE)</f>
        <v>Data Integrity</v>
      </c>
      <c r="F216" s="117" t="str">
        <f>IF(VLOOKUP($A216,Definitions!$D:$E,2,FALSE)=0, "", VLOOKUP($A216,Definitions!$D:$E,2,FALSE))</f>
        <v xml:space="preserve">At DI Review, the only return that is available is to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16" s="117" t="str">
        <f>IF(VLOOKUP($A216,'All sections of NIF PDF'!$D:$N,11,FALSE)=0,"",VLOOKUP($A216,'All sections of NIF PDF'!$D:$N,11,FALSE))</f>
        <v/>
      </c>
    </row>
    <row r="217" spans="1:7">
      <c r="A217" s="121" t="str">
        <f>'All sections of NIF PDF'!D217</f>
        <v>Max Storage Period/Ship Life</v>
      </c>
      <c r="B217" s="117">
        <f>INDEX('All sections of NIF PDF'!$A:$A,MATCH($A217,'All sections of NIF PDF'!$D:$D,0))</f>
        <v>1207</v>
      </c>
      <c r="C217" s="117" t="str">
        <f>VLOOKUP($A217,'All sections of NIF PDF'!$D:$N,4,FALSE)</f>
        <v>free form</v>
      </c>
      <c r="D217" s="117" t="str">
        <f>INDEX('All sections of NIF PDF'!$B:$B,MATCH($A217,'All sections of NIF PDF'!$D:$D,0))</f>
        <v>R&amp;D Quality - Update</v>
      </c>
      <c r="E217" s="117" t="str">
        <f>VLOOKUP($A217,'All sections of NIF PDF'!$D:$N,6,FALSE)</f>
        <v>R&amp;D Quality</v>
      </c>
      <c r="F217" s="117" t="str">
        <f>IF(VLOOKUP($A217,Definitions!$D:$E,2,FALSE)=0, "", VLOOKUP($A217,Definitions!$D:$E,2,FALSE))</f>
        <v>This is the Ship Life, or the Maximum/longest amount of time allowed for storing the material.</v>
      </c>
      <c r="G217" s="117" t="str">
        <f>IF(VLOOKUP($A217,'All sections of NIF PDF'!$D:$N,11,FALSE)=0,"",VLOOKUP($A217,'All sections of NIF PDF'!$D:$N,11,FALSE))</f>
        <v/>
      </c>
    </row>
    <row r="218" spans="1:7">
      <c r="A218" s="121" t="str">
        <f>'All sections of NIF PDF'!D218</f>
        <v>PES Food Review</v>
      </c>
      <c r="B218" s="117">
        <f>INDEX('All sections of NIF PDF'!$A:$A,MATCH($A218,'All sections of NIF PDF'!$D:$D,0))</f>
        <v>1208</v>
      </c>
      <c r="C218" s="117" t="str">
        <f>VLOOKUP($A218,'All sections of NIF PDF'!$D:$N,4,FALSE)</f>
        <v>dd: YES, NO</v>
      </c>
      <c r="D218" s="117" t="str">
        <f>INDEX('All sections of NIF PDF'!$B:$B,MATCH($A218,'All sections of NIF PDF'!$D:$D,0))</f>
        <v>R&amp;D Quality - Update</v>
      </c>
      <c r="E218" s="117" t="str">
        <f>VLOOKUP($A218,'All sections of NIF PDF'!$D:$N,6,FALSE)</f>
        <v>R&amp;D Quality</v>
      </c>
      <c r="F218" s="117" t="str">
        <f>IF(VLOOKUP($A218,Definitions!$D:$E,2,FALSE)=0, "", VLOOKUP($A218,Definitions!$D:$E,2,FALSE))</f>
        <v>This field identifies if the Finished Good will be reviewed using the Product Evaluation System (PES).</v>
      </c>
      <c r="G218" s="117" t="str">
        <f>IF(VLOOKUP($A218,'All sections of NIF PDF'!$D:$N,11,FALSE)=0,"",VLOOKUP($A218,'All sections of NIF PDF'!$D:$N,11,FALSE))</f>
        <v/>
      </c>
    </row>
    <row r="219" spans="1:7" ht="28.9">
      <c r="A219" s="121" t="str">
        <f>'All sections of NIF PDF'!D219</f>
        <v>Defect Group</v>
      </c>
      <c r="B219" s="117">
        <f>INDEX('All sections of NIF PDF'!$A:$A,MATCH($A219,'All sections of NIF PDF'!$D:$D,0))</f>
        <v>1209</v>
      </c>
      <c r="C219" s="117" t="str">
        <f>VLOOKUP($A219,'All sections of NIF PDF'!$D:$N,4,FALSE)</f>
        <v>dd: reference list: PRL: Defect Group</v>
      </c>
      <c r="D219" s="117" t="str">
        <f>INDEX('All sections of NIF PDF'!$B:$B,MATCH($A219,'All sections of NIF PDF'!$D:$D,0))</f>
        <v>R&amp;D Quality - Update</v>
      </c>
      <c r="E219" s="117" t="str">
        <f>VLOOKUP($A219,'All sections of NIF PDF'!$D:$N,6,FALSE)</f>
        <v>R&amp;D Quality</v>
      </c>
      <c r="F219" s="117" t="str">
        <f>IF(VLOOKUP($A219,Definitions!$D:$E,2,FALSE)=0, "", VLOOKUP($A219,Definitions!$D:$E,2,FALSE))</f>
        <v>This field identifies which list of defects the Finished Good should be compared against.</v>
      </c>
      <c r="G219" s="117" t="str">
        <f>IF(VLOOKUP($A219,'All sections of NIF PDF'!$D:$N,11,FALSE)=0,"",VLOOKUP($A219,'All sections of NIF PDF'!$D:$N,11,FALSE))</f>
        <v/>
      </c>
    </row>
    <row r="220" spans="1:7">
      <c r="A220" s="121" t="str">
        <f>'All sections of NIF PDF'!D220</f>
        <v>Multi Defect Group</v>
      </c>
      <c r="B220" s="117">
        <f>INDEX('All sections of NIF PDF'!$A:$A,MATCH($A220,'All sections of NIF PDF'!$D:$D,0))</f>
        <v>1210</v>
      </c>
      <c r="C220" s="117" t="str">
        <f>VLOOKUP($A220,'All sections of NIF PDF'!$D:$N,4,FALSE)</f>
        <v>dd: YES, NO</v>
      </c>
      <c r="D220" s="117" t="str">
        <f>INDEX('All sections of NIF PDF'!$B:$B,MATCH($A220,'All sections of NIF PDF'!$D:$D,0))</f>
        <v>R&amp;D Quality - Update</v>
      </c>
      <c r="E220" s="117" t="str">
        <f>VLOOKUP($A220,'All sections of NIF PDF'!$D:$N,6,FALSE)</f>
        <v>R&amp;D Quality</v>
      </c>
      <c r="F220" s="117" t="str">
        <f>IF(VLOOKUP($A220,Definitions!$D:$E,2,FALSE)=0, "", VLOOKUP($A220,Definitions!$D:$E,2,FALSE))</f>
        <v>This field indicates if the material can have multiple defects.</v>
      </c>
      <c r="G220" s="117" t="str">
        <f>IF(VLOOKUP($A220,'All sections of NIF PDF'!$D:$N,11,FALSE)=0,"",VLOOKUP($A220,'All sections of NIF PDF'!$D:$N,11,FALSE))</f>
        <v/>
      </c>
    </row>
    <row r="221" spans="1:7">
      <c r="A221" s="121" t="str">
        <f>'All sections of NIF PDF'!D221</f>
        <v>Grams per piece</v>
      </c>
      <c r="B221" s="117">
        <f>INDEX('All sections of NIF PDF'!$A:$A,MATCH($A221,'All sections of NIF PDF'!$D:$D,0))</f>
        <v>1211</v>
      </c>
      <c r="C221" s="117" t="str">
        <f>VLOOKUP($A221,'All sections of NIF PDF'!$D:$N,4,FALSE)</f>
        <v>free form</v>
      </c>
      <c r="D221" s="117" t="str">
        <f>INDEX('All sections of NIF PDF'!$B:$B,MATCH($A221,'All sections of NIF PDF'!$D:$D,0))</f>
        <v>Nutrition Labeling - Update</v>
      </c>
      <c r="E221" s="117" t="str">
        <f>VLOOKUP($A221,'All sections of NIF PDF'!$D:$N,6,FALSE)</f>
        <v>Nutrition Labeling</v>
      </c>
      <c r="F221" s="117" t="str">
        <f>IF(VLOOKUP($A221,Definitions!$D:$E,2,FALSE)=0, "", VLOOKUP($A221,Definitions!$D:$E,2,FALSE))</f>
        <v>This is an informational field only and indicates the total number of grams per individual unit.</v>
      </c>
      <c r="G221" s="117" t="str">
        <f>IF(VLOOKUP($A221,'All sections of NIF PDF'!$D:$N,11,FALSE)=0,"",VLOOKUP($A221,'All sections of NIF PDF'!$D:$N,11,FALSE))</f>
        <v/>
      </c>
    </row>
    <row r="222" spans="1:7" ht="28.9">
      <c r="A222" s="121" t="str">
        <f>'All sections of NIF PDF'!D222</f>
        <v>Weight Measure</v>
      </c>
      <c r="B222" s="117">
        <f>INDEX('All sections of NIF PDF'!$A:$A,MATCH($A222,'All sections of NIF PDF'!$D:$D,0))</f>
        <v>1212</v>
      </c>
      <c r="C222" s="117" t="str">
        <f>VLOOKUP($A222,'All sections of NIF PDF'!$D:$N,4,FALSE)</f>
        <v>radio button: IMPERIAL, METRIC</v>
      </c>
      <c r="D222" s="117" t="str">
        <f>INDEX('All sections of NIF PDF'!$B:$B,MATCH($A222,'All sections of NIF PDF'!$D:$D,0))</f>
        <v>Nutrition Labeling - Update</v>
      </c>
      <c r="E222" s="117" t="str">
        <f>VLOOKUP($A222,'All sections of NIF PDF'!$D:$N,6,FALSE)</f>
        <v>Nutrition Labeling</v>
      </c>
      <c r="F222" s="117" t="str">
        <f>IF(VLOOKUP($A222,Definitions!$D:$E,2,FALSE)=0, "", VLOOKUP($A222,Definitions!$D:$E,2,FALSE))</f>
        <v>This field indiciates the weight measure.  Imperial (US) or Metric (CA).</v>
      </c>
      <c r="G222" s="117" t="str">
        <f>IF(VLOOKUP($A222,'All sections of NIF PDF'!$D:$N,11,FALSE)=0,"",VLOOKUP($A222,'All sections of NIF PDF'!$D:$N,11,FALSE))</f>
        <v/>
      </c>
    </row>
    <row r="223" spans="1:7" ht="28.9">
      <c r="A223" s="121" t="str">
        <f>'All sections of NIF PDF'!D223</f>
        <v>Metric Stated Net Pouch Weight (g/kg)</v>
      </c>
      <c r="B223" s="117">
        <f>INDEX('All sections of NIF PDF'!$A:$A,MATCH($A223,'All sections of NIF PDF'!$D:$D,0))</f>
        <v>1213</v>
      </c>
      <c r="C223" s="117" t="str">
        <f>VLOOKUP($A223,'All sections of NIF PDF'!$D:$N,4,FALSE)</f>
        <v>free form</v>
      </c>
      <c r="D223" s="117" t="str">
        <f>INDEX('All sections of NIF PDF'!$B:$B,MATCH($A223,'All sections of NIF PDF'!$D:$D,0))</f>
        <v>Nutrition Labeling - Update</v>
      </c>
      <c r="E223" s="117" t="str">
        <f>VLOOKUP($A223,'All sections of NIF PDF'!$D:$N,6,FALSE)</f>
        <v>Nutrition Labeling</v>
      </c>
      <c r="F223" s="117" t="str">
        <f>IF(VLOOKUP($A223,Definitions!$D:$E,2,FALSE)=0, "", VLOOKUP($A223,Definitions!$D:$E,2,FALSE))</f>
        <v>The metric stated net pouch weight is the declared weight that is printed on the pouch and is the weight of the food product alone, excluding the packaging (EX film or corrugate).</v>
      </c>
      <c r="G223" s="117" t="str">
        <f>IF(VLOOKUP($A223,'All sections of NIF PDF'!$D:$N,11,FALSE)=0,"",VLOOKUP($A223,'All sections of NIF PDF'!$D:$N,11,FALSE))</f>
        <v/>
      </c>
    </row>
    <row r="224" spans="1:7" ht="28.9">
      <c r="A224" s="121" t="str">
        <f>'All sections of NIF PDF'!D224</f>
        <v>Metric Stated Net Pouch Size Unit</v>
      </c>
      <c r="B224" s="117">
        <f>INDEX('All sections of NIF PDF'!$A:$A,MATCH($A224,'All sections of NIF PDF'!$D:$D,0))</f>
        <v>1214</v>
      </c>
      <c r="C224" s="117" t="str">
        <f>VLOOKUP($A224,'All sections of NIF PDF'!$D:$N,4,FALSE)</f>
        <v>autofill</v>
      </c>
      <c r="D224" s="117" t="str">
        <f>INDEX('All sections of NIF PDF'!$B:$B,MATCH($A224,'All sections of NIF PDF'!$D:$D,0))</f>
        <v>Nutrition Labeling - Update</v>
      </c>
      <c r="E224" s="117" t="str">
        <f>VLOOKUP($A224,'All sections of NIF PDF'!$D:$N,6,FALSE)</f>
        <v>Nutrition Labeling</v>
      </c>
      <c r="F224" s="117" t="str">
        <f>IF(VLOOKUP($A224,Definitions!$D:$E,2,FALSE)=0, "", VLOOKUP($A224,Definitions!$D:$E,2,FALSE))</f>
        <v>The metric stated net pouch size unit of measure in Grams or Kilograms</v>
      </c>
      <c r="G224" s="117" t="str">
        <f>IF(VLOOKUP($A224,'All sections of NIF PDF'!$D:$N,11,FALSE)=0,"",VLOOKUP($A224,'All sections of NIF PDF'!$D:$N,11,FALSE))</f>
        <v/>
      </c>
    </row>
    <row r="225" spans="1:7" ht="28.9">
      <c r="A225" s="121" t="str">
        <f>'All sections of NIF PDF'!D225</f>
        <v>Metric Stated Net Package Weight (g/kg)</v>
      </c>
      <c r="B225" s="117">
        <f>INDEX('All sections of NIF PDF'!$A:$A,MATCH($A225,'All sections of NIF PDF'!$D:$D,0))</f>
        <v>1215</v>
      </c>
      <c r="C225" s="117" t="str">
        <f>VLOOKUP($A225,'All sections of NIF PDF'!$D:$N,4,FALSE)</f>
        <v>free form</v>
      </c>
      <c r="D225" s="117" t="str">
        <f>INDEX('All sections of NIF PDF'!$B:$B,MATCH($A225,'All sections of NIF PDF'!$D:$D,0))</f>
        <v>Nutrition Labeling - Update</v>
      </c>
      <c r="E225" s="117" t="str">
        <f>VLOOKUP($A225,'All sections of NIF PDF'!$D:$N,6,FALSE)</f>
        <v>Nutrition Labeling</v>
      </c>
      <c r="F225" s="117" t="str">
        <f>IF(VLOOKUP($A225,Definitions!$D:$E,2,FALSE)=0, "", VLOOKUP($A225,Definitions!$D:$E,2,FALSE))</f>
        <v>The metric stated net package weight is the declared weight that is printed on the package and is the weight of the food product alone, excluding the packaging (EX film or corrugate).</v>
      </c>
      <c r="G225" s="117" t="str">
        <f>IF(VLOOKUP($A225,'All sections of NIF PDF'!$D:$N,11,FALSE)=0,"",VLOOKUP($A225,'All sections of NIF PDF'!$D:$N,11,FALSE))</f>
        <v/>
      </c>
    </row>
    <row r="226" spans="1:7" ht="28.9">
      <c r="A226" s="121" t="str">
        <f>'All sections of NIF PDF'!D226</f>
        <v>Metric Stated Net Package Weight Unit</v>
      </c>
      <c r="B226" s="117">
        <f>INDEX('All sections of NIF PDF'!$A:$A,MATCH($A226,'All sections of NIF PDF'!$D:$D,0))</f>
        <v>1216</v>
      </c>
      <c r="C226" s="117" t="str">
        <f>VLOOKUP($A226,'All sections of NIF PDF'!$D:$N,4,FALSE)</f>
        <v>autofill</v>
      </c>
      <c r="D226" s="117" t="str">
        <f>INDEX('All sections of NIF PDF'!$B:$B,MATCH($A226,'All sections of NIF PDF'!$D:$D,0))</f>
        <v>Nutrition Labeling - Update</v>
      </c>
      <c r="E226" s="117" t="str">
        <f>VLOOKUP($A226,'All sections of NIF PDF'!$D:$N,6,FALSE)</f>
        <v>Nutrition Labeling</v>
      </c>
      <c r="F226" s="117" t="str">
        <f>IF(VLOOKUP($A226,Definitions!$D:$E,2,FALSE)=0, "", VLOOKUP($A226,Definitions!$D:$E,2,FALSE))</f>
        <v>The metric stated net package size unit of measure in Grams or Kilograms</v>
      </c>
      <c r="G226" s="117" t="str">
        <f>IF(VLOOKUP($A226,'All sections of NIF PDF'!$D:$N,11,FALSE)=0,"",VLOOKUP($A226,'All sections of NIF PDF'!$D:$N,11,FALSE))</f>
        <v/>
      </c>
    </row>
    <row r="227" spans="1:7" ht="43.15">
      <c r="A227" s="121" t="str">
        <f>'All sections of NIF PDF'!D227</f>
        <v>Package Net Weight for SAP (Metric)</v>
      </c>
      <c r="B227" s="117">
        <f>INDEX('All sections of NIF PDF'!$A:$A,MATCH($A227,'All sections of NIF PDF'!$D:$D,0))</f>
        <v>1217</v>
      </c>
      <c r="C227" s="117" t="str">
        <f>VLOOKUP($A227,'All sections of NIF PDF'!$D:$N,4,FALSE)</f>
        <v>free form</v>
      </c>
      <c r="D227" s="117" t="str">
        <f>INDEX('All sections of NIF PDF'!$B:$B,MATCH($A227,'All sections of NIF PDF'!$D:$D,0))</f>
        <v>Nutrition Labeling - Update</v>
      </c>
      <c r="E227" s="117" t="str">
        <f>VLOOKUP($A227,'All sections of NIF PDF'!$D:$N,6,FALSE)</f>
        <v>Nutrition Labeling</v>
      </c>
      <c r="F227" s="117" t="str">
        <f>IF(VLOOKUP($A227,Definitions!$D:$E,2,FALSE)=0, "", VLOOKUP($A227,Definitions!$D:$E,2,FALSE))</f>
        <v>The Metric Package Net Weight for SAP is meant to provide an alternate more accurate weight to use for the net case weight calculation. Used for items like Pop Tarts and Bars, but not for items like Crackers or Cereal.</v>
      </c>
      <c r="G227" s="117" t="str">
        <f>IF(VLOOKUP($A227,'All sections of NIF PDF'!$D:$N,11,FALSE)=0,"",VLOOKUP($A227,'All sections of NIF PDF'!$D:$N,11,FALSE))</f>
        <v>If populated, then the NIF will use this value for the calculations, otherwise it will use the Metric Stated Net Package Weight (g/kg).</v>
      </c>
    </row>
    <row r="228" spans="1:7" ht="28.9">
      <c r="A228" s="121" t="str">
        <f>'All sections of NIF PDF'!D228</f>
        <v>Stated Net Pouch Weight (oz/lb)</v>
      </c>
      <c r="B228" s="117">
        <f>INDEX('All sections of NIF PDF'!$A:$A,MATCH($A228,'All sections of NIF PDF'!$D:$D,0))</f>
        <v>1218</v>
      </c>
      <c r="C228" s="117" t="str">
        <f>VLOOKUP($A228,'All sections of NIF PDF'!$D:$N,4,FALSE)</f>
        <v>free form</v>
      </c>
      <c r="D228" s="117" t="str">
        <f>INDEX('All sections of NIF PDF'!$B:$B,MATCH($A228,'All sections of NIF PDF'!$D:$D,0))</f>
        <v>Nutrition Labeling - Update</v>
      </c>
      <c r="E228" s="117" t="str">
        <f>VLOOKUP($A228,'All sections of NIF PDF'!$D:$N,6,FALSE)</f>
        <v>Nutrition Labeling</v>
      </c>
      <c r="F228" s="117" t="str">
        <f>IF(VLOOKUP($A228,Definitions!$D:$E,2,FALSE)=0, "", VLOOKUP($A228,Definitions!$D:$E,2,FALSE))</f>
        <v>The imperial stated net pouch weight is the declared weight that is printed on the pouch and is the weight of the food product alone, excluding the packaging (EX film or corrugate).</v>
      </c>
      <c r="G228" s="117" t="str">
        <f>IF(VLOOKUP($A228,'All sections of NIF PDF'!$D:$N,11,FALSE)=0,"",VLOOKUP($A228,'All sections of NIF PDF'!$D:$N,11,FALSE))</f>
        <v/>
      </c>
    </row>
    <row r="229" spans="1:7">
      <c r="A229" s="121" t="str">
        <f>'All sections of NIF PDF'!D229</f>
        <v>Stated Net Pouch Weight Unit</v>
      </c>
      <c r="B229" s="117">
        <f>INDEX('All sections of NIF PDF'!$A:$A,MATCH($A229,'All sections of NIF PDF'!$D:$D,0))</f>
        <v>1219</v>
      </c>
      <c r="C229" s="117" t="str">
        <f>VLOOKUP($A229,'All sections of NIF PDF'!$D:$N,4,FALSE)</f>
        <v>autofill</v>
      </c>
      <c r="D229" s="117" t="str">
        <f>INDEX('All sections of NIF PDF'!$B:$B,MATCH($A229,'All sections of NIF PDF'!$D:$D,0))</f>
        <v>Nutrition Labeling - Update</v>
      </c>
      <c r="E229" s="117" t="str">
        <f>VLOOKUP($A229,'All sections of NIF PDF'!$D:$N,6,FALSE)</f>
        <v>Nutrition Labeling</v>
      </c>
      <c r="F229" s="117" t="str">
        <f>IF(VLOOKUP($A229,Definitions!$D:$E,2,FALSE)=0, "", VLOOKUP($A229,Definitions!$D:$E,2,FALSE))</f>
        <v>The imperial stated net pouch size unit of measure in Ounces or Pounds.</v>
      </c>
      <c r="G229" s="117" t="str">
        <f>IF(VLOOKUP($A229,'All sections of NIF PDF'!$D:$N,11,FALSE)=0,"",VLOOKUP($A229,'All sections of NIF PDF'!$D:$N,11,FALSE))</f>
        <v/>
      </c>
    </row>
    <row r="230" spans="1:7" ht="28.9">
      <c r="A230" s="121" t="str">
        <f>'All sections of NIF PDF'!D230</f>
        <v>Stated Net Package Weight (oz/lb)</v>
      </c>
      <c r="B230" s="117">
        <f>INDEX('All sections of NIF PDF'!$A:$A,MATCH($A230,'All sections of NIF PDF'!$D:$D,0))</f>
        <v>1220</v>
      </c>
      <c r="C230" s="117" t="str">
        <f>VLOOKUP($A230,'All sections of NIF PDF'!$D:$N,4,FALSE)</f>
        <v>free form</v>
      </c>
      <c r="D230" s="117" t="str">
        <f>INDEX('All sections of NIF PDF'!$B:$B,MATCH($A230,'All sections of NIF PDF'!$D:$D,0))</f>
        <v>Nutrition Labeling - Update</v>
      </c>
      <c r="E230" s="117" t="str">
        <f>VLOOKUP($A230,'All sections of NIF PDF'!$D:$N,6,FALSE)</f>
        <v>Nutrition Labeling</v>
      </c>
      <c r="F230" s="117" t="str">
        <f>IF(VLOOKUP($A230,Definitions!$D:$E,2,FALSE)=0, "", VLOOKUP($A230,Definitions!$D:$E,2,FALSE))</f>
        <v>The imperial stated net package weight is the declared weight that is printed on the package and is the weight of the food product alone, excluding the packaging (EX film or corrugate).</v>
      </c>
      <c r="G230" s="117" t="str">
        <f>IF(VLOOKUP($A230,'All sections of NIF PDF'!$D:$N,11,FALSE)=0,"",VLOOKUP($A230,'All sections of NIF PDF'!$D:$N,11,FALSE))</f>
        <v/>
      </c>
    </row>
    <row r="231" spans="1:7" ht="28.9">
      <c r="A231" s="121" t="str">
        <f>'All sections of NIF PDF'!D231</f>
        <v>Stated Net Package Weight Unit</v>
      </c>
      <c r="B231" s="117">
        <f>INDEX('All sections of NIF PDF'!$A:$A,MATCH($A231,'All sections of NIF PDF'!$D:$D,0))</f>
        <v>1221</v>
      </c>
      <c r="C231" s="117" t="str">
        <f>VLOOKUP($A231,'All sections of NIF PDF'!$D:$N,4,FALSE)</f>
        <v>dd: OZ, LB</v>
      </c>
      <c r="D231" s="117" t="str">
        <f>INDEX('All sections of NIF PDF'!$B:$B,MATCH($A231,'All sections of NIF PDF'!$D:$D,0))</f>
        <v>Nutrition Labeling - Update</v>
      </c>
      <c r="E231" s="117" t="str">
        <f>VLOOKUP($A231,'All sections of NIF PDF'!$D:$N,6,FALSE)</f>
        <v>Nutrition Labeling</v>
      </c>
      <c r="F231" s="117" t="str">
        <f>IF(VLOOKUP($A231,Definitions!$D:$E,2,FALSE)=0, "", VLOOKUP($A231,Definitions!$D:$E,2,FALSE))</f>
        <v>The imperial stated net package size unit of measure in Ounces or Pounds.</v>
      </c>
      <c r="G231" s="117" t="str">
        <f>IF(VLOOKUP($A231,'All sections of NIF PDF'!$D:$N,11,FALSE)=0,"",VLOOKUP($A231,'All sections of NIF PDF'!$D:$N,11,FALSE))</f>
        <v/>
      </c>
    </row>
    <row r="232" spans="1:7" ht="43.15">
      <c r="A232" s="121" t="str">
        <f>'All sections of NIF PDF'!D232</f>
        <v>Package Net Weight for SAP (Imperial)</v>
      </c>
      <c r="B232" s="117">
        <f>INDEX('All sections of NIF PDF'!$A:$A,MATCH($A232,'All sections of NIF PDF'!$D:$D,0))</f>
        <v>1222</v>
      </c>
      <c r="C232" s="117" t="str">
        <f>VLOOKUP($A232,'All sections of NIF PDF'!$D:$N,4,FALSE)</f>
        <v>free form</v>
      </c>
      <c r="D232" s="117" t="str">
        <f>INDEX('All sections of NIF PDF'!$B:$B,MATCH($A232,'All sections of NIF PDF'!$D:$D,0))</f>
        <v>Nutrition Labeling - Update</v>
      </c>
      <c r="E232" s="117" t="str">
        <f>VLOOKUP($A232,'All sections of NIF PDF'!$D:$N,6,FALSE)</f>
        <v>Nutrition Labeling</v>
      </c>
      <c r="F232" s="117" t="str">
        <f>IF(VLOOKUP($A232,Definitions!$D:$E,2,FALSE)=0, "", VLOOKUP($A232,Definitions!$D:$E,2,FALSE))</f>
        <v>The Package Net Weight for SAP is meant to provide an alternate more accurate weight to use for the net case weight calculation. Used for items like Pop Tarts and Bars, but not for items like Crackers or Cereal.</v>
      </c>
      <c r="G232" s="117" t="str">
        <f>IF(VLOOKUP($A232,'All sections of NIF PDF'!$D:$N,11,FALSE)=0,"",VLOOKUP($A232,'All sections of NIF PDF'!$D:$N,11,FALSE))</f>
        <v>If populated, then the NIF will use this value for the calculations, otherwise it will use the Stated Net Package Weight (oz/lb).</v>
      </c>
    </row>
    <row r="233" spans="1:7" ht="28.9">
      <c r="A233" s="121" t="str">
        <f>'All sections of NIF PDF'!D233</f>
        <v>Metric Stated Net Pouch Weight (g)</v>
      </c>
      <c r="B233" s="117">
        <f>INDEX('All sections of NIF PDF'!$A:$A,MATCH($A233,'All sections of NIF PDF'!$D:$D,0))</f>
        <v>1223</v>
      </c>
      <c r="C233" s="117" t="str">
        <f>VLOOKUP($A233,'All sections of NIF PDF'!$D:$N,4,FALSE)</f>
        <v>calculation</v>
      </c>
      <c r="D233" s="117" t="str">
        <f>INDEX('All sections of NIF PDF'!$B:$B,MATCH($A233,'All sections of NIF PDF'!$D:$D,0))</f>
        <v>Nutrition Labeling - Update</v>
      </c>
      <c r="E233" s="117" t="str">
        <f>VLOOKUP($A233,'All sections of NIF PDF'!$D:$N,6,FALSE)</f>
        <v>Nutrition Labeling</v>
      </c>
      <c r="F233" s="117" t="str">
        <f>IF(VLOOKUP($A233,Definitions!$D:$E,2,FALSE)=0, "", VLOOKUP($A233,Definitions!$D:$E,2,FALSE))</f>
        <v>The stated net pouch weight in Grams</v>
      </c>
      <c r="G233" s="117" t="str">
        <f>IF(VLOOKUP($A233,'All sections of NIF PDF'!$D:$N,11,FALSE)=0,"",VLOOKUP($A233,'All sections of NIF PDF'!$D:$N,11,FALSE))</f>
        <v/>
      </c>
    </row>
    <row r="234" spans="1:7" ht="28.9">
      <c r="A234" s="121" t="str">
        <f>'All sections of NIF PDF'!D234</f>
        <v>Metric Stated Net Package Weight (g)</v>
      </c>
      <c r="B234" s="117">
        <f>INDEX('All sections of NIF PDF'!$A:$A,MATCH($A234,'All sections of NIF PDF'!$D:$D,0))</f>
        <v>1224</v>
      </c>
      <c r="C234" s="117" t="str">
        <f>VLOOKUP($A234,'All sections of NIF PDF'!$D:$N,4,FALSE)</f>
        <v>calculation</v>
      </c>
      <c r="D234" s="117" t="str">
        <f>INDEX('All sections of NIF PDF'!$B:$B,MATCH($A234,'All sections of NIF PDF'!$D:$D,0))</f>
        <v>Nutrition Labeling - Update</v>
      </c>
      <c r="E234" s="117" t="str">
        <f>VLOOKUP($A234,'All sections of NIF PDF'!$D:$N,6,FALSE)</f>
        <v>Nutrition Labeling</v>
      </c>
      <c r="F234" s="117" t="str">
        <f>IF(VLOOKUP($A234,Definitions!$D:$E,2,FALSE)=0, "", VLOOKUP($A234,Definitions!$D:$E,2,FALSE))</f>
        <v>The stated net package weight in Grams</v>
      </c>
      <c r="G234" s="117" t="str">
        <f>IF(VLOOKUP($A234,'All sections of NIF PDF'!$D:$N,11,FALSE)=0,"",VLOOKUP($A234,'All sections of NIF PDF'!$D:$N,11,FALSE))</f>
        <v/>
      </c>
    </row>
    <row r="235" spans="1:7">
      <c r="A235" s="121" t="str">
        <f>'All sections of NIF PDF'!D235</f>
        <v>Stated Net Pouch Weight (oz)</v>
      </c>
      <c r="B235" s="117">
        <f>INDEX('All sections of NIF PDF'!$A:$A,MATCH($A235,'All sections of NIF PDF'!$D:$D,0))</f>
        <v>1225</v>
      </c>
      <c r="C235" s="117" t="str">
        <f>VLOOKUP($A235,'All sections of NIF PDF'!$D:$N,4,FALSE)</f>
        <v>calculation</v>
      </c>
      <c r="D235" s="117" t="str">
        <f>INDEX('All sections of NIF PDF'!$B:$B,MATCH($A235,'All sections of NIF PDF'!$D:$D,0))</f>
        <v>Nutrition Labeling - Update</v>
      </c>
      <c r="E235" s="117" t="str">
        <f>VLOOKUP($A235,'All sections of NIF PDF'!$D:$N,6,FALSE)</f>
        <v>Nutrition Labeling</v>
      </c>
      <c r="F235" s="117" t="str">
        <f>IF(VLOOKUP($A235,Definitions!$D:$E,2,FALSE)=0, "", VLOOKUP($A235,Definitions!$D:$E,2,FALSE))</f>
        <v>The stated net pouch weight in Ounces</v>
      </c>
      <c r="G235" s="117" t="str">
        <f>IF(VLOOKUP($A235,'All sections of NIF PDF'!$D:$N,11,FALSE)=0,"",VLOOKUP($A235,'All sections of NIF PDF'!$D:$N,11,FALSE))</f>
        <v/>
      </c>
    </row>
    <row r="236" spans="1:7" ht="28.9">
      <c r="A236" s="121" t="str">
        <f>'All sections of NIF PDF'!D236</f>
        <v>Stated Net Package Weight (oz)</v>
      </c>
      <c r="B236" s="117">
        <f>INDEX('All sections of NIF PDF'!$A:$A,MATCH($A236,'All sections of NIF PDF'!$D:$D,0))</f>
        <v>1226</v>
      </c>
      <c r="C236" s="117" t="str">
        <f>VLOOKUP($A236,'All sections of NIF PDF'!$D:$N,4,FALSE)</f>
        <v>calculation</v>
      </c>
      <c r="D236" s="117" t="str">
        <f>INDEX('All sections of NIF PDF'!$B:$B,MATCH($A236,'All sections of NIF PDF'!$D:$D,0))</f>
        <v>Nutrition Labeling - Update</v>
      </c>
      <c r="E236" s="117" t="str">
        <f>VLOOKUP($A236,'All sections of NIF PDF'!$D:$N,6,FALSE)</f>
        <v>Nutrition Labeling</v>
      </c>
      <c r="F236" s="117" t="str">
        <f>IF(VLOOKUP($A236,Definitions!$D:$E,2,FALSE)=0, "", VLOOKUP($A236,Definitions!$D:$E,2,FALSE))</f>
        <v>The stated net package weight in Ounces</v>
      </c>
      <c r="G236" s="117" t="str">
        <f>IF(VLOOKUP($A236,'All sections of NIF PDF'!$D:$N,11,FALSE)=0,"",VLOOKUP($A236,'All sections of NIF PDF'!$D:$N,11,FALSE))</f>
        <v/>
      </c>
    </row>
    <row r="237" spans="1:7" ht="28.9">
      <c r="A237" s="121" t="str">
        <f>'All sections of NIF PDF'!D237</f>
        <v>Package Individual Unit Size</v>
      </c>
      <c r="B237" s="117">
        <f>INDEX('All sections of NIF PDF'!$A:$A,MATCH($A237,'All sections of NIF PDF'!$D:$D,0))</f>
        <v>1227</v>
      </c>
      <c r="C237" s="117" t="str">
        <f>VLOOKUP($A237,'All sections of NIF PDF'!$D:$N,4,FALSE)</f>
        <v>free form</v>
      </c>
      <c r="D237" s="117" t="str">
        <f>INDEX('All sections of NIF PDF'!$B:$B,MATCH($A237,'All sections of NIF PDF'!$D:$D,0))</f>
        <v>Nutrition Labeling - Update</v>
      </c>
      <c r="E237" s="117" t="str">
        <f>VLOOKUP($A237,'All sections of NIF PDF'!$D:$N,6,FALSE)</f>
        <v>Nutrition Labeling</v>
      </c>
      <c r="F237" s="117" t="str">
        <f>IF(VLOOKUP($A237,Definitions!$D:$E,2,FALSE)=0, "", VLOOKUP($A237,Definitions!$D:$E,2,FALSE))</f>
        <v>INDIVIDUAL UNIT SIZE = auto-formatted as "160.00" or "160.25" the individual unit size is the stated net weight, for bulk it would be printed on the brown corrugate case.</v>
      </c>
      <c r="G237" s="117" t="str">
        <f>IF(VLOOKUP($A237,'All sections of NIF PDF'!$D:$N,11,FALSE)=0,"",VLOOKUP($A237,'All sections of NIF PDF'!$D:$N,11,FALSE))</f>
        <v/>
      </c>
    </row>
    <row r="238" spans="1:7" ht="28.9">
      <c r="A238" s="121" t="str">
        <f>'All sections of NIF PDF'!D238</f>
        <v>Package Individual Unit Size UOM</v>
      </c>
      <c r="B238" s="117">
        <f>INDEX('All sections of NIF PDF'!$A:$A,MATCH($A238,'All sections of NIF PDF'!$D:$D,0))</f>
        <v>1228</v>
      </c>
      <c r="C238" s="117" t="str">
        <f>VLOOKUP($A238,'All sections of NIF PDF'!$D:$N,4,FALSE)</f>
        <v>free form</v>
      </c>
      <c r="D238" s="117" t="str">
        <f>INDEX('All sections of NIF PDF'!$B:$B,MATCH($A238,'All sections of NIF PDF'!$D:$D,0))</f>
        <v>Nutrition Labeling - Update</v>
      </c>
      <c r="E238" s="117" t="str">
        <f>VLOOKUP($A238,'All sections of NIF PDF'!$D:$N,6,FALSE)</f>
        <v>Nutrition Labeling</v>
      </c>
      <c r="F238" s="117" t="str">
        <f>IF(VLOOKUP($A238,Definitions!$D:$E,2,FALSE)=0, "", VLOOKUP($A238,Definitions!$D:$E,2,FALSE))</f>
        <v>INDIVIDUAL UNIT SIZE UOM = OZ or LB</v>
      </c>
      <c r="G238" s="117" t="str">
        <f>IF(VLOOKUP($A238,'All sections of NIF PDF'!$D:$N,11,FALSE)=0,"",VLOOKUP($A238,'All sections of NIF PDF'!$D:$N,11,FALSE))</f>
        <v/>
      </c>
    </row>
    <row r="239" spans="1:7" ht="28.9">
      <c r="A239" s="121" t="str">
        <f>'All sections of NIF PDF'!D239</f>
        <v>Package Inner Pack Quantity</v>
      </c>
      <c r="B239" s="117">
        <f>INDEX('All sections of NIF PDF'!$A:$A,MATCH($A239,'All sections of NIF PDF'!$D:$D,0))</f>
        <v>1229</v>
      </c>
      <c r="C239" s="117" t="str">
        <f>VLOOKUP($A239,'All sections of NIF PDF'!$D:$N,4,FALSE)</f>
        <v>free form</v>
      </c>
      <c r="D239" s="117" t="str">
        <f>INDEX('All sections of NIF PDF'!$B:$B,MATCH($A239,'All sections of NIF PDF'!$D:$D,0))</f>
        <v>Nutrition Labeling - Update</v>
      </c>
      <c r="E239" s="117" t="str">
        <f>VLOOKUP($A239,'All sections of NIF PDF'!$D:$N,6,FALSE)</f>
        <v>Nutrition Labeling</v>
      </c>
      <c r="F239" s="117" t="str">
        <f>IF(VLOOKUP($A239,Definitions!$D:$E,2,FALSE)=0, "", VLOOKUP($A239,Definitions!$D:$E,2,FALSE))</f>
        <v>INNER PACK QUANTITY = whole number.  the inner pack qty would be how many are in the case such as how many patties or individually wrapped crackers</v>
      </c>
      <c r="G239" s="117" t="str">
        <f>IF(VLOOKUP($A239,'All sections of NIF PDF'!$D:$N,11,FALSE)=0,"",VLOOKUP($A239,'All sections of NIF PDF'!$D:$N,11,FALSE))</f>
        <v/>
      </c>
    </row>
    <row r="240" spans="1:7" ht="43.15">
      <c r="A240" s="121" t="str">
        <f>'All sections of NIF PDF'!D240</f>
        <v>Did you check the Food Form</v>
      </c>
      <c r="B240" s="117">
        <f>INDEX('All sections of NIF PDF'!$A:$A,MATCH($A240,'All sections of NIF PDF'!$D:$D,0))</f>
        <v>1230</v>
      </c>
      <c r="C240" s="117" t="str">
        <f>VLOOKUP($A240,'All sections of NIF PDF'!$D:$N,4,FALSE)</f>
        <v>checkbox</v>
      </c>
      <c r="D240" s="117" t="str">
        <f>INDEX('All sections of NIF PDF'!$B:$B,MATCH($A240,'All sections of NIF PDF'!$D:$D,0))</f>
        <v>Nutrition Labeling - Update</v>
      </c>
      <c r="E240" s="117" t="str">
        <f>VLOOKUP($A240,'All sections of NIF PDF'!$D:$N,6,FALSE)</f>
        <v>Nutrition Labeling</v>
      </c>
      <c r="F240" s="117" t="str">
        <f>IF(VLOOKUP($A240,Definitions!$D:$E,2,FALSE)=0, "", VLOOKUP($A240,Definitions!$D:$E,2,FALSE))</f>
        <v>This section will only show for Canada forms. Please ensure the food form is populated correctly. This is part of the “Safe Food for Canadians” regulatory requirement. If incorrect, return to the Requestor and ask them to populate the field with the correct value</v>
      </c>
      <c r="G240" s="117" t="str">
        <f>IF(VLOOKUP($A240,'All sections of NIF PDF'!$D:$N,11,FALSE)=0,"",VLOOKUP($A240,'All sections of NIF PDF'!$D:$N,11,FALSE))</f>
        <v/>
      </c>
    </row>
    <row r="241" spans="1:7" ht="43.15">
      <c r="A241" s="121" t="str">
        <f>'All sections of NIF PDF'!D241</f>
        <v>Pouch</v>
      </c>
      <c r="B241" s="117">
        <f>INDEX('All sections of NIF PDF'!$A:$A,MATCH($A241,'All sections of NIF PDF'!$D:$D,0))</f>
        <v>1231</v>
      </c>
      <c r="C241" s="117" t="str">
        <f>VLOOKUP($A241,'All sections of NIF PDF'!$D:$N,4,FALSE)</f>
        <v>free form</v>
      </c>
      <c r="D241" s="117" t="str">
        <f>INDEX('All sections of NIF PDF'!$B:$B,MATCH($A241,'All sections of NIF PDF'!$D:$D,0))</f>
        <v>Nutrition Labeling - Update</v>
      </c>
      <c r="E241" s="117" t="str">
        <f>VLOOKUP($A241,'All sections of NIF PDF'!$D:$N,6,FALSE)</f>
        <v>Nutrition Labeling</v>
      </c>
      <c r="F241" s="117" t="str">
        <f>IF(VLOOKUP($A241,Definitions!$D:$E,2,FALSE)=0, "", VLOOKUP($A241,Definitions!$D:$E,2,FALSE))</f>
        <v>The net weight statement on a pouch, the net weight statement is typically printed on the front panel (also called the principal display panel), and it indicates the weight of the contents inside the pouch—not including the pouch itself. EX Net Wt. 7 oz (198 g) – for a single-serve ready-to-eat meal</v>
      </c>
      <c r="G241" s="117" t="str">
        <f>IF(VLOOKUP($A241,'All sections of NIF PDF'!$D:$N,11,FALSE)=0,"",VLOOKUP($A241,'All sections of NIF PDF'!$D:$N,11,FALSE))</f>
        <v/>
      </c>
    </row>
    <row r="242" spans="1:7" ht="57.6">
      <c r="A242" s="121" t="str">
        <f>'All sections of NIF PDF'!D242</f>
        <v>Package</v>
      </c>
      <c r="B242" s="117">
        <f>INDEX('All sections of NIF PDF'!$A:$A,MATCH($A242,'All sections of NIF PDF'!$D:$D,0))</f>
        <v>1232</v>
      </c>
      <c r="C242" s="117" t="str">
        <f>VLOOKUP($A242,'All sections of NIF PDF'!$D:$N,4,FALSE)</f>
        <v>free form</v>
      </c>
      <c r="D242" s="117" t="str">
        <f>INDEX('All sections of NIF PDF'!$B:$B,MATCH($A242,'All sections of NIF PDF'!$D:$D,0))</f>
        <v>Nutrition Labeling - Update</v>
      </c>
      <c r="E242" s="117" t="str">
        <f>VLOOKUP($A242,'All sections of NIF PDF'!$D:$N,6,FALSE)</f>
        <v>Nutrition Labeling</v>
      </c>
      <c r="F242" s="117" t="str">
        <f>IF(VLOOKUP($A242,Definitions!$D:$E,2,FALSE)=0, "", VLOOKUP($A242,Definitions!$D:$E,2,FALSE))</f>
        <v xml:space="preserve">The net weight statement on packaging refers to the total weight of the product itself, excluding the weight of any packaging materials like boxes, wrappers, or containers. It’s typically displayed on the front of consumer goods and is required by regulatory agencies such as the FDA (Food and Drug Administration) or FTC (Federal Trade Commission) in the U.S. EX Net Wt. 12 oz (340 g) </v>
      </c>
      <c r="G242" s="117" t="str">
        <f>IF(VLOOKUP($A242,'All sections of NIF PDF'!$D:$N,11,FALSE)=0,"",VLOOKUP($A242,'All sections of NIF PDF'!$D:$N,11,FALSE))</f>
        <v/>
      </c>
    </row>
    <row r="243" spans="1:7" ht="57.6">
      <c r="A243" s="121" t="str">
        <f>'All sections of NIF PDF'!D243</f>
        <v>Case</v>
      </c>
      <c r="B243" s="117">
        <f>INDEX('All sections of NIF PDF'!$A:$A,MATCH($A243,'All sections of NIF PDF'!$D:$D,0))</f>
        <v>1233</v>
      </c>
      <c r="C243" s="117" t="str">
        <f>VLOOKUP($A243,'All sections of NIF PDF'!$D:$N,4,FALSE)</f>
        <v>free form</v>
      </c>
      <c r="D243" s="117" t="str">
        <f>INDEX('All sections of NIF PDF'!$B:$B,MATCH($A243,'All sections of NIF PDF'!$D:$D,0))</f>
        <v>Nutrition Labeling - Update</v>
      </c>
      <c r="E243" s="117" t="str">
        <f>VLOOKUP($A243,'All sections of NIF PDF'!$D:$N,6,FALSE)</f>
        <v>Nutrition Labeling</v>
      </c>
      <c r="F243" s="117" t="str">
        <f>IF(VLOOKUP($A243,Definitions!$D:$E,2,FALSE)=0, "", VLOOKUP($A243,Definitions!$D:$E,2,FALSE))</f>
        <v>The net weight statement on a case refers to the total weight of the product contents inside the case, excluding the weight of the outer packaging (the case itself). This is especially relevant in bulk packaging or multi-pack shipments used in supply chain, retail, and distribution. EX Net Wt. 96 oz (6 lb) [2.72 kg]</v>
      </c>
      <c r="G243" s="117" t="str">
        <f>IF(VLOOKUP($A243,'All sections of NIF PDF'!$D:$N,11,FALSE)=0,"",VLOOKUP($A243,'All sections of NIF PDF'!$D:$N,11,FALSE))</f>
        <v/>
      </c>
    </row>
    <row r="244" spans="1:7" ht="57.6">
      <c r="A244" s="121" t="str">
        <f>'All sections of NIF PDF'!D244</f>
        <v>(NL) Return Comments</v>
      </c>
      <c r="B244" s="117">
        <f>INDEX('All sections of NIF PDF'!$A:$A,MATCH($A244,'All sections of NIF PDF'!$D:$D,0))</f>
        <v>1234</v>
      </c>
      <c r="C244" s="117" t="str">
        <f>VLOOKUP($A244,'All sections of NIF PDF'!$D:$N,4,FALSE)</f>
        <v>free form</v>
      </c>
      <c r="D244" s="117" t="str">
        <f>INDEX('All sections of NIF PDF'!$B:$B,MATCH($A244,'All sections of NIF PDF'!$D:$D,0))</f>
        <v>Nutrition Labeling - Update</v>
      </c>
      <c r="E244" s="117" t="str">
        <f>VLOOKUP($A244,'All sections of NIF PDF'!$D:$N,6,FALSE)</f>
        <v>Nutrition Labeling</v>
      </c>
      <c r="F244" s="117" t="str">
        <f>IF(VLOOKUP($A244,Definitions!$D:$E,2,FALSE)=0, "", VLOOKUP($A244,Definitions!$D:$E,2,FALSE))</f>
        <v xml:space="preserve">At Nutrition Labeling, the only return that is available is to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44" s="117" t="str">
        <f>IF(VLOOKUP($A244,'All sections of NIF PDF'!$D:$N,11,FALSE)=0,"",VLOOKUP($A244,'All sections of NIF PDF'!$D:$N,11,FALSE))</f>
        <v/>
      </c>
    </row>
    <row r="245" spans="1:7" ht="28.9">
      <c r="A245" s="121" t="str">
        <f>'All sections of NIF PDF'!D245</f>
        <v>Pringles Can Size</v>
      </c>
      <c r="B245" s="117">
        <f>INDEX('All sections of NIF PDF'!$A:$A,MATCH($A245,'All sections of NIF PDF'!$D:$D,0))</f>
        <v>1235</v>
      </c>
      <c r="C245" s="117" t="str">
        <f>VLOOKUP($A245,'All sections of NIF PDF'!$D:$N,4,FALSE)</f>
        <v>autofill</v>
      </c>
      <c r="D245" s="117" t="str">
        <f>INDEX('All sections of NIF PDF'!$B:$B,MATCH($A245,'All sections of NIF PDF'!$D:$D,0))</f>
        <v>Packaging Tech - Update</v>
      </c>
      <c r="E245" s="117" t="str">
        <f>VLOOKUP($A245,'All sections of NIF PDF'!$D:$N,6,FALSE)</f>
        <v>Packaging Tech</v>
      </c>
      <c r="F245" s="117" t="str">
        <f>IF(VLOOKUP($A245,Definitions!$D:$E,2,FALSE)=0, "", VLOOKUP($A245,Definitions!$D:$E,2,FALSE))</f>
        <v>This field is the Classification of what type of can, i.e. snack stack, mega, etc. Used for PIM for website syndication.</v>
      </c>
      <c r="G245" s="117" t="str">
        <f>IF(VLOOKUP($A245,'All sections of NIF PDF'!$D:$N,11,FALSE)=0,"",VLOOKUP($A245,'All sections of NIF PDF'!$D:$N,11,FALSE))</f>
        <v/>
      </c>
    </row>
    <row r="246" spans="1:7" ht="28.9">
      <c r="A246" s="121" t="str">
        <f>'All sections of NIF PDF'!D246</f>
        <v>Unit Load Stacking Factor</v>
      </c>
      <c r="B246" s="117">
        <f>INDEX('All sections of NIF PDF'!$A:$A,MATCH($A246,'All sections of NIF PDF'!$D:$D,0))</f>
        <v>1236</v>
      </c>
      <c r="C246" s="117" t="str">
        <f>VLOOKUP($A246,'All sections of NIF PDF'!$D:$N,4,FALSE)</f>
        <v>dd: reference list: PRL: Stacking Factor</v>
      </c>
      <c r="D246" s="117" t="str">
        <f>INDEX('All sections of NIF PDF'!$B:$B,MATCH($A246,'All sections of NIF PDF'!$D:$D,0))</f>
        <v>Packaging Tech - Update</v>
      </c>
      <c r="E246" s="117" t="str">
        <f>VLOOKUP($A246,'All sections of NIF PDF'!$D:$N,6,FALSE)</f>
        <v>Packaging Tech</v>
      </c>
      <c r="F246" s="117" t="str">
        <f>IF(VLOOKUP($A246,Definitions!$D:$E,2,FALSE)=0, "", VLOOKUP($A246,Definitions!$D:$E,2,FALSE))</f>
        <v>This field is the maximum number of unit loads that can be stacked in the warehouse without anticipated damage.</v>
      </c>
      <c r="G246" s="117" t="str">
        <f>IF(VLOOKUP($A246,'All sections of NIF PDF'!$D:$N,11,FALSE)=0,"",VLOOKUP($A246,'All sections of NIF PDF'!$D:$N,11,FALSE))</f>
        <v/>
      </c>
    </row>
    <row r="247" spans="1:7" ht="28.9">
      <c r="A247" s="121" t="str">
        <f>'All sections of NIF PDF'!D247</f>
        <v>Packaging Profile</v>
      </c>
      <c r="B247" s="117">
        <f>INDEX('All sections of NIF PDF'!$A:$A,MATCH($A247,'All sections of NIF PDF'!$D:$D,0))</f>
        <v>1237</v>
      </c>
      <c r="C247" s="117" t="str">
        <f>VLOOKUP($A247,'All sections of NIF PDF'!$D:$N,4,FALSE)</f>
        <v>dd: reference list: PRL: Packaging Profile</v>
      </c>
      <c r="D247" s="117" t="str">
        <f>INDEX('All sections of NIF PDF'!$B:$B,MATCH($A247,'All sections of NIF PDF'!$D:$D,0))</f>
        <v>Packaging Tech - Update</v>
      </c>
      <c r="E247" s="117" t="str">
        <f>VLOOKUP($A247,'All sections of NIF PDF'!$D:$N,6,FALSE)</f>
        <v>Packaging Tech</v>
      </c>
      <c r="F247" s="117" t="str">
        <f>IF(VLOOKUP($A247,Definitions!$D:$E,2,FALSE)=0, "", VLOOKUP($A247,Definitions!$D:$E,2,FALSE))</f>
        <v>This categorizes package into one of 16 different package groups.</v>
      </c>
      <c r="G247" s="117" t="str">
        <f>IF(VLOOKUP($A247,'All sections of NIF PDF'!$D:$N,11,FALSE)=0,"",VLOOKUP($A247,'All sections of NIF PDF'!$D:$N,11,FALSE))</f>
        <v/>
      </c>
    </row>
    <row r="248" spans="1:7" ht="28.9">
      <c r="A248" s="121" t="str">
        <f>'All sections of NIF PDF'!D248</f>
        <v>Handling Platform Type</v>
      </c>
      <c r="B248" s="117">
        <f>INDEX('All sections of NIF PDF'!$A:$A,MATCH($A248,'All sections of NIF PDF'!$D:$D,0))</f>
        <v>1238</v>
      </c>
      <c r="C248" s="117" t="str">
        <f>VLOOKUP($A248,'All sections of NIF PDF'!$D:$N,4,FALSE)</f>
        <v>dd: reference list: PRL: Handling Platform Type</v>
      </c>
      <c r="D248" s="117" t="str">
        <f>INDEX('All sections of NIF PDF'!$B:$B,MATCH($A248,'All sections of NIF PDF'!$D:$D,0))</f>
        <v>Packaging Tech - Update</v>
      </c>
      <c r="E248" s="117" t="str">
        <f>VLOOKUP($A248,'All sections of NIF PDF'!$D:$N,6,FALSE)</f>
        <v>Packaging Tech</v>
      </c>
      <c r="F248" s="117" t="str">
        <f>IF(VLOOKUP($A248,Definitions!$D:$E,2,FALSE)=0, "", VLOOKUP($A248,Definitions!$D:$E,2,FALSE))</f>
        <v>This dictates which shipping platform is used within Kellogg network (i.e. pallet, slipsheet, etc.)</v>
      </c>
      <c r="G248" s="117" t="str">
        <f>IF(VLOOKUP($A248,'All sections of NIF PDF'!$D:$N,11,FALSE)=0,"",VLOOKUP($A248,'All sections of NIF PDF'!$D:$N,11,FALSE))</f>
        <v/>
      </c>
    </row>
    <row r="249" spans="1:7" ht="28.9">
      <c r="A249" s="121" t="str">
        <f>'All sections of NIF PDF'!D249</f>
        <v>RTEC/Pringles Cube Size</v>
      </c>
      <c r="B249" s="117">
        <f>INDEX('All sections of NIF PDF'!$A:$A,MATCH($A249,'All sections of NIF PDF'!$D:$D,0))</f>
        <v>1239</v>
      </c>
      <c r="C249" s="117" t="str">
        <f>VLOOKUP($A249,'All sections of NIF PDF'!$D:$N,4,FALSE)</f>
        <v>dd: reference list: PRL: Cube Size</v>
      </c>
      <c r="D249" s="117" t="str">
        <f>INDEX('All sections of NIF PDF'!$B:$B,MATCH($A249,'All sections of NIF PDF'!$D:$D,0))</f>
        <v>Packaging Tech - Update</v>
      </c>
      <c r="E249" s="117" t="str">
        <f>VLOOKUP($A249,'All sections of NIF PDF'!$D:$N,6,FALSE)</f>
        <v>Packaging Tech</v>
      </c>
      <c r="F249" s="117" t="str">
        <f>IF(VLOOKUP($A249,Definitions!$D:$E,2,FALSE)=0, "", VLOOKUP($A249,Definitions!$D:$E,2,FALSE))</f>
        <v>This field is populated for Pringles and it is the Can size.</v>
      </c>
      <c r="G249" s="117" t="str">
        <f>IF(VLOOKUP($A249,'All sections of NIF PDF'!$D:$N,11,FALSE)=0,"",VLOOKUP($A249,'All sections of NIF PDF'!$D:$N,11,FALSE))</f>
        <v/>
      </c>
    </row>
    <row r="250" spans="1:7" ht="28.9">
      <c r="A250" s="121" t="str">
        <f>'All sections of NIF PDF'!D250</f>
        <v>Clamp Pressure</v>
      </c>
      <c r="B250" s="117">
        <f>INDEX('All sections of NIF PDF'!$A:$A,MATCH($A250,'All sections of NIF PDF'!$D:$D,0))</f>
        <v>1240</v>
      </c>
      <c r="C250" s="117" t="str">
        <f>VLOOKUP($A250,'All sections of NIF PDF'!$D:$N,4,FALSE)</f>
        <v>dd: reference list: PRL: Clamp Pressure</v>
      </c>
      <c r="D250" s="117" t="str">
        <f>INDEX('All sections of NIF PDF'!$B:$B,MATCH($A250,'All sections of NIF PDF'!$D:$D,0))</f>
        <v>Packaging Tech - Update</v>
      </c>
      <c r="E250" s="117" t="str">
        <f>VLOOKUP($A250,'All sections of NIF PDF'!$D:$N,6,FALSE)</f>
        <v>Packaging Tech</v>
      </c>
      <c r="F250" s="117" t="str">
        <f>IF(VLOOKUP($A250,Definitions!$D:$E,2,FALSE)=0, "", VLOOKUP($A250,Definitions!$D:$E,2,FALSE))</f>
        <v>Appropriate pressure to be applied if pallets are clamped using clamp trucks in plants and DCs.</v>
      </c>
      <c r="G250" s="117" t="str">
        <f>IF(VLOOKUP($A250,'All sections of NIF PDF'!$D:$N,11,FALSE)=0,"",VLOOKUP($A250,'All sections of NIF PDF'!$D:$N,11,FALSE))</f>
        <v/>
      </c>
    </row>
    <row r="251" spans="1:7" ht="43.15">
      <c r="A251" s="121" t="str">
        <f>'All sections of NIF PDF'!D251</f>
        <v>Dim/Gross Wght Req</v>
      </c>
      <c r="B251" s="117">
        <f>INDEX('All sections of NIF PDF'!$A:$A,MATCH($A251,'All sections of NIF PDF'!$D:$D,0))</f>
        <v>1241</v>
      </c>
      <c r="C251" s="117" t="str">
        <f>VLOOKUP($A251,'All sections of NIF PDF'!$D:$N,4,FALSE)</f>
        <v>autofill</v>
      </c>
      <c r="D251" s="117" t="str">
        <f>INDEX('All sections of NIF PDF'!$B:$B,MATCH($A251,'All sections of NIF PDF'!$D:$D,0))</f>
        <v>Packaging Tech - Update</v>
      </c>
      <c r="E251" s="117" t="str">
        <f>VLOOKUP($A251,'All sections of NIF PDF'!$D:$N,6,FALSE)</f>
        <v>Packaging Tech</v>
      </c>
      <c r="F251" s="117" t="str">
        <f>IF(VLOOKUP($A251,Definitions!$D:$E,2,FALSE)=0, "", VLOOKUP($A251,Definitions!$D:$E,2,FALSE))</f>
        <v>This is populated as Y (Yes) or N (No).  It is intended to provide packaging with some guidelines on how to populate the Alternate Units of Measure table. Yes means a value should be populated and No means it is not needed.</v>
      </c>
      <c r="G251" s="117" t="str">
        <f>IF(VLOOKUP($A251,'All sections of NIF PDF'!$D:$N,11,FALSE)=0,"",VLOOKUP($A251,'All sections of NIF PDF'!$D:$N,11,FALSE))</f>
        <v/>
      </c>
    </row>
    <row r="252" spans="1:7" ht="57.6">
      <c r="A252" s="121" t="str">
        <f>'All sections of NIF PDF'!D252</f>
        <v>Dim Details</v>
      </c>
      <c r="B252" s="117">
        <f>INDEX('All sections of NIF PDF'!$A:$A,MATCH($A252,'All sections of NIF PDF'!$D:$D,0))</f>
        <v>1242</v>
      </c>
      <c r="C252" s="117" t="str">
        <f>VLOOKUP($A252,'All sections of NIF PDF'!$D:$N,4,FALSE)</f>
        <v>autofill</v>
      </c>
      <c r="D252" s="117" t="str">
        <f>INDEX('All sections of NIF PDF'!$B:$B,MATCH($A252,'All sections of NIF PDF'!$D:$D,0))</f>
        <v>Packaging Tech - Update</v>
      </c>
      <c r="E252" s="117" t="str">
        <f>VLOOKUP($A252,'All sections of NIF PDF'!$D:$N,6,FALSE)</f>
        <v>Packaging Tech</v>
      </c>
      <c r="F252" s="117" t="str">
        <f>IF(VLOOKUP($A252,Definitions!$D:$E,2,FALSE)=0, "", VLOOKUP($A252,Definitions!$D:$E,2,FALSE))</f>
        <v>This is populated as None, Same, or Unique.  It is intended to provide packaging with some guidelines on how to populate the Alternate Units of Measure table. None means dimensions &amp; gross weights are not required.  Same means the values entered should match.  Unique means the values are unique from each other.</v>
      </c>
      <c r="G252" s="117" t="str">
        <f>IF(VLOOKUP($A252,'All sections of NIF PDF'!$D:$N,11,FALSE)=0,"",VLOOKUP($A252,'All sections of NIF PDF'!$D:$N,11,FALSE))</f>
        <v/>
      </c>
    </row>
    <row r="253" spans="1:7" ht="43.15">
      <c r="A253" s="121" t="str">
        <f>'All sections of NIF PDF'!D253</f>
        <v>Gross Wght Dtls</v>
      </c>
      <c r="B253" s="117">
        <f>INDEX('All sections of NIF PDF'!$A:$A,MATCH($A253,'All sections of NIF PDF'!$D:$D,0))</f>
        <v>1243</v>
      </c>
      <c r="C253" s="117" t="str">
        <f>VLOOKUP($A253,'All sections of NIF PDF'!$D:$N,4,FALSE)</f>
        <v>autofill</v>
      </c>
      <c r="D253" s="117" t="str">
        <f>INDEX('All sections of NIF PDF'!$B:$B,MATCH($A253,'All sections of NIF PDF'!$D:$D,0))</f>
        <v>Packaging Tech - Update</v>
      </c>
      <c r="E253" s="117" t="str">
        <f>VLOOKUP($A253,'All sections of NIF PDF'!$D:$N,6,FALSE)</f>
        <v>Packaging Tech</v>
      </c>
      <c r="F253" s="117" t="str">
        <f>IF(VLOOKUP($A253,Definitions!$D:$E,2,FALSE)=0, "", VLOOKUP($A253,Definitions!$D:$E,2,FALSE))</f>
        <v>This is populated as Pounds, Ounces or None.  It is intended to provide packaging with some guidelines on how to populate the Alternate Units of Measure table. It is the unit of measure for the gross weight.</v>
      </c>
      <c r="G253" s="117" t="str">
        <f>IF(VLOOKUP($A253,'All sections of NIF PDF'!$D:$N,11,FALSE)=0,"",VLOOKUP($A253,'All sections of NIF PDF'!$D:$N,11,FALSE))</f>
        <v/>
      </c>
    </row>
    <row r="254" spans="1:7" ht="28.9">
      <c r="A254" s="121" t="str">
        <f>'All sections of NIF PDF'!D254</f>
        <v>Component K #</v>
      </c>
      <c r="B254" s="117">
        <f>INDEX('All sections of NIF PDF'!$A:$A,MATCH($A254,'All sections of NIF PDF'!$D:$D,0))</f>
        <v>1244</v>
      </c>
      <c r="C254" s="117" t="str">
        <f>VLOOKUP($A254,'All sections of NIF PDF'!$D:$N,4,FALSE)</f>
        <v>free form</v>
      </c>
      <c r="D254" s="117" t="str">
        <f>INDEX('All sections of NIF PDF'!$B:$B,MATCH($A254,'All sections of NIF PDF'!$D:$D,0))</f>
        <v>Packaging Tech - Update</v>
      </c>
      <c r="E254" s="117" t="str">
        <f>VLOOKUP($A254,'All sections of NIF PDF'!$D:$N,6,FALSE)</f>
        <v>Packaging Tech</v>
      </c>
      <c r="F254" s="117" t="str">
        <f>IF(VLOOKUP($A254,Definitions!$D:$E,2,FALSE)=0, "", VLOOKUP($A254,Definitions!$D:$E,2,FALSE))</f>
        <v xml:space="preserve">This is the K number for additional packaging components above and beyond the K #'s that were provided Data Operations. </v>
      </c>
      <c r="G254" s="117" t="str">
        <f>IF(VLOOKUP($A254,'All sections of NIF PDF'!$D:$N,11,FALSE)=0,"",VLOOKUP($A254,'All sections of NIF PDF'!$D:$N,11,FALSE))</f>
        <v/>
      </c>
    </row>
    <row r="255" spans="1:7">
      <c r="A255" s="121" t="str">
        <f>'All sections of NIF PDF'!D255</f>
        <v>Component Description</v>
      </c>
      <c r="B255" s="117">
        <f>INDEX('All sections of NIF PDF'!$A:$A,MATCH($A255,'All sections of NIF PDF'!$D:$D,0))</f>
        <v>1245</v>
      </c>
      <c r="C255" s="117" t="str">
        <f>VLOOKUP($A255,'All sections of NIF PDF'!$D:$N,4,FALSE)</f>
        <v>free form</v>
      </c>
      <c r="D255" s="117" t="str">
        <f>INDEX('All sections of NIF PDF'!$B:$B,MATCH($A255,'All sections of NIF PDF'!$D:$D,0))</f>
        <v>Packaging Tech - Update</v>
      </c>
      <c r="E255" s="117" t="str">
        <f>VLOOKUP($A255,'All sections of NIF PDF'!$D:$N,6,FALSE)</f>
        <v>Packaging Tech</v>
      </c>
      <c r="F255" s="117" t="str">
        <f>IF(VLOOKUP($A255,Definitions!$D:$E,2,FALSE)=0, "", VLOOKUP($A255,Definitions!$D:$E,2,FALSE))</f>
        <v>This is the description of the component K number.</v>
      </c>
      <c r="G255" s="117" t="str">
        <f>IF(VLOOKUP($A255,'All sections of NIF PDF'!$D:$N,11,FALSE)=0,"",VLOOKUP($A255,'All sections of NIF PDF'!$D:$N,11,FALSE))</f>
        <v/>
      </c>
    </row>
    <row r="256" spans="1:7" ht="28.9">
      <c r="A256" s="121" t="str">
        <f>'All sections of NIF PDF'!D256</f>
        <v>Unit of Measure</v>
      </c>
      <c r="B256" s="117">
        <f>INDEX('All sections of NIF PDF'!$A:$A,MATCH($A256,'All sections of NIF PDF'!$D:$D,0))</f>
        <v>1246</v>
      </c>
      <c r="C256" s="117" t="str">
        <f>VLOOKUP($A256,'All sections of NIF PDF'!$D:$N,4,FALSE)</f>
        <v>dd: CASE, HUTCH, UNIT LOAD</v>
      </c>
      <c r="D256" s="117" t="str">
        <f>INDEX('All sections of NIF PDF'!$B:$B,MATCH($A256,'All sections of NIF PDF'!$D:$D,0))</f>
        <v>Packaging Tech - Update</v>
      </c>
      <c r="E256" s="117" t="str">
        <f>VLOOKUP($A256,'All sections of NIF PDF'!$D:$N,6,FALSE)</f>
        <v>Packaging Tech</v>
      </c>
      <c r="F256" s="117" t="str">
        <f>IF(VLOOKUP($A256,Definitions!$D:$E,2,FALSE)=0, "", VLOOKUP($A256,Definitions!$D:$E,2,FALSE))</f>
        <v>Case, Hutch or Unit Load.  This is the unit of measure for the component K number.</v>
      </c>
      <c r="G256" s="117" t="str">
        <f>IF(VLOOKUP($A256,'All sections of NIF PDF'!$D:$N,11,FALSE)=0,"",VLOOKUP($A256,'All sections of NIF PDF'!$D:$N,11,FALSE))</f>
        <v/>
      </c>
    </row>
    <row r="257" spans="1:7">
      <c r="A257" s="121" t="str">
        <f>'All sections of NIF PDF'!D257</f>
        <v>Number Required per UOM</v>
      </c>
      <c r="B257" s="117">
        <f>INDEX('All sections of NIF PDF'!$A:$A,MATCH($A257,'All sections of NIF PDF'!$D:$D,0))</f>
        <v>1247</v>
      </c>
      <c r="C257" s="117" t="str">
        <f>VLOOKUP($A257,'All sections of NIF PDF'!$D:$N,4,FALSE)</f>
        <v>free form</v>
      </c>
      <c r="D257" s="117" t="str">
        <f>INDEX('All sections of NIF PDF'!$B:$B,MATCH($A257,'All sections of NIF PDF'!$D:$D,0))</f>
        <v>Packaging Tech - Update</v>
      </c>
      <c r="E257" s="117" t="str">
        <f>VLOOKUP($A257,'All sections of NIF PDF'!$D:$N,6,FALSE)</f>
        <v>Packaging Tech</v>
      </c>
      <c r="F257" s="117" t="str">
        <f>IF(VLOOKUP($A257,Definitions!$D:$E,2,FALSE)=0, "", VLOOKUP($A257,Definitions!$D:$E,2,FALSE))</f>
        <v>Number of component K numbers needed per unit of measure previously identified.</v>
      </c>
      <c r="G257" s="117" t="str">
        <f>IF(VLOOKUP($A257,'All sections of NIF PDF'!$D:$N,11,FALSE)=0,"",VLOOKUP($A257,'All sections of NIF PDF'!$D:$N,11,FALSE))</f>
        <v/>
      </c>
    </row>
    <row r="258" spans="1:7" ht="43.15">
      <c r="A258" s="121" t="str">
        <f>'All sections of NIF PDF'!D258</f>
        <v>Dieline</v>
      </c>
      <c r="B258" s="117">
        <f>INDEX('All sections of NIF PDF'!$A:$A,MATCH($A258,'All sections of NIF PDF'!$D:$D,0))</f>
        <v>1248</v>
      </c>
      <c r="C258" s="117" t="str">
        <f>VLOOKUP($A258,'All sections of NIF PDF'!$D:$N,4,FALSE)</f>
        <v>free form</v>
      </c>
      <c r="D258" s="117" t="str">
        <f>INDEX('All sections of NIF PDF'!$B:$B,MATCH($A258,'All sections of NIF PDF'!$D:$D,0))</f>
        <v>Packaging Tech - Update</v>
      </c>
      <c r="E258" s="117" t="str">
        <f>VLOOKUP($A258,'All sections of NIF PDF'!$D:$N,6,FALSE)</f>
        <v>Packaging Tech</v>
      </c>
      <c r="F258" s="117" t="str">
        <f>IF(VLOOKUP($A258,Definitions!$D:$E,2,FALSE)=0, "", VLOOKUP($A258,Definitions!$D:$E,2,FALSE))</f>
        <v>A dieline in packaging refers to a template or blueprint used to design the layout of a package before it's printed and cut. It shows the cut lines, fold lines, bleed areas, and safe zones for artwork placement.</v>
      </c>
      <c r="G258" s="117" t="str">
        <f>IF(VLOOKUP($A258,'All sections of NIF PDF'!$D:$N,11,FALSE)=0,"",VLOOKUP($A258,'All sections of NIF PDF'!$D:$N,11,FALSE))</f>
        <v/>
      </c>
    </row>
    <row r="259" spans="1:7">
      <c r="A259" s="121" t="str">
        <f>'All sections of NIF PDF'!D259</f>
        <v>Supplier</v>
      </c>
      <c r="B259" s="117">
        <f>INDEX('All sections of NIF PDF'!$A:$A,MATCH($A259,'All sections of NIF PDF'!$D:$D,0))</f>
        <v>1249</v>
      </c>
      <c r="C259" s="117" t="str">
        <f>VLOOKUP($A259,'All sections of NIF PDF'!$D:$N,4,FALSE)</f>
        <v>free form</v>
      </c>
      <c r="D259" s="117" t="str">
        <f>INDEX('All sections of NIF PDF'!$B:$B,MATCH($A259,'All sections of NIF PDF'!$D:$D,0))</f>
        <v>Packaging Tech - Update</v>
      </c>
      <c r="E259" s="117" t="str">
        <f>VLOOKUP($A259,'All sections of NIF PDF'!$D:$N,6,FALSE)</f>
        <v>Packaging Tech</v>
      </c>
      <c r="F259" s="117" t="str">
        <f>IF(VLOOKUP($A259,Definitions!$D:$E,2,FALSE)=0, "", VLOOKUP($A259,Definitions!$D:$E,2,FALSE))</f>
        <v>The component K number vendor/supplier.</v>
      </c>
      <c r="G259" s="117" t="str">
        <f>IF(VLOOKUP($A259,'All sections of NIF PDF'!$D:$N,11,FALSE)=0,"",VLOOKUP($A259,'All sections of NIF PDF'!$D:$N,11,FALSE))</f>
        <v/>
      </c>
    </row>
    <row r="260" spans="1:7" ht="28.9">
      <c r="A260" s="121" t="str">
        <f>'All sections of NIF PDF'!D260</f>
        <v>Print(Y/N)</v>
      </c>
      <c r="B260" s="117">
        <f>INDEX('All sections of NIF PDF'!$A:$A,MATCH($A260,'All sections of NIF PDF'!$D:$D,0))</f>
        <v>1250</v>
      </c>
      <c r="C260" s="117" t="str">
        <f>VLOOKUP($A260,'All sections of NIF PDF'!$D:$N,4,FALSE)</f>
        <v>dd: YES, NO</v>
      </c>
      <c r="D260" s="117" t="str">
        <f>INDEX('All sections of NIF PDF'!$B:$B,MATCH($A260,'All sections of NIF PDF'!$D:$D,0))</f>
        <v>Packaging Tech - Update</v>
      </c>
      <c r="E260" s="117" t="str">
        <f>VLOOKUP($A260,'All sections of NIF PDF'!$D:$N,6,FALSE)</f>
        <v>Packaging Tech</v>
      </c>
      <c r="F260" s="117" t="str">
        <f>IF(VLOOKUP($A260,Definitions!$D:$E,2,FALSE)=0, "", VLOOKUP($A260,Definitions!$D:$E,2,FALSE))</f>
        <v>Indicates whether the component is print or plain. On displays for example; fillers are not printed, but trays and shrouds are printed with graphics.</v>
      </c>
      <c r="G260" s="117" t="str">
        <f>IF(VLOOKUP($A260,'All sections of NIF PDF'!$D:$N,11,FALSE)=0,"",VLOOKUP($A260,'All sections of NIF PDF'!$D:$N,11,FALSE))</f>
        <v/>
      </c>
    </row>
    <row r="261" spans="1:7" ht="28.9">
      <c r="A261" s="121" t="str">
        <f>'All sections of NIF PDF'!D261</f>
        <v>Add to BOM</v>
      </c>
      <c r="B261" s="117">
        <f>INDEX('All sections of NIF PDF'!$A:$A,MATCH($A261,'All sections of NIF PDF'!$D:$D,0))</f>
        <v>1251</v>
      </c>
      <c r="C261" s="117" t="str">
        <f>VLOOKUP($A261,'All sections of NIF PDF'!$D:$N,4,FALSE)</f>
        <v>dd: YES, NO</v>
      </c>
      <c r="D261" s="117" t="str">
        <f>INDEX('All sections of NIF PDF'!$B:$B,MATCH($A261,'All sections of NIF PDF'!$D:$D,0))</f>
        <v>Packaging Tech - Update</v>
      </c>
      <c r="E261" s="117" t="str">
        <f>VLOOKUP($A261,'All sections of NIF PDF'!$D:$N,6,FALSE)</f>
        <v>Packaging Tech</v>
      </c>
      <c r="F261" s="117" t="str">
        <f>IF(VLOOKUP($A261,Definitions!$D:$E,2,FALSE)=0, "", VLOOKUP($A261,Definitions!$D:$E,2,FALSE))</f>
        <v>Populate with the packaging components. For Repacks and Displays, populate the Add to BOM? column with Yes or No.</v>
      </c>
      <c r="G261" s="117" t="str">
        <f>IF(VLOOKUP($A261,'All sections of NIF PDF'!$D:$N,11,FALSE)=0,"",VLOOKUP($A261,'All sections of NIF PDF'!$D:$N,11,FALSE))</f>
        <v/>
      </c>
    </row>
    <row r="262" spans="1:7" ht="28.9">
      <c r="A262" s="121" t="str">
        <f>'All sections of NIF PDF'!D262</f>
        <v>Net Weight</v>
      </c>
      <c r="B262" s="117">
        <f>INDEX('All sections of NIF PDF'!$A:$A,MATCH($A262,'All sections of NIF PDF'!$D:$D,0))</f>
        <v>1252</v>
      </c>
      <c r="C262" s="117" t="str">
        <f>VLOOKUP($A262,'All sections of NIF PDF'!$D:$N,4,FALSE)</f>
        <v>free form</v>
      </c>
      <c r="D262" s="117" t="str">
        <f>INDEX('All sections of NIF PDF'!$B:$B,MATCH($A262,'All sections of NIF PDF'!$D:$D,0))</f>
        <v>Packaging Tech - Update</v>
      </c>
      <c r="E262" s="117" t="str">
        <f>VLOOKUP($A262,'All sections of NIF PDF'!$D:$N,6,FALSE)</f>
        <v>Packaging Tech</v>
      </c>
      <c r="F262" s="117" t="str">
        <f>IF(VLOOKUP($A262,Definitions!$D:$E,2,FALSE)=0, "", VLOOKUP($A262,Definitions!$D:$E,2,FALSE))</f>
        <v>This is the Base Unit of Measure Net Weight for items that do not route through Nutrition Labeling. EX Displays (Mods, Shippers).</v>
      </c>
      <c r="G262" s="117" t="str">
        <f>IF(VLOOKUP($A262,'All sections of NIF PDF'!$D:$N,11,FALSE)=0,"",VLOOKUP($A262,'All sections of NIF PDF'!$D:$N,11,FALSE))</f>
        <v/>
      </c>
    </row>
    <row r="263" spans="1:7" ht="57.6">
      <c r="A263" s="121" t="str">
        <f>'All sections of NIF PDF'!D263</f>
        <v>(Pkg Tech) Return Comments</v>
      </c>
      <c r="B263" s="117">
        <f>INDEX('All sections of NIF PDF'!$A:$A,MATCH($A263,'All sections of NIF PDF'!$D:$D,0))</f>
        <v>1253</v>
      </c>
      <c r="C263" s="117" t="str">
        <f>VLOOKUP($A263,'All sections of NIF PDF'!$D:$N,4,FALSE)</f>
        <v>free form</v>
      </c>
      <c r="D263" s="117" t="str">
        <f>INDEX('All sections of NIF PDF'!$B:$B,MATCH($A263,'All sections of NIF PDF'!$D:$D,0))</f>
        <v>Packaging Tech - Update</v>
      </c>
      <c r="E263" s="117" t="str">
        <f>VLOOKUP($A263,'All sections of NIF PDF'!$D:$N,6,FALSE)</f>
        <v>Packaging Tech</v>
      </c>
      <c r="F263" s="117" t="str">
        <f>IF(VLOOKUP($A263,Definitions!$D:$E,2,FALSE)=0, "", VLOOKUP($A263,Definitions!$D:$E,2,FALSE))</f>
        <v xml:space="preserve">At Packaging Tech, if VAS; the retun goes to Requestor Update, if not VAS the return goes to Nutrition Labeling.  Returns can only go one level back.  If the form has made it past LIM Initial Review, and the set-up type is incorrect, the form will have to be started over.  Please be as descriptive as possible and provide the necessary reasons/details as to why you are returning the NIF.  </v>
      </c>
      <c r="G263" s="117" t="str">
        <f>IF(VLOOKUP($A263,'All sections of NIF PDF'!$D:$N,11,FALSE)=0,"",VLOOKUP($A263,'All sections of NIF PDF'!$D:$N,11,FALSE))</f>
        <v/>
      </c>
    </row>
    <row r="264" spans="1:7" ht="28.9">
      <c r="A264" s="121" t="str">
        <f>'All sections of NIF PDF'!D264</f>
        <v>Material Group 5</v>
      </c>
      <c r="B264" s="117">
        <f>INDEX('All sections of NIF PDF'!$A:$A,MATCH($A264,'All sections of NIF PDF'!$D:$D,0))</f>
        <v>1254</v>
      </c>
      <c r="C264" s="117" t="str">
        <f>VLOOKUP($A264,'All sections of NIF PDF'!$D:$N,4,FALSE)</f>
        <v>dd: reference list: PRL: Material Group 5</v>
      </c>
      <c r="D264" s="117" t="str">
        <f>INDEX('All sections of NIF PDF'!$B:$B,MATCH($A264,'All sections of NIF PDF'!$D:$D,0))</f>
        <v>CA Finance Tax</v>
      </c>
      <c r="E264" s="117" t="str">
        <f>VLOOKUP($A264,'All sections of NIF PDF'!$D:$N,6,FALSE)</f>
        <v>CA Finance Tax</v>
      </c>
      <c r="F264" s="117" t="str">
        <f>IF(VLOOKUP($A264,Definitions!$D:$E,2,FALSE)=0, "", VLOOKUP($A264,Definitions!$D:$E,2,FALSE))</f>
        <v>Material Group 5 Canada only used to further classify the item in SAP. It helps to drive tax decisions on customers’ invoices.</v>
      </c>
      <c r="G264" s="117" t="str">
        <f>IF(VLOOKUP($A264,'All sections of NIF PDF'!$D:$N,11,FALSE)=0,"",VLOOKUP($A264,'All sections of NIF PDF'!$D:$N,11,FALSE))</f>
        <v/>
      </c>
    </row>
    <row r="265" spans="1:7">
      <c r="A265" s="121" t="str">
        <f>'All sections of NIF PDF'!D265</f>
        <v>(CA Fin Tax) Return Comments</v>
      </c>
      <c r="B265" s="117">
        <f>INDEX('All sections of NIF PDF'!$A:$A,MATCH($A265,'All sections of NIF PDF'!$D:$D,0))</f>
        <v>1255</v>
      </c>
      <c r="C265" s="117" t="str">
        <f>VLOOKUP($A265,'All sections of NIF PDF'!$D:$N,4,FALSE)</f>
        <v>free form</v>
      </c>
      <c r="D265" s="117" t="str">
        <f>INDEX('All sections of NIF PDF'!$B:$B,MATCH($A265,'All sections of NIF PDF'!$D:$D,0))</f>
        <v>CA Finance Tax</v>
      </c>
      <c r="E265" s="117" t="str">
        <f>VLOOKUP($A265,'All sections of NIF PDF'!$D:$N,6,FALSE)</f>
        <v>CA Finance Tax</v>
      </c>
      <c r="F265" s="117" t="str">
        <f>IF(VLOOKUP($A265,Definitions!$D:$E,2,FALSE)=0, "", VLOOKUP($A265,Definitions!$D:$E,2,FALSE))</f>
        <v>There is no return process for this task.</v>
      </c>
      <c r="G265" s="117" t="str">
        <f>IF(VLOOKUP($A265,'All sections of NIF PDF'!$D:$N,11,FALSE)=0,"",VLOOKUP($A265,'All sections of NIF PDF'!$D:$N,11,FALSE))</f>
        <v/>
      </c>
    </row>
    <row r="266" spans="1:7">
      <c r="A266" s="121" t="str">
        <f>'All sections of NIF PDF'!D266</f>
        <v>Final Red K List Price (cs)</v>
      </c>
      <c r="B266" s="117">
        <f>INDEX('All sections of NIF PDF'!$A:$A,MATCH($A266,'All sections of NIF PDF'!$D:$D,0))</f>
        <v>1256</v>
      </c>
      <c r="C266" s="117" t="str">
        <f>VLOOKUP($A266,'All sections of NIF PDF'!$D:$N,4,FALSE)</f>
        <v>free form</v>
      </c>
      <c r="D266" s="117" t="str">
        <f>INDEX('All sections of NIF PDF'!$B:$B,MATCH($A266,'All sections of NIF PDF'!$D:$D,0))</f>
        <v>Category Finance - update</v>
      </c>
      <c r="E266" s="117" t="str">
        <f>VLOOKUP($A266,'All sections of NIF PDF'!$D:$N,6,FALSE)</f>
        <v>Category Finance</v>
      </c>
      <c r="F266" s="117" t="str">
        <f>IF(VLOOKUP($A266,Definitions!$D:$E,2,FALSE)=0, "", VLOOKUP($A266,Definitions!$D:$E,2,FALSE))</f>
        <v>This is the base price for all retail customers - based on case quantity</v>
      </c>
      <c r="G266" s="117" t="str">
        <f>IF(VLOOKUP($A266,'All sections of NIF PDF'!$D:$N,11,FALSE)=0,"",VLOOKUP($A266,'All sections of NIF PDF'!$D:$N,11,FALSE))</f>
        <v/>
      </c>
    </row>
    <row r="267" spans="1:7" ht="57.6">
      <c r="A267" s="121" t="str">
        <f>'All sections of NIF PDF'!D267</f>
        <v>(DI Hier) Return Comments</v>
      </c>
      <c r="B267" s="117">
        <f>INDEX('All sections of NIF PDF'!$A:$A,MATCH($A267,'All sections of NIF PDF'!$D:$D,0))</f>
        <v>1257</v>
      </c>
      <c r="C267" s="117" t="str">
        <f>VLOOKUP($A267,'All sections of NIF PDF'!$D:$N,4,FALSE)</f>
        <v>free form</v>
      </c>
      <c r="D267" s="117" t="str">
        <f>INDEX('All sections of NIF PDF'!$B:$B,MATCH($A267,'All sections of NIF PDF'!$D:$D,0))</f>
        <v>Data Integrity (DI) - Hierarchy</v>
      </c>
      <c r="E267" s="117" t="str">
        <f>VLOOKUP($A267,'All sections of NIF PDF'!$D:$N,6,FALSE)</f>
        <v>Data Integrity</v>
      </c>
      <c r="F267" s="117" t="str">
        <f>IF(VLOOKUP($A267,Definitions!$D:$E,2,FALSE)=0, "", VLOOKUP($A267,Definitions!$D:$E,2,FALSE))</f>
        <v xml:space="preserve">At Data Integrity Hierarchy, there are two return options; one to Category Finance and the other to Packaging.  Returns can only go one level back.  If the form has made it past LIM Initial Review, and the set-up type is incorrect, the form will have to be started over.  Please be as descriptive as possible and provide the necessary reasons/details as to why you are returning the NIF.  </v>
      </c>
      <c r="G267" s="117" t="str">
        <f>IF(VLOOKUP($A267,'All sections of NIF PDF'!$D:$N,11,FALSE)=0,"",VLOOKUP($A267,'All sections of NIF PDF'!$D:$N,11,FALSE))</f>
        <v/>
      </c>
    </row>
    <row r="268" spans="1:7" ht="72">
      <c r="A268" s="121" t="str">
        <f>'All sections of NIF PDF'!D268</f>
        <v>(LIM DB) Return to Team</v>
      </c>
      <c r="B268" s="117">
        <f>INDEX('All sections of NIF PDF'!$A:$A,MATCH($A268,'All sections of NIF PDF'!$D:$D,0))</f>
        <v>1258</v>
      </c>
      <c r="C268" s="117" t="str">
        <f>VLOOKUP($A268,'All sections of NIF PDF'!$D:$N,4,FALSE)</f>
        <v>dd: user roles</v>
      </c>
      <c r="D268" s="117" t="str">
        <f>INDEX('All sections of NIF PDF'!$B:$B,MATCH($A268,'All sections of NIF PDF'!$D:$D,0))</f>
        <v>LIM - Approval/NIF Dashboard</v>
      </c>
      <c r="E268" s="117" t="str">
        <f>VLOOKUP($A268,'All sections of NIF PDF'!$D:$N,6,FALSE)</f>
        <v>LIM</v>
      </c>
      <c r="F268" s="117" t="str">
        <f>IF(VLOOKUP($A268,Definitions!$D:$E,2,FALSE)=0, "", VLOOKUP($A268,Definitions!$D:$E,2,FALSE))</f>
        <v xml:space="preserve">At LIM Dashboard, there are five return options; Requestor Update, Nutrition Labeling, Packaging, Data Integrity &amp; Category Finance.  Returns can only go one level back.  If the form has made it past LIM Initial Review, and the set-up type is incorrect, the form will have to be started over.  Please be as descriptive as possible and provide the necessary reasons/details as to why you are returning the NIF.  </v>
      </c>
      <c r="G268" s="117" t="str">
        <f>IF(VLOOKUP($A268,'All sections of NIF PDF'!$D:$N,11,FALSE)=0,"",VLOOKUP($A268,'All sections of NIF PDF'!$D:$N,11,FALSE))</f>
        <v/>
      </c>
    </row>
    <row r="269" spans="1:7" ht="72">
      <c r="A269" s="121" t="str">
        <f>'All sections of NIF PDF'!D269</f>
        <v>(LIM DB) LIM Return Comments</v>
      </c>
      <c r="B269" s="117">
        <f>INDEX('All sections of NIF PDF'!$A:$A,MATCH($A269,'All sections of NIF PDF'!$D:$D,0))</f>
        <v>1259</v>
      </c>
      <c r="C269" s="117" t="str">
        <f>VLOOKUP($A269,'All sections of NIF PDF'!$D:$N,4,FALSE)</f>
        <v>free form</v>
      </c>
      <c r="D269" s="117" t="str">
        <f>INDEX('All sections of NIF PDF'!$B:$B,MATCH($A269,'All sections of NIF PDF'!$D:$D,0))</f>
        <v>LIM - Approval/NIF Dashboard</v>
      </c>
      <c r="E269" s="117" t="str">
        <f>VLOOKUP($A269,'All sections of NIF PDF'!$D:$N,6,FALSE)</f>
        <v>LIM</v>
      </c>
      <c r="F269" s="117" t="str">
        <f>IF(VLOOKUP($A269,Definitions!$D:$E,2,FALSE)=0, "", VLOOKUP($A269,Definitions!$D:$E,2,FALSE))</f>
        <v xml:space="preserve">At LIM Dashboard, there are five return options; Requestor Update, Nutrition Labeling, Packaging, Data Integrity &amp; Category Finance.  Returns can only go one level back.  If the form has made it past LIM Initial Review, and the set-up type is incorrect, the form will have to be started over.  Please be as descriptive as possible and provide the necessary reasons/details as to why you are returning the NIF.  </v>
      </c>
      <c r="G269" s="117" t="str">
        <f>IF(VLOOKUP($A269,'All sections of NIF PDF'!$D:$N,11,FALSE)=0,"",VLOOKUP($A269,'All sections of NIF PDF'!$D:$N,11,FALSE))</f>
        <v/>
      </c>
    </row>
    <row r="270" spans="1:7" ht="72">
      <c r="A270" s="121" t="str">
        <f>'All sections of NIF PDF'!D270</f>
        <v>Z1 Material Description</v>
      </c>
      <c r="B270" s="117">
        <f>INDEX('All sections of NIF PDF'!$A:$A,MATCH($A270,'All sections of NIF PDF'!$D:$D,0))</f>
        <v>1260</v>
      </c>
      <c r="C270" s="117" t="str">
        <f>VLOOKUP($A270,'All sections of NIF PDF'!$D:$N,4,FALSE)</f>
        <v>free form</v>
      </c>
      <c r="D270" s="117" t="str">
        <f>INDEX('All sections of NIF PDF'!$B:$B,MATCH($A270,'All sections of NIF PDF'!$D:$D,0))</f>
        <v>Masterfiles - Approval</v>
      </c>
      <c r="E270" s="117" t="str">
        <f>VLOOKUP($A270,'All sections of NIF PDF'!$D:$N,6,FALSE)</f>
        <v>Masterfiles</v>
      </c>
      <c r="F270" s="117" t="str">
        <f>IF(VLOOKUP($A270,Definitions!$D:$E,2,FALSE)=0, "", VLOOKUP($A270,Definitions!$D:$E,2,FALSE))</f>
        <v>The Z1 description is used by the Away From Home team. It has its own standards around how the descriptions must be built.  Z1 Descriptions: Capitalize the first letter of each word in the Z1 descriptions
Brand + Flavor + Pack Type Use + Case Count + Size + Display Vehicle. EX:  Rkt Squares Orig 6 Ct 12.4Oz.</v>
      </c>
      <c r="G270" s="117" t="str">
        <f>IF(VLOOKUP($A270,'All sections of NIF PDF'!$D:$N,11,FALSE)=0,"",VLOOKUP($A270,'All sections of NIF PDF'!$D:$N,11,FALSE))</f>
        <v/>
      </c>
    </row>
    <row r="271" spans="1:7" ht="28.9">
      <c r="A271" s="121" t="str">
        <f>'All sections of NIF PDF'!D271</f>
        <v>ZF Material Description</v>
      </c>
      <c r="B271" s="117">
        <f>INDEX('All sections of NIF PDF'!$A:$A,MATCH($A271,'All sections of NIF PDF'!$D:$D,0))</f>
        <v>1261</v>
      </c>
      <c r="C271" s="117" t="str">
        <f>VLOOKUP($A271,'All sections of NIF PDF'!$D:$N,4,FALSE)</f>
        <v>free form</v>
      </c>
      <c r="D271" s="117" t="str">
        <f>INDEX('All sections of NIF PDF'!$B:$B,MATCH($A271,'All sections of NIF PDF'!$D:$D,0))</f>
        <v>Masterfiles - Approval</v>
      </c>
      <c r="E271" s="117" t="str">
        <f>VLOOKUP($A271,'All sections of NIF PDF'!$D:$N,6,FALSE)</f>
        <v>Masterfiles</v>
      </c>
      <c r="F271" s="117" t="str">
        <f>IF(VLOOKUP($A271,Definitions!$D:$E,2,FALSE)=0, "", VLOOKUP($A271,Definitions!$D:$E,2,FALSE))</f>
        <v xml:space="preserve">The ZF Description is the description that goes into Stay In Front for the Retail Sales Reps. It is automatically populated into the NIF when the brand and flavor are populated. </v>
      </c>
      <c r="G271" s="117" t="str">
        <f>IF(VLOOKUP($A271,'All sections of NIF PDF'!$D:$N,11,FALSE)=0,"",VLOOKUP($A271,'All sections of NIF PDF'!$D:$N,11,FALSE))</f>
        <v/>
      </c>
    </row>
    <row r="272" spans="1:7" ht="43.15">
      <c r="A272" s="121" t="str">
        <f>'All sections of NIF PDF'!D272</f>
        <v>Distribution Methods</v>
      </c>
      <c r="B272" s="117">
        <f>INDEX('All sections of NIF PDF'!$A:$A,MATCH($A272,'All sections of NIF PDF'!$D:$D,0))</f>
        <v>1262</v>
      </c>
      <c r="C272" s="117" t="str">
        <f>VLOOKUP($A272,'All sections of NIF PDF'!$D:$N,4,FALSE)</f>
        <v>dd: reference list: DISTRIBUTION_METHODS.XLSX</v>
      </c>
      <c r="D272" s="117" t="str">
        <f>INDEX('All sections of NIF PDF'!$B:$B,MATCH($A272,'All sections of NIF PDF'!$D:$D,0))</f>
        <v>Masterfiles - Approval</v>
      </c>
      <c r="E272" s="117" t="str">
        <f>VLOOKUP($A272,'All sections of NIF PDF'!$D:$N,6,FALSE)</f>
        <v>Masterfiles</v>
      </c>
      <c r="F272" s="117" t="str">
        <f>IF(VLOOKUP($A272,Definitions!$D:$E,2,FALSE)=0, "", VLOOKUP($A272,Definitions!$D:$E,2,FALSE))</f>
        <v>It is autopopulated as DC unless its Direct To Consumer, then it is populated as D2C.</v>
      </c>
      <c r="G272" s="117" t="str">
        <f>IF(VLOOKUP($A272,'All sections of NIF PDF'!$D:$N,11,FALSE)=0,"",VLOOKUP($A272,'All sections of NIF PDF'!$D:$N,11,FALSE))</f>
        <v/>
      </c>
    </row>
    <row r="273" spans="1:7" ht="28.9">
      <c r="A273" s="121" t="str">
        <f>'All sections of NIF PDF'!D273</f>
        <v>Material Number (Sales Org Extension)</v>
      </c>
      <c r="B273" s="117">
        <f>INDEX('All sections of NIF PDF'!$A:$A,MATCH($A273,'All sections of NIF PDF'!$D:$D,0))</f>
        <v>1263</v>
      </c>
      <c r="C273" s="117" t="str">
        <f>VLOOKUP($A273,'All sections of NIF PDF'!$D:$N,4,FALSE)</f>
        <v>autofill</v>
      </c>
      <c r="D273" s="117" t="str">
        <f>INDEX('All sections of NIF PDF'!$B:$B,MATCH($A273,'All sections of NIF PDF'!$D:$D,0))</f>
        <v>Masterfiles - Approval</v>
      </c>
      <c r="E273" s="117" t="str">
        <f>VLOOKUP($A273,'All sections of NIF PDF'!$D:$N,6,FALSE)</f>
        <v>Masterfiles</v>
      </c>
      <c r="F273" s="117" t="str">
        <f>IF(VLOOKUP($A273,Definitions!$D:$E,2,FALSE)=0, "", VLOOKUP($A273,Definitions!$D:$E,2,FALSE))</f>
        <v>This field will populate with the material number of the new item that is being created.</v>
      </c>
      <c r="G273" s="117" t="str">
        <f>IF(VLOOKUP($A273,'All sections of NIF PDF'!$D:$N,11,FALSE)=0,"",VLOOKUP($A273,'All sections of NIF PDF'!$D:$N,11,FALSE))</f>
        <v/>
      </c>
    </row>
    <row r="274" spans="1:7">
      <c r="A274" s="121" t="str">
        <f>'All sections of NIF PDF'!D274</f>
        <v>New Sales Organization</v>
      </c>
      <c r="B274" s="117">
        <f>INDEX('All sections of NIF PDF'!$A:$A,MATCH($A274,'All sections of NIF PDF'!$D:$D,0))</f>
        <v>1264</v>
      </c>
      <c r="C274" s="117" t="str">
        <f>VLOOKUP($A274,'All sections of NIF PDF'!$D:$N,4,FALSE)</f>
        <v>autofill</v>
      </c>
      <c r="D274" s="117" t="str">
        <f>INDEX('All sections of NIF PDF'!$B:$B,MATCH($A274,'All sections of NIF PDF'!$D:$D,0))</f>
        <v>Masterfiles - Approval</v>
      </c>
      <c r="E274" s="117" t="str">
        <f>VLOOKUP($A274,'All sections of NIF PDF'!$D:$N,6,FALSE)</f>
        <v>Masterfiles</v>
      </c>
      <c r="F274" s="117" t="str">
        <f>IF(VLOOKUP($A274,Definitions!$D:$E,2,FALSE)=0, "", VLOOKUP($A274,Definitions!$D:$E,2,FALSE))</f>
        <v>This field will populate with all the appropriate sales orgs for the new item that is being created.</v>
      </c>
      <c r="G274" s="117" t="str">
        <f>IF(VLOOKUP($A274,'All sections of NIF PDF'!$D:$N,11,FALSE)=0,"",VLOOKUP($A274,'All sections of NIF PDF'!$D:$N,11,FALSE))</f>
        <v/>
      </c>
    </row>
    <row r="275" spans="1:7">
      <c r="A275" s="121" t="str">
        <f>'All sections of NIF PDF'!D275</f>
        <v>New Distribution Channel</v>
      </c>
      <c r="B275" s="117">
        <f>INDEX('All sections of NIF PDF'!$A:$A,MATCH($A275,'All sections of NIF PDF'!$D:$D,0))</f>
        <v>1265</v>
      </c>
      <c r="C275" s="117" t="str">
        <f>VLOOKUP($A275,'All sections of NIF PDF'!$D:$N,4,FALSE)</f>
        <v>autofill</v>
      </c>
      <c r="D275" s="117" t="str">
        <f>INDEX('All sections of NIF PDF'!$B:$B,MATCH($A275,'All sections of NIF PDF'!$D:$D,0))</f>
        <v>Masterfiles - Approval</v>
      </c>
      <c r="E275" s="117" t="str">
        <f>VLOOKUP($A275,'All sections of NIF PDF'!$D:$N,6,FALSE)</f>
        <v>Masterfiles</v>
      </c>
      <c r="F275" s="117" t="str">
        <f>IF(VLOOKUP($A275,Definitions!$D:$E,2,FALSE)=0, "", VLOOKUP($A275,Definitions!$D:$E,2,FALSE))</f>
        <v>This field will populate with the "01" distribution channel.</v>
      </c>
      <c r="G275" s="117" t="str">
        <f>IF(VLOOKUP($A275,'All sections of NIF PDF'!$D:$N,11,FALSE)=0,"",VLOOKUP($A275,'All sections of NIF PDF'!$D:$N,11,FALSE))</f>
        <v/>
      </c>
    </row>
    <row r="276" spans="1:7" ht="43.15">
      <c r="A276" s="121" t="str">
        <f>'All sections of NIF PDF'!D276</f>
        <v>Canadian Tax Code</v>
      </c>
      <c r="B276" s="117">
        <f>INDEX('All sections of NIF PDF'!$A:$A,MATCH($A276,'All sections of NIF PDF'!$D:$D,0))</f>
        <v>1266</v>
      </c>
      <c r="C276" s="117" t="str">
        <f>VLOOKUP($A276,'All sections of NIF PDF'!$D:$N,4,FALSE)</f>
        <v>free form</v>
      </c>
      <c r="D276" s="117" t="str">
        <f>INDEX('All sections of NIF PDF'!$B:$B,MATCH($A276,'All sections of NIF PDF'!$D:$D,0))</f>
        <v>Masterfiles - Approval</v>
      </c>
      <c r="E276" s="117" t="str">
        <f>VLOOKUP($A276,'All sections of NIF PDF'!$D:$N,6,FALSE)</f>
        <v>Masterfiles</v>
      </c>
      <c r="F276" s="117" t="str">
        <f>IF(VLOOKUP($A276,Definitions!$D:$E,2,FALSE)=0, "", VLOOKUP($A276,Definitions!$D:$E,2,FALSE))</f>
        <v>Refer to the Tax Data section.  Update the tax code field with the value shown in the Tax Classification field.  Values are 0 - Exempt or 1 - Taxable.  US is always 0 - Exempt. Canada will either be 0 - Exempt or 1 - Taxable.</v>
      </c>
      <c r="G276" s="117" t="str">
        <f>IF(VLOOKUP($A276,'All sections of NIF PDF'!$D:$N,11,FALSE)=0,"",VLOOKUP($A276,'All sections of NIF PDF'!$D:$N,11,FALSE))</f>
        <v/>
      </c>
    </row>
    <row r="277" spans="1:7">
      <c r="A277" s="121" t="str">
        <f>'All sections of NIF PDF'!D277</f>
        <v>Tax Code1</v>
      </c>
      <c r="B277" s="117">
        <f>INDEX('All sections of NIF PDF'!$A:$A,MATCH($A277,'All sections of NIF PDF'!$D:$D,0))</f>
        <v>1311</v>
      </c>
      <c r="C277" s="117" t="str">
        <f>VLOOKUP($A277,'All sections of NIF PDF'!$D:$N,4,FALSE)</f>
        <v>autofill</v>
      </c>
      <c r="D277" s="117" t="str">
        <f>INDEX('All sections of NIF PDF'!$B:$B,MATCH($A277,'All sections of NIF PDF'!$D:$D,0))</f>
        <v>Masterfiles - Approval</v>
      </c>
      <c r="E277" s="117" t="str">
        <f>VLOOKUP($A277,'All sections of NIF PDF'!$D:$N,6,FALSE)</f>
        <v>Masterfiles</v>
      </c>
      <c r="F277" s="117" t="str">
        <f>IF(VLOOKUP($A277,Definitions!$D:$E,2,FALSE)=0, "", VLOOKUP($A277,Definitions!$D:$E,2,FALSE))</f>
        <v>This field will populate with the appropriate Tax Code.</v>
      </c>
      <c r="G277" s="117" t="str">
        <f>IF(VLOOKUP($A277,'All sections of NIF PDF'!$D:$N,11,FALSE)=0,"",VLOOKUP($A277,'All sections of NIF PDF'!$D:$N,11,FALSE))</f>
        <v/>
      </c>
    </row>
    <row r="278" spans="1:7">
      <c r="A278" s="121" t="str">
        <f>'All sections of NIF PDF'!D278</f>
        <v>Tax Code 2</v>
      </c>
      <c r="B278" s="117">
        <f>INDEX('All sections of NIF PDF'!$A:$A,MATCH($A278,'All sections of NIF PDF'!$D:$D,0))</f>
        <v>1312</v>
      </c>
      <c r="C278" s="117" t="str">
        <f>VLOOKUP($A278,'All sections of NIF PDF'!$D:$N,4,FALSE)</f>
        <v>autofill</v>
      </c>
      <c r="D278" s="117" t="str">
        <f>INDEX('All sections of NIF PDF'!$B:$B,MATCH($A278,'All sections of NIF PDF'!$D:$D,0))</f>
        <v>Masterfiles - Approval</v>
      </c>
      <c r="E278" s="117" t="str">
        <f>VLOOKUP($A278,'All sections of NIF PDF'!$D:$N,6,FALSE)</f>
        <v>Masterfiles</v>
      </c>
      <c r="F278" s="117" t="str">
        <f>IF(VLOOKUP($A278,Definitions!$D:$E,2,FALSE)=0, "", VLOOKUP($A278,Definitions!$D:$E,2,FALSE))</f>
        <v>This field will populate with the appropriate Tax Code.</v>
      </c>
      <c r="G278" s="117" t="str">
        <f>IF(VLOOKUP($A278,'All sections of NIF PDF'!$D:$N,11,FALSE)=0,"",VLOOKUP($A278,'All sections of NIF PDF'!$D:$N,11,FALSE))</f>
        <v/>
      </c>
    </row>
    <row r="279" spans="1:7" ht="72">
      <c r="A279" s="121" t="str">
        <f>'All sections of NIF PDF'!D279</f>
        <v>Requestor Update (checkbox)</v>
      </c>
      <c r="B279" s="117">
        <f>INDEX('All sections of NIF PDF'!$A:$A,MATCH($A279,'All sections of NIF PDF'!$D:$D,0))</f>
        <v>1267</v>
      </c>
      <c r="C279" s="117" t="str">
        <f>VLOOKUP($A279,'All sections of NIF PDF'!$D:$N,4,FALSE)</f>
        <v>checkbox</v>
      </c>
      <c r="D279" s="117" t="str">
        <f>INDEX('All sections of NIF PDF'!$B:$B,MATCH($A279,'All sections of NIF PDF'!$D:$D,0))</f>
        <v>Masterfiles - Approval</v>
      </c>
      <c r="E279" s="117" t="str">
        <f>VLOOKUP($A279,'All sections of NIF PDF'!$D:$N,6,FALSE)</f>
        <v>Masterfiles</v>
      </c>
      <c r="F279" s="117" t="str">
        <f>IF(VLOOKUP($A279,Definitions!$D:$E,2,FALSE)=0, "", VLOOKUP($A279,Definitions!$D:$E,2,FALSE))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79" s="117" t="str">
        <f>IF(VLOOKUP($A279,'All sections of NIF PDF'!$D:$N,11,FALSE)=0,"",VLOOKUP($A279,'All sections of NIF PDF'!$D:$N,11,FALSE))</f>
        <v/>
      </c>
    </row>
    <row r="280" spans="1:7" ht="72">
      <c r="A280" s="121" t="str">
        <f>'All sections of NIF PDF'!D280</f>
        <v>(MF) Requestor Update Return Comments</v>
      </c>
      <c r="B280" s="117">
        <f>INDEX('All sections of NIF PDF'!$A:$A,MATCH($A280,'All sections of NIF PDF'!$D:$D,0))</f>
        <v>1268</v>
      </c>
      <c r="C280" s="117" t="str">
        <f>VLOOKUP($A280,'All sections of NIF PDF'!$D:$N,4,FALSE)</f>
        <v>free form</v>
      </c>
      <c r="D280" s="117" t="str">
        <f>INDEX('All sections of NIF PDF'!$B:$B,MATCH($A280,'All sections of NIF PDF'!$D:$D,0))</f>
        <v>Masterfiles - Approval</v>
      </c>
      <c r="E280" s="117" t="str">
        <f>VLOOKUP($A280,'All sections of NIF PDF'!$D:$N,6,FALSE)</f>
        <v>Masterfiles</v>
      </c>
      <c r="F280" s="117" t="str">
        <f>IF(VLOOKUP($A280,Definitions!$D:$E,2,FALSE)=0, "", VLOOKUP($A280,Definitions!$D:$E,2,FALSE))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0" s="117" t="str">
        <f>IF(VLOOKUP($A280,'All sections of NIF PDF'!$D:$N,11,FALSE)=0,"",VLOOKUP($A280,'All sections of NIF PDF'!$D:$N,11,FALSE))</f>
        <v/>
      </c>
    </row>
    <row r="281" spans="1:7" ht="72">
      <c r="A281" s="121" t="str">
        <f>'All sections of NIF PDF'!D281</f>
        <v>Category Finance (checkbox)</v>
      </c>
      <c r="B281" s="117">
        <f>INDEX('All sections of NIF PDF'!$A:$A,MATCH($A281,'All sections of NIF PDF'!$D:$D,0))</f>
        <v>1269</v>
      </c>
      <c r="C281" s="117" t="str">
        <f>VLOOKUP($A281,'All sections of NIF PDF'!$D:$N,4,FALSE)</f>
        <v>checkbox</v>
      </c>
      <c r="D281" s="117" t="str">
        <f>INDEX('All sections of NIF PDF'!$B:$B,MATCH($A281,'All sections of NIF PDF'!$D:$D,0))</f>
        <v>Masterfiles - Approval</v>
      </c>
      <c r="E281" s="117" t="str">
        <f>VLOOKUP($A281,'All sections of NIF PDF'!$D:$N,6,FALSE)</f>
        <v>Masterfiles</v>
      </c>
      <c r="F281" s="117" t="str">
        <f>IF(VLOOKUP($A281,Definitions!$D:$E,2,FALSE)=0, "", VLOOKUP($A281,Definitions!$D:$E,2,FALSE))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1" s="117" t="str">
        <f>IF(VLOOKUP($A281,'All sections of NIF PDF'!$D:$N,11,FALSE)=0,"",VLOOKUP($A281,'All sections of NIF PDF'!$D:$N,11,FALSE))</f>
        <v/>
      </c>
    </row>
    <row r="282" spans="1:7" ht="72">
      <c r="A282" s="121" t="str">
        <f>'All sections of NIF PDF'!D282</f>
        <v>(MF) Category Finance Return Comments</v>
      </c>
      <c r="B282" s="117">
        <f>INDEX('All sections of NIF PDF'!$A:$A,MATCH($A282,'All sections of NIF PDF'!$D:$D,0))</f>
        <v>1270</v>
      </c>
      <c r="C282" s="117" t="str">
        <f>VLOOKUP($A282,'All sections of NIF PDF'!$D:$N,4,FALSE)</f>
        <v>free form</v>
      </c>
      <c r="D282" s="117" t="str">
        <f>INDEX('All sections of NIF PDF'!$B:$B,MATCH($A282,'All sections of NIF PDF'!$D:$D,0))</f>
        <v>Masterfiles - Approval</v>
      </c>
      <c r="E282" s="117" t="str">
        <f>VLOOKUP($A282,'All sections of NIF PDF'!$D:$N,6,FALSE)</f>
        <v>Masterfiles</v>
      </c>
      <c r="F282" s="117" t="str">
        <f>IF(VLOOKUP($A282,Definitions!$D:$E,2,FALSE)=0, "", VLOOKUP($A282,Definitions!$D:$E,2,FALSE))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2" s="117" t="str">
        <f>IF(VLOOKUP($A282,'All sections of NIF PDF'!$D:$N,11,FALSE)=0,"",VLOOKUP($A282,'All sections of NIF PDF'!$D:$N,11,FALSE))</f>
        <v/>
      </c>
    </row>
    <row r="283" spans="1:7" ht="72">
      <c r="A283" s="121" t="str">
        <f>'All sections of NIF PDF'!D283</f>
        <v>Nutrition Labeling (checkbox)</v>
      </c>
      <c r="B283" s="117">
        <f>INDEX('All sections of NIF PDF'!$A:$A,MATCH($A283,'All sections of NIF PDF'!$D:$D,0))</f>
        <v>1271</v>
      </c>
      <c r="C283" s="117" t="str">
        <f>VLOOKUP($A283,'All sections of NIF PDF'!$D:$N,4,FALSE)</f>
        <v>checkbox</v>
      </c>
      <c r="D283" s="117" t="str">
        <f>INDEX('All sections of NIF PDF'!$B:$B,MATCH($A283,'All sections of NIF PDF'!$D:$D,0))</f>
        <v>Masterfiles - Approval</v>
      </c>
      <c r="E283" s="117" t="str">
        <f>VLOOKUP($A283,'All sections of NIF PDF'!$D:$N,6,FALSE)</f>
        <v>Masterfiles</v>
      </c>
      <c r="F283" s="117" t="str">
        <f>IF(VLOOKUP($A283,Definitions!$D:$E,2,FALSE)=0, "", VLOOKUP($A283,Definitions!$D:$E,2,FALSE))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3" s="117" t="str">
        <f>IF(VLOOKUP($A283,'All sections of NIF PDF'!$D:$N,11,FALSE)=0,"",VLOOKUP($A283,'All sections of NIF PDF'!$D:$N,11,FALSE))</f>
        <v/>
      </c>
    </row>
    <row r="284" spans="1:7" ht="72">
      <c r="A284" s="121" t="str">
        <f>'All sections of NIF PDF'!D284</f>
        <v>(MF) Nutrition Labeling Return Comments</v>
      </c>
      <c r="B284" s="117">
        <f>INDEX('All sections of NIF PDF'!$A:$A,MATCH($A284,'All sections of NIF PDF'!$D:$D,0))</f>
        <v>1272</v>
      </c>
      <c r="C284" s="117" t="str">
        <f>VLOOKUP($A284,'All sections of NIF PDF'!$D:$N,4,FALSE)</f>
        <v>free form</v>
      </c>
      <c r="D284" s="117" t="str">
        <f>INDEX('All sections of NIF PDF'!$B:$B,MATCH($A284,'All sections of NIF PDF'!$D:$D,0))</f>
        <v>Masterfiles - Approval</v>
      </c>
      <c r="E284" s="117" t="str">
        <f>VLOOKUP($A284,'All sections of NIF PDF'!$D:$N,6,FALSE)</f>
        <v>Masterfiles</v>
      </c>
      <c r="F284" s="117" t="str">
        <f>IF(VLOOKUP($A284,Definitions!$D:$E,2,FALSE)=0, "", VLOOKUP($A284,Definitions!$D:$E,2,FALSE))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4" s="117" t="str">
        <f>IF(VLOOKUP($A284,'All sections of NIF PDF'!$D:$N,11,FALSE)=0,"",VLOOKUP($A284,'All sections of NIF PDF'!$D:$N,11,FALSE))</f>
        <v/>
      </c>
    </row>
    <row r="285" spans="1:7" ht="72">
      <c r="A285" s="121" t="str">
        <f>'All sections of NIF PDF'!D285</f>
        <v>LIM Update (checkbox)</v>
      </c>
      <c r="B285" s="117">
        <f>INDEX('All sections of NIF PDF'!$A:$A,MATCH($A285,'All sections of NIF PDF'!$D:$D,0))</f>
        <v>1273</v>
      </c>
      <c r="C285" s="117" t="str">
        <f>VLOOKUP($A285,'All sections of NIF PDF'!$D:$N,4,FALSE)</f>
        <v>checkbox</v>
      </c>
      <c r="D285" s="117" t="str">
        <f>INDEX('All sections of NIF PDF'!$B:$B,MATCH($A285,'All sections of NIF PDF'!$D:$D,0))</f>
        <v>Masterfiles - Approval</v>
      </c>
      <c r="E285" s="117" t="str">
        <f>VLOOKUP($A285,'All sections of NIF PDF'!$D:$N,6,FALSE)</f>
        <v>Masterfiles</v>
      </c>
      <c r="F285" s="117" t="str">
        <f>IF(VLOOKUP($A285,Definitions!$D:$E,2,FALSE)=0, "", VLOOKUP($A285,Definitions!$D:$E,2,FALSE))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5" s="117" t="str">
        <f>IF(VLOOKUP($A285,'All sections of NIF PDF'!$D:$N,11,FALSE)=0,"",VLOOKUP($A285,'All sections of NIF PDF'!$D:$N,11,FALSE))</f>
        <v/>
      </c>
    </row>
    <row r="286" spans="1:7" ht="72">
      <c r="A286" s="121" t="str">
        <f>'All sections of NIF PDF'!D286</f>
        <v>(MF) LIM Update Return Comments</v>
      </c>
      <c r="B286" s="117">
        <f>INDEX('All sections of NIF PDF'!$A:$A,MATCH($A286,'All sections of NIF PDF'!$D:$D,0))</f>
        <v>1274</v>
      </c>
      <c r="C286" s="117" t="str">
        <f>VLOOKUP($A286,'All sections of NIF PDF'!$D:$N,4,FALSE)</f>
        <v>free form</v>
      </c>
      <c r="D286" s="117" t="str">
        <f>INDEX('All sections of NIF PDF'!$B:$B,MATCH($A286,'All sections of NIF PDF'!$D:$D,0))</f>
        <v>Masterfiles - Approval</v>
      </c>
      <c r="E286" s="117" t="str">
        <f>VLOOKUP($A286,'All sections of NIF PDF'!$D:$N,6,FALSE)</f>
        <v>Masterfiles</v>
      </c>
      <c r="F286" s="117" t="str">
        <f>IF(VLOOKUP($A286,Definitions!$D:$E,2,FALSE)=0, "", VLOOKUP($A286,Definitions!$D:$E,2,FALSE))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6" s="117" t="str">
        <f>IF(VLOOKUP($A286,'All sections of NIF PDF'!$D:$N,11,FALSE)=0,"",VLOOKUP($A286,'All sections of NIF PDF'!$D:$N,11,FALSE))</f>
        <v/>
      </c>
    </row>
    <row r="287" spans="1:7" ht="72">
      <c r="A287" s="121" t="str">
        <f>'All sections of NIF PDF'!D287</f>
        <v>Packaging Tech (checkbox)</v>
      </c>
      <c r="B287" s="117">
        <f>INDEX('All sections of NIF PDF'!$A:$A,MATCH($A287,'All sections of NIF PDF'!$D:$D,0))</f>
        <v>1275</v>
      </c>
      <c r="C287" s="117" t="str">
        <f>VLOOKUP($A287,'All sections of NIF PDF'!$D:$N,4,FALSE)</f>
        <v>checkbox</v>
      </c>
      <c r="D287" s="117" t="str">
        <f>INDEX('All sections of NIF PDF'!$B:$B,MATCH($A287,'All sections of NIF PDF'!$D:$D,0))</f>
        <v>Masterfiles - Approval</v>
      </c>
      <c r="E287" s="117" t="str">
        <f>VLOOKUP($A287,'All sections of NIF PDF'!$D:$N,6,FALSE)</f>
        <v>Masterfiles</v>
      </c>
      <c r="F287" s="117" t="str">
        <f>IF(VLOOKUP($A287,Definitions!$D:$E,2,FALSE)=0, "", VLOOKUP($A287,Definitions!$D:$E,2,FALSE))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7" s="117" t="str">
        <f>IF(VLOOKUP($A287,'All sections of NIF PDF'!$D:$N,11,FALSE)=0,"",VLOOKUP($A287,'All sections of NIF PDF'!$D:$N,11,FALSE))</f>
        <v/>
      </c>
    </row>
    <row r="288" spans="1:7" ht="72">
      <c r="A288" s="121" t="str">
        <f>'All sections of NIF PDF'!D288</f>
        <v>(MF) Packaging Tech Return Comments</v>
      </c>
      <c r="B288" s="117">
        <f>INDEX('All sections of NIF PDF'!$A:$A,MATCH($A288,'All sections of NIF PDF'!$D:$D,0))</f>
        <v>1276</v>
      </c>
      <c r="C288" s="117" t="str">
        <f>VLOOKUP($A288,'All sections of NIF PDF'!$D:$N,4,FALSE)</f>
        <v>free form</v>
      </c>
      <c r="D288" s="117" t="str">
        <f>INDEX('All sections of NIF PDF'!$B:$B,MATCH($A288,'All sections of NIF PDF'!$D:$D,0))</f>
        <v>Masterfiles - Approval</v>
      </c>
      <c r="E288" s="117" t="str">
        <f>VLOOKUP($A288,'All sections of NIF PDF'!$D:$N,6,FALSE)</f>
        <v>Masterfiles</v>
      </c>
      <c r="F288" s="117" t="str">
        <f>IF(VLOOKUP($A288,Definitions!$D:$E,2,FALSE)=0, "", VLOOKUP($A288,Definitions!$D:$E,2,FALSE))</f>
        <v xml:space="preserve">At MasterFiles Approval, there are five return options; LIM Update, Cateogry Finance, Packaging, Nutrition Labeling &amp; Requestor Update.  Returns can only go one level back.  If the form has made it past LIM Initial Review, and the set-up type is incorrect, the form will have to be started over.  Please be as descriptive as possible and provide the necessary reasons/details as to why you are returning the NIF.  </v>
      </c>
      <c r="G288" s="117" t="str">
        <f>IF(VLOOKUP($A288,'All sections of NIF PDF'!$D:$N,11,FALSE)=0,"",VLOOKUP($A288,'All sections of NIF PDF'!$D:$N,11,FALSE))</f>
        <v/>
      </c>
    </row>
    <row r="289" spans="1:7" ht="43.15">
      <c r="A289" s="121" t="str">
        <f>'All sections of NIF PDF'!D289</f>
        <v>Send Returns (button)</v>
      </c>
      <c r="B289" s="117">
        <f>INDEX('All sections of NIF PDF'!$A:$A,MATCH($A289,'All sections of NIF PDF'!$D:$D,0))</f>
        <v>1277</v>
      </c>
      <c r="C289" s="117" t="str">
        <f>VLOOKUP($A289,'All sections of NIF PDF'!$D:$N,4,FALSE)</f>
        <v>button</v>
      </c>
      <c r="D289" s="117" t="str">
        <f>INDEX('All sections of NIF PDF'!$B:$B,MATCH($A289,'All sections of NIF PDF'!$D:$D,0))</f>
        <v>Masterfiles - Approval</v>
      </c>
      <c r="E289" s="117" t="str">
        <f>VLOOKUP($A289,'All sections of NIF PDF'!$D:$N,6,FALSE)</f>
        <v>Masterfiles</v>
      </c>
      <c r="F289" s="117" t="str">
        <f>IF(VLOOKUP($A289,Definitions!$D:$E,2,FALSE)=0, "", VLOOKUP($A289,Definitions!$D:$E,2,FALSE))</f>
        <v>Create the new item (this will create all views in 0300 or 0400, except the Classification View); Return the form to a team member for corrections; Save the form to update later; Cancel (close the form)</v>
      </c>
      <c r="G289" s="117" t="str">
        <f>IF(VLOOKUP($A289,'All sections of NIF PDF'!$D:$N,11,FALSE)=0,"",VLOOKUP($A289,'All sections of NIF PDF'!$D:$N,11,FALSE))</f>
        <v/>
      </c>
    </row>
    <row r="290" spans="1:7" ht="28.9">
      <c r="A290" s="121" t="str">
        <f>'All sections of NIF PDF'!D290</f>
        <v>Material Type</v>
      </c>
      <c r="B290" s="117">
        <f>INDEX('All sections of NIF PDF'!$A:$A,MATCH($A290,'All sections of NIF PDF'!$D:$D,0))</f>
        <v>1278</v>
      </c>
      <c r="C290" s="117" t="str">
        <f>VLOOKUP($A290,'All sections of NIF PDF'!$D:$N,4,FALSE)</f>
        <v>dd: FERT, HALB</v>
      </c>
      <c r="D290" s="117" t="str">
        <f>INDEX('All sections of NIF PDF'!$B:$B,MATCH($A290,'All sections of NIF PDF'!$D:$D,0))</f>
        <v>Masterfiles - Create Plant Extensions, pricing &amp; BOM's</v>
      </c>
      <c r="E290" s="117" t="str">
        <f>VLOOKUP($A290,'All sections of NIF PDF'!$D:$N,6,FALSE)</f>
        <v>Masterfiles</v>
      </c>
      <c r="F290" s="117" t="str">
        <f>IF(VLOOKUP($A290,Definitions!$D:$E,2,FALSE)=0, "", VLOOKUP($A290,Definitions!$D:$E,2,FALSE))</f>
        <v>The ZMMU_Plant Query is not in use.</v>
      </c>
      <c r="G290" s="117" t="str">
        <f>IF(VLOOKUP($A290,'All sections of NIF PDF'!$D:$N,11,FALSE)=0,"",VLOOKUP($A290,'All sections of NIF PDF'!$D:$N,11,FALSE))</f>
        <v/>
      </c>
    </row>
    <row r="291" spans="1:7" ht="28.9">
      <c r="A291" s="121" t="str">
        <f>'All sections of NIF PDF'!D291</f>
        <v>Plant Category</v>
      </c>
      <c r="B291" s="117">
        <f>INDEX('All sections of NIF PDF'!$A:$A,MATCH($A291,'All sections of NIF PDF'!$D:$D,0))</f>
        <v>1279</v>
      </c>
      <c r="C291" s="117" t="str">
        <f>VLOOKUP($A291,'All sections of NIF PDF'!$D:$N,4,FALSE)</f>
        <v>dd: reference list</v>
      </c>
      <c r="D291" s="117" t="str">
        <f>INDEX('All sections of NIF PDF'!$B:$B,MATCH($A291,'All sections of NIF PDF'!$D:$D,0))</f>
        <v>Masterfiles - Create Plant Extensions, pricing &amp; BOM's</v>
      </c>
      <c r="E291" s="117" t="str">
        <f>VLOOKUP($A291,'All sections of NIF PDF'!$D:$N,6,FALSE)</f>
        <v>Masterfiles</v>
      </c>
      <c r="F291" s="117" t="str">
        <f>IF(VLOOKUP($A291,Definitions!$D:$E,2,FALSE)=0, "", VLOOKUP($A291,Definitions!$D:$E,2,FALSE))</f>
        <v>The ZMMU_Plant Query is not in use.</v>
      </c>
      <c r="G291" s="117" t="str">
        <f>IF(VLOOKUP($A291,'All sections of NIF PDF'!$D:$N,11,FALSE)=0,"",VLOOKUP($A291,'All sections of NIF PDF'!$D:$N,11,FALSE))</f>
        <v/>
      </c>
    </row>
    <row r="292" spans="1:7" ht="28.9">
      <c r="A292" s="121" t="str">
        <f>'All sections of NIF PDF'!D292</f>
        <v>Plant Number List</v>
      </c>
      <c r="B292" s="117">
        <f>INDEX('All sections of NIF PDF'!$A:$A,MATCH($A292,'All sections of NIF PDF'!$D:$D,0))</f>
        <v>1280</v>
      </c>
      <c r="C292" s="117" t="str">
        <f>VLOOKUP($A292,'All sections of NIF PDF'!$D:$N,4,FALSE)</f>
        <v>autofill</v>
      </c>
      <c r="D292" s="117" t="str">
        <f>INDEX('All sections of NIF PDF'!$B:$B,MATCH($A292,'All sections of NIF PDF'!$D:$D,0))</f>
        <v>Masterfiles - Create Plant Extensions, pricing &amp; BOM's</v>
      </c>
      <c r="E292" s="117" t="str">
        <f>VLOOKUP($A292,'All sections of NIF PDF'!$D:$N,6,FALSE)</f>
        <v>Masterfiles</v>
      </c>
      <c r="F292" s="117" t="str">
        <f>IF(VLOOKUP($A292,Definitions!$D:$E,2,FALSE)=0, "", VLOOKUP($A292,Definitions!$D:$E,2,FALSE))</f>
        <v>The ZMMU_Plant Query is not in use.</v>
      </c>
      <c r="G292" s="117" t="str">
        <f>IF(VLOOKUP($A292,'All sections of NIF PDF'!$D:$N,11,FALSE)=0,"",VLOOKUP($A292,'All sections of NIF PDF'!$D:$N,11,FALSE))</f>
        <v/>
      </c>
    </row>
    <row r="293" spans="1:7" ht="28.9">
      <c r="A293" s="121" t="str">
        <f>'All sections of NIF PDF'!D293</f>
        <v>Create Plant Extension</v>
      </c>
      <c r="B293" s="117">
        <f>INDEX('All sections of NIF PDF'!$A:$A,MATCH($A293,'All sections of NIF PDF'!$D:$D,0))</f>
        <v>1281</v>
      </c>
      <c r="C293" s="117" t="str">
        <f>VLOOKUP($A293,'All sections of NIF PDF'!$D:$N,4,FALSE)</f>
        <v>checkbox</v>
      </c>
      <c r="D293" s="117" t="str">
        <f>INDEX('All sections of NIF PDF'!$B:$B,MATCH($A293,'All sections of NIF PDF'!$D:$D,0))</f>
        <v>Masterfiles - Create Plant Extensions, pricing &amp; BOM's</v>
      </c>
      <c r="E293" s="117" t="str">
        <f>VLOOKUP($A293,'All sections of NIF PDF'!$D:$N,6,FALSE)</f>
        <v>Masterfiles</v>
      </c>
      <c r="F293" s="117" t="str">
        <f>IF(VLOOKUP($A293,Definitions!$D:$E,2,FALSE)=0, "", VLOOKUP($A293,Definitions!$D:$E,2,FALSE))</f>
        <v>The Plant Extension Selection is not in use.</v>
      </c>
      <c r="G293" s="117" t="str">
        <f>IF(VLOOKUP($A293,'All sections of NIF PDF'!$D:$N,11,FALSE)=0,"",VLOOKUP($A293,'All sections of NIF PDF'!$D:$N,11,FALSE))</f>
        <v/>
      </c>
    </row>
    <row r="294" spans="1:7" ht="28.9">
      <c r="A294" s="121" t="str">
        <f>'All sections of NIF PDF'!D294</f>
        <v>Plant</v>
      </c>
      <c r="B294" s="117">
        <f>INDEX('All sections of NIF PDF'!$A:$A,MATCH($A294,'All sections of NIF PDF'!$D:$D,0))</f>
        <v>1282</v>
      </c>
      <c r="C294" s="117" t="str">
        <f>VLOOKUP($A294,'All sections of NIF PDF'!$D:$N,4,FALSE)</f>
        <v>free form</v>
      </c>
      <c r="D294" s="117" t="str">
        <f>INDEX('All sections of NIF PDF'!$B:$B,MATCH($A294,'All sections of NIF PDF'!$D:$D,0))</f>
        <v>Masterfiles - Create Plant Extensions, pricing &amp; BOM's</v>
      </c>
      <c r="E294" s="117" t="str">
        <f>VLOOKUP($A294,'All sections of NIF PDF'!$D:$N,6,FALSE)</f>
        <v>Masterfiles</v>
      </c>
      <c r="F294" s="117" t="str">
        <f>IF(VLOOKUP($A294,Definitions!$D:$E,2,FALSE)=0, "", VLOOKUP($A294,Definitions!$D:$E,2,FALSE))</f>
        <v>The Plant Extension Selection is not in use.</v>
      </c>
      <c r="G294" s="117" t="str">
        <f>IF(VLOOKUP($A294,'All sections of NIF PDF'!$D:$N,11,FALSE)=0,"",VLOOKUP($A294,'All sections of NIF PDF'!$D:$N,11,FALSE))</f>
        <v/>
      </c>
    </row>
    <row r="295" spans="1:7" ht="28.9">
      <c r="A295" s="121" t="str">
        <f>'All sections of NIF PDF'!D295</f>
        <v>Material Number (Plant Ext)</v>
      </c>
      <c r="B295" s="117">
        <f>INDEX('All sections of NIF PDF'!$A:$A,MATCH($A295,'All sections of NIF PDF'!$D:$D,0))</f>
        <v>1283</v>
      </c>
      <c r="C295" s="117" t="str">
        <f>VLOOKUP($A295,'All sections of NIF PDF'!$D:$N,4,FALSE)</f>
        <v>free form</v>
      </c>
      <c r="D295" s="117" t="str">
        <f>INDEX('All sections of NIF PDF'!$B:$B,MATCH($A295,'All sections of NIF PDF'!$D:$D,0))</f>
        <v>Masterfiles - Create Plant Extensions, pricing &amp; BOM's</v>
      </c>
      <c r="E295" s="117" t="str">
        <f>VLOOKUP($A295,'All sections of NIF PDF'!$D:$N,6,FALSE)</f>
        <v>Masterfiles</v>
      </c>
      <c r="F295" s="117" t="str">
        <f>IF(VLOOKUP($A295,Definitions!$D:$E,2,FALSE)=0, "", VLOOKUP($A295,Definitions!$D:$E,2,FALSE))</f>
        <v>The Plant Extension Selection is not in use.</v>
      </c>
      <c r="G295" s="117" t="str">
        <f>IF(VLOOKUP($A295,'All sections of NIF PDF'!$D:$N,11,FALSE)=0,"",VLOOKUP($A295,'All sections of NIF PDF'!$D:$N,11,FALSE))</f>
        <v/>
      </c>
    </row>
    <row r="296" spans="1:7" ht="57.6">
      <c r="A296" s="121" t="str">
        <f>'All sections of NIF PDF'!D296</f>
        <v>Original BOM Plant</v>
      </c>
      <c r="B296" s="117">
        <f>INDEX('All sections of NIF PDF'!$A:$A,MATCH($A296,'All sections of NIF PDF'!$D:$D,0))</f>
        <v>1284</v>
      </c>
      <c r="C296" s="117" t="str">
        <f>VLOOKUP($A296,'All sections of NIF PDF'!$D:$N,4,FALSE)</f>
        <v>free form</v>
      </c>
      <c r="D296" s="117" t="str">
        <f>INDEX('All sections of NIF PDF'!$B:$B,MATCH($A296,'All sections of NIF PDF'!$D:$D,0))</f>
        <v>Masterfiles - Create Plant Extensions, pricing &amp; BOM's</v>
      </c>
      <c r="E296" s="117" t="str">
        <f>VLOOKUP($A296,'All sections of NIF PDF'!$D:$N,6,FALSE)</f>
        <v>Masterfiles</v>
      </c>
      <c r="F296" s="117" t="str">
        <f>IF(VLOOKUP($A296,Definitions!$D:$E,2,FALSE)=0, "", VLOOKUP($A296,Definitions!$D:$E,2,FALSE))</f>
        <v xml:space="preserve">This is the location that you will create the BOM in. Type in the Original BOM Plant and press enter. This is the location that you typically create the BOM in for the item type you are setting up (i.e.Canada vs Pringles vs Frozen vs Dry/all others). Check in the VAS BOM Plant Assignment (CS07) section to ensure the corresponding locations are listed.  </v>
      </c>
      <c r="G296" s="117" t="str">
        <f>IF(VLOOKUP($A296,'All sections of NIF PDF'!$D:$N,11,FALSE)=0,"",VLOOKUP($A296,'All sections of NIF PDF'!$D:$N,11,FALSE))</f>
        <v/>
      </c>
    </row>
    <row r="297" spans="1:7" ht="28.9">
      <c r="A297" s="121" t="str">
        <f>'All sections of NIF PDF'!D297</f>
        <v>Component</v>
      </c>
      <c r="B297" s="117">
        <f>INDEX('All sections of NIF PDF'!$A:$A,MATCH($A297,'All sections of NIF PDF'!$D:$D,0))</f>
        <v>1285</v>
      </c>
      <c r="C297" s="117" t="str">
        <f>VLOOKUP($A297,'All sections of NIF PDF'!$D:$N,4,FALSE)</f>
        <v>free form</v>
      </c>
      <c r="D297" s="117" t="str">
        <f>INDEX('All sections of NIF PDF'!$B:$B,MATCH($A297,'All sections of NIF PDF'!$D:$D,0))</f>
        <v>Masterfiles - Create Plant Extensions, pricing &amp; BOM's</v>
      </c>
      <c r="E297" s="117" t="str">
        <f>VLOOKUP($A297,'All sections of NIF PDF'!$D:$N,6,FALSE)</f>
        <v>Masterfiles</v>
      </c>
      <c r="F297" s="117" t="str">
        <f>IF(VLOOKUP($A297,Definitions!$D:$E,2,FALSE)=0, "", VLOOKUP($A297,Definitions!$D:$E,2,FALSE))</f>
        <v>This is the VAS BOM Component.</v>
      </c>
      <c r="G297" s="117" t="str">
        <f>IF(VLOOKUP($A297,'All sections of NIF PDF'!$D:$N,11,FALSE)=0,"",VLOOKUP($A297,'All sections of NIF PDF'!$D:$N,11,FALSE))</f>
        <v/>
      </c>
    </row>
    <row r="298" spans="1:7" ht="28.9">
      <c r="A298" s="121" t="str">
        <f>'All sections of NIF PDF'!D298</f>
        <v>Quantity</v>
      </c>
      <c r="B298" s="117">
        <f>INDEX('All sections of NIF PDF'!$A:$A,MATCH($A298,'All sections of NIF PDF'!$D:$D,0))</f>
        <v>1286</v>
      </c>
      <c r="C298" s="117" t="str">
        <f>VLOOKUP($A298,'All sections of NIF PDF'!$D:$N,4,FALSE)</f>
        <v>free form</v>
      </c>
      <c r="D298" s="117" t="str">
        <f>INDEX('All sections of NIF PDF'!$B:$B,MATCH($A298,'All sections of NIF PDF'!$D:$D,0))</f>
        <v>Masterfiles - Create Plant Extensions, pricing &amp; BOM's</v>
      </c>
      <c r="E298" s="117" t="str">
        <f>VLOOKUP($A298,'All sections of NIF PDF'!$D:$N,6,FALSE)</f>
        <v>Masterfiles</v>
      </c>
      <c r="F298" s="117" t="str">
        <f>IF(VLOOKUP($A298,Definitions!$D:$E,2,FALSE)=0, "", VLOOKUP($A298,Definitions!$D:$E,2,FALSE))</f>
        <v>This is the VAS BOM Component quantity.</v>
      </c>
      <c r="G298" s="117" t="str">
        <f>IF(VLOOKUP($A298,'All sections of NIF PDF'!$D:$N,11,FALSE)=0,"",VLOOKUP($A298,'All sections of NIF PDF'!$D:$N,11,FALSE))</f>
        <v/>
      </c>
    </row>
    <row r="299" spans="1:7" ht="28.9">
      <c r="A299" s="121" t="str">
        <f>'All sections of NIF PDF'!D299</f>
        <v>Assign Plant</v>
      </c>
      <c r="B299" s="117">
        <f>INDEX('All sections of NIF PDF'!$A:$A,MATCH($A299,'All sections of NIF PDF'!$D:$D,0))</f>
        <v>1287</v>
      </c>
      <c r="C299" s="117" t="str">
        <f>VLOOKUP($A299,'All sections of NIF PDF'!$D:$N,4,FALSE)</f>
        <v>checkbox</v>
      </c>
      <c r="D299" s="117" t="str">
        <f>INDEX('All sections of NIF PDF'!$B:$B,MATCH($A299,'All sections of NIF PDF'!$D:$D,0))</f>
        <v>Masterfiles - Create Plant Extensions, pricing &amp; BOM's</v>
      </c>
      <c r="E299" s="117" t="str">
        <f>VLOOKUP($A299,'All sections of NIF PDF'!$D:$N,6,FALSE)</f>
        <v>Masterfiles</v>
      </c>
      <c r="F299" s="117" t="str">
        <f>IF(VLOOKUP($A299,Definitions!$D:$E,2,FALSE)=0, "", VLOOKUP($A299,Definitions!$D:$E,2,FALSE))</f>
        <v>Check the Assign Plant boxes, to create the BOM, if you run into an error you can uncheck the assign plant box.</v>
      </c>
      <c r="G299" s="117" t="str">
        <f>IF(VLOOKUP($A299,'All sections of NIF PDF'!$D:$N,11,FALSE)=0,"",VLOOKUP($A299,'All sections of NIF PDF'!$D:$N,11,FALSE))</f>
        <v/>
      </c>
    </row>
    <row r="300" spans="1:7" ht="28.9">
      <c r="A300" s="121" t="str">
        <f>'All sections of NIF PDF'!D300</f>
        <v>Material Number (VAS BOM)</v>
      </c>
      <c r="B300" s="117">
        <f>INDEX('All sections of NIF PDF'!$A:$A,MATCH($A300,'All sections of NIF PDF'!$D:$D,0))</f>
        <v>1288</v>
      </c>
      <c r="C300" s="117" t="str">
        <f>VLOOKUP($A300,'All sections of NIF PDF'!$D:$N,4,FALSE)</f>
        <v>free form</v>
      </c>
      <c r="D300" s="117" t="str">
        <f>INDEX('All sections of NIF PDF'!$B:$B,MATCH($A300,'All sections of NIF PDF'!$D:$D,0))</f>
        <v>Masterfiles - Create Plant Extensions, pricing &amp; BOM's</v>
      </c>
      <c r="E300" s="117" t="str">
        <f>VLOOKUP($A300,'All sections of NIF PDF'!$D:$N,6,FALSE)</f>
        <v>Masterfiles</v>
      </c>
      <c r="F300" s="117" t="str">
        <f>IF(VLOOKUP($A300,Definitions!$D:$E,2,FALSE)=0, "", VLOOKUP($A300,Definitions!$D:$E,2,FALSE))</f>
        <v>This is the material number of the item that is being created.</v>
      </c>
      <c r="G300" s="117" t="str">
        <f>IF(VLOOKUP($A300,'All sections of NIF PDF'!$D:$N,11,FALSE)=0,"",VLOOKUP($A300,'All sections of NIF PDF'!$D:$N,11,FALSE))</f>
        <v/>
      </c>
    </row>
    <row r="301" spans="1:7" ht="28.9">
      <c r="A301" s="121" t="str">
        <f>'All sections of NIF PDF'!D301</f>
        <v>Original Plant</v>
      </c>
      <c r="B301" s="117">
        <f>INDEX('All sections of NIF PDF'!$A:$A,MATCH($A301,'All sections of NIF PDF'!$D:$D,0))</f>
        <v>1289</v>
      </c>
      <c r="C301" s="117" t="str">
        <f>VLOOKUP($A301,'All sections of NIF PDF'!$D:$N,4,FALSE)</f>
        <v>free form</v>
      </c>
      <c r="D301" s="117" t="str">
        <f>INDEX('All sections of NIF PDF'!$B:$B,MATCH($A301,'All sections of NIF PDF'!$D:$D,0))</f>
        <v>Masterfiles - Create Plant Extensions, pricing &amp; BOM's</v>
      </c>
      <c r="E301" s="117" t="str">
        <f>VLOOKUP($A301,'All sections of NIF PDF'!$D:$N,6,FALSE)</f>
        <v>Masterfiles</v>
      </c>
      <c r="F301" s="117" t="str">
        <f>IF(VLOOKUP($A301,Definitions!$D:$E,2,FALSE)=0, "", VLOOKUP($A301,Definitions!$D:$E,2,FALSE))</f>
        <v xml:space="preserve">This is the location listed in the Original BOM Plant field.  </v>
      </c>
      <c r="G301" s="117" t="str">
        <f>IF(VLOOKUP($A301,'All sections of NIF PDF'!$D:$N,11,FALSE)=0,"",VLOOKUP($A301,'All sections of NIF PDF'!$D:$N,11,FALSE))</f>
        <v/>
      </c>
    </row>
    <row r="302" spans="1:7" ht="28.9">
      <c r="A302" s="121" t="str">
        <f>'All sections of NIF PDF'!D302</f>
        <v>Newly Assigned Plant</v>
      </c>
      <c r="B302" s="117">
        <f>INDEX('All sections of NIF PDF'!$A:$A,MATCH($A302,'All sections of NIF PDF'!$D:$D,0))</f>
        <v>1290</v>
      </c>
      <c r="C302" s="117" t="str">
        <f>VLOOKUP($A302,'All sections of NIF PDF'!$D:$N,4,FALSE)</f>
        <v>free form</v>
      </c>
      <c r="D302" s="117" t="str">
        <f>INDEX('All sections of NIF PDF'!$B:$B,MATCH($A302,'All sections of NIF PDF'!$D:$D,0))</f>
        <v>Masterfiles - Create Plant Extensions, pricing &amp; BOM's</v>
      </c>
      <c r="E302" s="117" t="str">
        <f>VLOOKUP($A302,'All sections of NIF PDF'!$D:$N,6,FALSE)</f>
        <v>Masterfiles</v>
      </c>
      <c r="F302" s="117" t="str">
        <f>IF(VLOOKUP($A302,Definitions!$D:$E,2,FALSE)=0, "", VLOOKUP($A302,Definitions!$D:$E,2,FALSE))</f>
        <v xml:space="preserve">These are the additional VAS locations based on the item type you are setting up (i.e.Canada vs Pringles vs Frozen vs Dry/all others). </v>
      </c>
      <c r="G302" s="117" t="str">
        <f>IF(VLOOKUP($A302,'All sections of NIF PDF'!$D:$N,11,FALSE)=0,"",VLOOKUP($A302,'All sections of NIF PDF'!$D:$N,11,FALSE))</f>
        <v/>
      </c>
    </row>
    <row r="303" spans="1:7" ht="28.9">
      <c r="A303" s="121" t="str">
        <f>'All sections of NIF PDF'!D303</f>
        <v>Will a full case of this product be sold Direct to Consumer</v>
      </c>
      <c r="B303" s="117">
        <f>INDEX('All sections of NIF PDF'!$A:$A,MATCH($A303,'All sections of NIF PDF'!$D:$D,0))</f>
        <v>1291</v>
      </c>
      <c r="C303" s="117" t="str">
        <f>VLOOKUP($A303,'All sections of NIF PDF'!$D:$N,4,FALSE)</f>
        <v>dd: YES, NO</v>
      </c>
      <c r="D303" s="117" t="str">
        <f>INDEX('All sections of NIF PDF'!$B:$B,MATCH($A303,'All sections of NIF PDF'!$D:$D,0))</f>
        <v>Masterfiles - Create Plant Extensions, pricing &amp; BOM's</v>
      </c>
      <c r="E303" s="117" t="str">
        <f>VLOOKUP($A303,'All sections of NIF PDF'!$D:$N,6,FALSE)</f>
        <v>Masterfiles</v>
      </c>
      <c r="F303" s="117" t="str">
        <f>IF(VLOOKUP($A303,Definitions!$D:$E,2,FALSE)=0, "", VLOOKUP($A303,Definitions!$D:$E,2,FALSE))</f>
        <v>This is no longer a question on the NIF</v>
      </c>
      <c r="G303" s="117" t="str">
        <f>IF(VLOOKUP($A303,'All sections of NIF PDF'!$D:$N,11,FALSE)=0,"",VLOOKUP($A303,'All sections of NIF PDF'!$D:$N,11,FALSE))</f>
        <v/>
      </c>
    </row>
    <row r="304" spans="1:7" ht="28.9">
      <c r="A304" s="121" t="str">
        <f>'All sections of NIF PDF'!D304</f>
        <v>DTC Package Price</v>
      </c>
      <c r="B304" s="117">
        <f>INDEX('All sections of NIF PDF'!$A:$A,MATCH($A304,'All sections of NIF PDF'!$D:$D,0))</f>
        <v>1292</v>
      </c>
      <c r="C304" s="117" t="str">
        <f>VLOOKUP($A304,'All sections of NIF PDF'!$D:$N,4,FALSE)</f>
        <v>free form</v>
      </c>
      <c r="D304" s="117" t="str">
        <f>INDEX('All sections of NIF PDF'!$B:$B,MATCH($A304,'All sections of NIF PDF'!$D:$D,0))</f>
        <v>Masterfiles - Create Plant Extensions, pricing &amp; BOM's</v>
      </c>
      <c r="E304" s="117" t="str">
        <f>VLOOKUP($A304,'All sections of NIF PDF'!$D:$N,6,FALSE)</f>
        <v>Masterfiles</v>
      </c>
      <c r="F304" s="117" t="str">
        <f>IF(VLOOKUP($A304,Definitions!$D:$E,2,FALSE)=0, "", VLOOKUP($A304,Definitions!$D:$E,2,FALSE))</f>
        <v xml:space="preserve">If the item that you are setting up is DTC, then this field would be populated.  </v>
      </c>
      <c r="G304" s="117" t="str">
        <f>IF(VLOOKUP($A304,'All sections of NIF PDF'!$D:$N,11,FALSE)=0,"",VLOOKUP($A304,'All sections of NIF PDF'!$D:$N,11,FALSE))</f>
        <v/>
      </c>
    </row>
    <row r="305" spans="1:7" ht="28.9">
      <c r="A305" s="121" t="str">
        <f>'All sections of NIF PDF'!D305</f>
        <v>(12 checkboxes)</v>
      </c>
      <c r="B305" s="117">
        <f>INDEX('All sections of NIF PDF'!$A:$A,MATCH($A305,'All sections of NIF PDF'!$D:$D,0))</f>
        <v>1293</v>
      </c>
      <c r="C305" s="117" t="str">
        <f>VLOOKUP($A305,'All sections of NIF PDF'!$D:$N,4,FALSE)</f>
        <v>checkbox</v>
      </c>
      <c r="D305" s="117" t="str">
        <f>INDEX('All sections of NIF PDF'!$B:$B,MATCH($A305,'All sections of NIF PDF'!$D:$D,0))</f>
        <v>Masterfiles - Create Plant Extensions, pricing &amp; BOM's</v>
      </c>
      <c r="E305" s="117" t="str">
        <f>VLOOKUP($A305,'All sections of NIF PDF'!$D:$N,6,FALSE)</f>
        <v>Masterfiles</v>
      </c>
      <c r="F305" s="117" t="e">
        <f>IF(VLOOKUP($A305,Definitions!$D:$E,2,FALSE)=0, "", VLOOKUP($A305,Definitions!$D:$E,2,FALSE))</f>
        <v>#N/A</v>
      </c>
      <c r="G305" s="117" t="str">
        <f>IF(VLOOKUP($A305,'All sections of NIF PDF'!$D:$N,11,FALSE)=0,"",VLOOKUP($A305,'All sections of NIF PDF'!$D:$N,11,FALSE))</f>
        <v/>
      </c>
    </row>
    <row r="306" spans="1:7" ht="28.9">
      <c r="A306" s="121" t="str">
        <f>'All sections of NIF PDF'!D306</f>
        <v>Updates Complete (button)</v>
      </c>
      <c r="B306" s="117">
        <f>INDEX('All sections of NIF PDF'!$A:$A,MATCH($A306,'All sections of NIF PDF'!$D:$D,0))</f>
        <v>1294</v>
      </c>
      <c r="C306" s="117" t="str">
        <f>VLOOKUP($A306,'All sections of NIF PDF'!$D:$N,4,FALSE)</f>
        <v>button</v>
      </c>
      <c r="D306" s="117" t="str">
        <f>INDEX('All sections of NIF PDF'!$B:$B,MATCH($A306,'All sections of NIF PDF'!$D:$D,0))</f>
        <v>Masterfiles - Create Plant Extensions, pricing &amp; BOM's</v>
      </c>
      <c r="E306" s="117" t="str">
        <f>VLOOKUP($A306,'All sections of NIF PDF'!$D:$N,6,FALSE)</f>
        <v>Masterfiles</v>
      </c>
      <c r="F306" s="117" t="str">
        <f>IF(VLOOKUP($A306,Definitions!$D:$E,2,FALSE)=0, "", VLOOKUP($A306,Definitions!$D:$E,2,FALSE))</f>
        <v>Updates Complete - click here once you have finished the setup and reviewed the item in SAP, Save For Later - save the form and exit, Cancel - exit the form.</v>
      </c>
      <c r="G306" s="117" t="str">
        <f>IF(VLOOKUP($A306,'All sections of NIF PDF'!$D:$N,11,FALSE)=0,"",VLOOKUP($A306,'All sections of NIF PDF'!$D:$N,11,FALSE))</f>
        <v/>
      </c>
    </row>
    <row r="307" spans="1:7" ht="28.9">
      <c r="A307" s="121" t="str">
        <f>'All sections of NIF PDF'!D307</f>
        <v>Country</v>
      </c>
      <c r="B307" s="117">
        <f>INDEX('All sections of NIF PDF'!$A:$A,MATCH($A307,'All sections of NIF PDF'!$D:$D,0))</f>
        <v>1295</v>
      </c>
      <c r="C307" s="117" t="str">
        <f>VLOOKUP($A307,'All sections of NIF PDF'!$D:$N,4,FALSE)</f>
        <v>dd: reference list: PRL: COUNTRY</v>
      </c>
      <c r="D307" s="117" t="str">
        <f>INDEX('All sections of NIF PDF'!$B:$B,MATCH($A307,'All sections of NIF PDF'!$D:$D,0))</f>
        <v>Requestor - Req Launch DTC</v>
      </c>
      <c r="E307" s="117" t="str">
        <f>VLOOKUP($A307,'All sections of NIF PDF'!$D:$N,6,FALSE)</f>
        <v>Requestor</v>
      </c>
      <c r="F307" s="117" t="str">
        <f>IF(VLOOKUP($A307,Definitions!$D:$E,2,FALSE)=0, "", VLOOKUP($A307,Definitions!$D:$E,2,FALSE))</f>
        <v>Choose US or CANADA</v>
      </c>
      <c r="G307" s="117" t="str">
        <f>IF(VLOOKUP($A307,'All sections of NIF PDF'!$D:$N,11,FALSE)=0,"",VLOOKUP($A307,'All sections of NIF PDF'!$D:$N,11,FALSE))</f>
        <v/>
      </c>
    </row>
    <row r="308" spans="1:7">
      <c r="A308" s="121" t="str">
        <f>'All sections of NIF PDF'!D308</f>
        <v>Retail Material Number</v>
      </c>
      <c r="B308" s="117">
        <f>INDEX('All sections of NIF PDF'!$A:$A,MATCH($A308,'All sections of NIF PDF'!$D:$D,0))</f>
        <v>1296</v>
      </c>
      <c r="C308" s="117" t="str">
        <f>VLOOKUP($A308,'All sections of NIF PDF'!$D:$N,4,FALSE)</f>
        <v>free form</v>
      </c>
      <c r="D308" s="117" t="str">
        <f>INDEX('All sections of NIF PDF'!$B:$B,MATCH($A308,'All sections of NIF PDF'!$D:$D,0))</f>
        <v>Requestor - Req Launch DTC</v>
      </c>
      <c r="E308" s="117" t="str">
        <f>VLOOKUP($A308,'All sections of NIF PDF'!$D:$N,6,FALSE)</f>
        <v>Requestor</v>
      </c>
      <c r="F308" s="117" t="str">
        <f>IF(VLOOKUP($A308,Definitions!$D:$E,2,FALSE)=0, "", VLOOKUP($A308,Definitions!$D:$E,2,FALSE))</f>
        <v>Enter the number which is in the upper section of the form</v>
      </c>
      <c r="G308" s="117" t="str">
        <f>IF(VLOOKUP($A308,'All sections of NIF PDF'!$D:$N,11,FALSE)=0,"",VLOOKUP($A308,'All sections of NIF PDF'!$D:$N,11,FALSE))</f>
        <v/>
      </c>
    </row>
    <row r="309" spans="1:7" ht="28.9">
      <c r="A309" s="121" t="str">
        <f>'All sections of NIF PDF'!D309</f>
        <v>1. Validate Retail material Number (button)</v>
      </c>
      <c r="B309" s="117">
        <f>INDEX('All sections of NIF PDF'!$A:$A,MATCH($A309,'All sections of NIF PDF'!$D:$D,0))</f>
        <v>1297</v>
      </c>
      <c r="C309" s="117" t="str">
        <f>VLOOKUP($A309,'All sections of NIF PDF'!$D:$N,4,FALSE)</f>
        <v>script button</v>
      </c>
      <c r="D309" s="117" t="str">
        <f>INDEX('All sections of NIF PDF'!$B:$B,MATCH($A309,'All sections of NIF PDF'!$D:$D,0))</f>
        <v>Requestor - Req Launch DTC</v>
      </c>
      <c r="E309" s="117" t="str">
        <f>VLOOKUP($A309,'All sections of NIF PDF'!$D:$N,6,FALSE)</f>
        <v>Requestor</v>
      </c>
      <c r="F309" s="117" t="str">
        <f>IF(VLOOKUP($A309,Definitions!$D:$E,2,FALSE)=0, "", VLOOKUP($A309,Definitions!$D:$E,2,FALSE))</f>
        <v>This pulls the retail material data from SAP (i.e. Descriptions, Plant, Storage Location, Sales Organization, Distribution Channel, Hierarchy, and Brand)</v>
      </c>
      <c r="G309" s="117" t="str">
        <f>IF(VLOOKUP($A309,'All sections of NIF PDF'!$D:$N,11,FALSE)=0,"",VLOOKUP($A309,'All sections of NIF PDF'!$D:$N,11,FALSE))</f>
        <v/>
      </c>
    </row>
    <row r="310" spans="1:7" ht="28.9">
      <c r="A310" s="121" t="str">
        <f>'All sections of NIF PDF'!D310</f>
        <v>2. Import Alt UOM Table (button)</v>
      </c>
      <c r="B310" s="117">
        <f>INDEX('All sections of NIF PDF'!$A:$A,MATCH($A310,'All sections of NIF PDF'!$D:$D,0))</f>
        <v>1298</v>
      </c>
      <c r="C310" s="117" t="str">
        <f>VLOOKUP($A310,'All sections of NIF PDF'!$D:$N,4,FALSE)</f>
        <v>script button</v>
      </c>
      <c r="D310" s="117" t="str">
        <f>INDEX('All sections of NIF PDF'!$B:$B,MATCH($A310,'All sections of NIF PDF'!$D:$D,0))</f>
        <v>Requestor - Req Launch DTC</v>
      </c>
      <c r="E310" s="117" t="str">
        <f>VLOOKUP($A310,'All sections of NIF PDF'!$D:$N,6,FALSE)</f>
        <v>Requestor</v>
      </c>
      <c r="F310" s="117" t="str">
        <f>IF(VLOOKUP($A310,Definitions!$D:$E,2,FALSE)=0, "", VLOOKUP($A310,Definitions!$D:$E,2,FALSE))</f>
        <v>This pulls retail material alt uom details from SAP. This also reveals the SAVE AND ROUTE button below Sales Org Extensions section</v>
      </c>
      <c r="G310" s="117" t="str">
        <f>IF(VLOOKUP($A310,'All sections of NIF PDF'!$D:$N,11,FALSE)=0,"",VLOOKUP($A310,'All sections of NIF PDF'!$D:$N,11,FALSE))</f>
        <v/>
      </c>
    </row>
    <row r="311" spans="1:7">
      <c r="A311" s="121" t="str">
        <f>'All sections of NIF PDF'!D311</f>
        <v>Save and Route (button)</v>
      </c>
      <c r="B311" s="117">
        <f>INDEX('All sections of NIF PDF'!$A:$A,MATCH($A311,'All sections of NIF PDF'!$D:$D,0))</f>
        <v>1299</v>
      </c>
      <c r="C311" s="117" t="str">
        <f>VLOOKUP($A311,'All sections of NIF PDF'!$D:$N,4,FALSE)</f>
        <v>script button</v>
      </c>
      <c r="D311" s="117" t="str">
        <f>INDEX('All sections of NIF PDF'!$B:$B,MATCH($A311,'All sections of NIF PDF'!$D:$D,0))</f>
        <v>Requestor - Req Launch DTC</v>
      </c>
      <c r="E311" s="117" t="str">
        <f>VLOOKUP($A311,'All sections of NIF PDF'!$D:$N,6,FALSE)</f>
        <v>Requestor</v>
      </c>
      <c r="F311" s="117" t="str">
        <f>IF(VLOOKUP($A311,Definitions!$D:$E,2,FALSE)=0, "", VLOOKUP($A311,Definitions!$D:$E,2,FALSE))</f>
        <v>Select this button to send request through workflow</v>
      </c>
      <c r="G311" s="117" t="str">
        <f>IF(VLOOKUP($A311,'All sections of NIF PDF'!$D:$N,11,FALSE)=0,"",VLOOKUP($A311,'All sections of NIF PDF'!$D:$N,11,FALSE))</f>
        <v/>
      </c>
    </row>
    <row r="312" spans="1:7">
      <c r="A312" s="121" t="str">
        <f>'All sections of NIF PDF'!D312</f>
        <v>Choose File</v>
      </c>
      <c r="B312" s="117">
        <f>INDEX('All sections of NIF PDF'!$A:$A,MATCH($A312,'All sections of NIF PDF'!$D:$D,0))</f>
        <v>1300</v>
      </c>
      <c r="C312" s="117" t="str">
        <f>VLOOKUP($A312,'All sections of NIF PDF'!$D:$N,4,FALSE)</f>
        <v>dd: directory</v>
      </c>
      <c r="D312" s="117" t="str">
        <f>INDEX('All sections of NIF PDF'!$B:$B,MATCH($A312,'All sections of NIF PDF'!$D:$D,0))</f>
        <v>Requestor - Req Launch DTC</v>
      </c>
      <c r="E312" s="117" t="str">
        <f>VLOOKUP($A312,'All sections of NIF PDF'!$D:$N,6,FALSE)</f>
        <v>Requestor</v>
      </c>
      <c r="F312" s="117" t="str">
        <f>IF(VLOOKUP($A312,Definitions!$D:$E,2,FALSE)=0, "", VLOOKUP($A312,Definitions!$D:$E,2,FALSE))</f>
        <v>Add any files which are helpful</v>
      </c>
      <c r="G312" s="117" t="str">
        <f>IF(VLOOKUP($A312,'All sections of NIF PDF'!$D:$N,11,FALSE)=0,"",VLOOKUP($A312,'All sections of NIF PDF'!$D:$N,11,FALSE))</f>
        <v/>
      </c>
    </row>
    <row r="313" spans="1:7">
      <c r="A313" s="121" t="str">
        <f>'All sections of NIF PDF'!D313</f>
        <v>Did you submit DTC Form</v>
      </c>
      <c r="B313" s="117">
        <f>INDEX('All sections of NIF PDF'!$A:$A,MATCH($A313,'All sections of NIF PDF'!$D:$D,0))</f>
        <v>1301</v>
      </c>
      <c r="C313" s="117" t="str">
        <f>VLOOKUP($A313,'All sections of NIF PDF'!$D:$N,4,FALSE)</f>
        <v>dd: YES, NO</v>
      </c>
      <c r="D313" s="117" t="str">
        <f>INDEX('All sections of NIF PDF'!$B:$B,MATCH($A313,'All sections of NIF PDF'!$D:$D,0))</f>
        <v>Requestor - Req Launch DTC</v>
      </c>
      <c r="E313" s="117" t="str">
        <f>VLOOKUP($A313,'All sections of NIF PDF'!$D:$N,6,FALSE)</f>
        <v>Requestor</v>
      </c>
      <c r="F313" s="117" t="str">
        <f>IF(VLOOKUP($A313,Definitions!$D:$E,2,FALSE)=0, "", VLOOKUP($A313,Definitions!$D:$E,2,FALSE))</f>
        <v>Click YES after SAVE AND ROUTE, which will show section: DTC Launch Buttons.</v>
      </c>
      <c r="G313" s="117" t="str">
        <f>IF(VLOOKUP($A313,'All sections of NIF PDF'!$D:$N,11,FALSE)=0,"",VLOOKUP($A313,'All sections of NIF PDF'!$D:$N,11,FALSE))</f>
        <v/>
      </c>
    </row>
    <row r="314" spans="1:7">
      <c r="A314" s="121" t="str">
        <f>'All sections of NIF PDF'!D314</f>
        <v>DTC Form Launched (button)</v>
      </c>
      <c r="B314" s="117">
        <f>INDEX('All sections of NIF PDF'!$A:$A,MATCH($A314,'All sections of NIF PDF'!$D:$D,0))</f>
        <v>1302</v>
      </c>
      <c r="C314" s="117" t="str">
        <f>VLOOKUP($A314,'All sections of NIF PDF'!$D:$N,4,FALSE)</f>
        <v>script button</v>
      </c>
      <c r="D314" s="117" t="str">
        <f>INDEX('All sections of NIF PDF'!$B:$B,MATCH($A314,'All sections of NIF PDF'!$D:$D,0))</f>
        <v>Requestor - Req Launch DTC</v>
      </c>
      <c r="E314" s="117" t="str">
        <f>VLOOKUP($A314,'All sections of NIF PDF'!$D:$N,6,FALSE)</f>
        <v>Requestor</v>
      </c>
      <c r="F314" s="117" t="str">
        <f>IF(VLOOKUP($A314,Definitions!$D:$E,2,FALSE)=0, "", VLOOKUP($A314,Definitions!$D:$E,2,FALSE))</f>
        <v>Click when DTC form has been launched</v>
      </c>
      <c r="G314" s="117" t="str">
        <f>IF(VLOOKUP($A314,'All sections of NIF PDF'!$D:$N,11,FALSE)=0,"",VLOOKUP($A314,'All sections of NIF PDF'!$D:$N,11,FALSE))</f>
        <v/>
      </c>
    </row>
    <row r="315" spans="1:7" ht="28.9">
      <c r="A315" s="121" t="str">
        <f>'All sections of NIF PDF'!D315</f>
        <v>Launch Later (No Save) (button)</v>
      </c>
      <c r="B315" s="117">
        <f>INDEX('All sections of NIF PDF'!$A:$A,MATCH($A315,'All sections of NIF PDF'!$D:$D,0))</f>
        <v>1303</v>
      </c>
      <c r="C315" s="117" t="str">
        <f>VLOOKUP($A315,'All sections of NIF PDF'!$D:$N,4,FALSE)</f>
        <v>script button</v>
      </c>
      <c r="D315" s="117" t="str">
        <f>INDEX('All sections of NIF PDF'!$B:$B,MATCH($A315,'All sections of NIF PDF'!$D:$D,0))</f>
        <v>Requestor - Req Launch DTC</v>
      </c>
      <c r="E315" s="117" t="str">
        <f>VLOOKUP($A315,'All sections of NIF PDF'!$D:$N,6,FALSE)</f>
        <v>Requestor</v>
      </c>
      <c r="F315" s="117" t="str">
        <f>IF(VLOOKUP($A315,Definitions!$D:$E,2,FALSE)=0, "", VLOOKUP($A315,Definitions!$D:$E,2,FALSE))</f>
        <v>This button allows the form to be cancelled and available to launch later.</v>
      </c>
      <c r="G315" s="117" t="str">
        <f>IF(VLOOKUP($A315,'All sections of NIF PDF'!$D:$N,11,FALSE)=0,"",VLOOKUP($A315,'All sections of NIF PDF'!$D:$N,11,FALSE))</f>
        <v/>
      </c>
    </row>
    <row r="316" spans="1:7">
      <c r="A316" s="121">
        <f>'All sections of NIF PDF'!D316</f>
        <v>0</v>
      </c>
      <c r="B316" s="117" t="e">
        <f>INDEX('All sections of NIF PDF'!$A:$A,MATCH($A316,'All sections of NIF PDF'!$D:$D,0))</f>
        <v>#N/A</v>
      </c>
      <c r="C316" s="117" t="e">
        <f>VLOOKUP($A316,'All sections of NIF PDF'!$D:$N,4,FALSE)</f>
        <v>#N/A</v>
      </c>
      <c r="D316" s="117" t="e">
        <f>INDEX('All sections of NIF PDF'!$B:$B,MATCH($A316,'All sections of NIF PDF'!$D:$D,0))</f>
        <v>#N/A</v>
      </c>
      <c r="E316" s="117" t="e">
        <f>VLOOKUP($A316,'All sections of NIF PDF'!$D:$N,6,FALSE)</f>
        <v>#N/A</v>
      </c>
      <c r="F316" s="117" t="e">
        <f>IF(VLOOKUP($A316,Definitions!$D:$E,2,FALSE)=0, "", VLOOKUP($A316,Definitions!$D:$E,2,FALSE))</f>
        <v>#N/A</v>
      </c>
      <c r="G316" s="117" t="e">
        <f>IF(VLOOKUP($A316,'All sections of NIF PDF'!$D:$N,11,FALSE)=0,"",VLOOKUP($A316,'All sections of NIF PDF'!$D:$N,11,FALSE))</f>
        <v>#N/A</v>
      </c>
    </row>
    <row r="317" spans="1:7">
      <c r="A317" s="121">
        <f>'All sections of NIF PDF'!D317</f>
        <v>0</v>
      </c>
      <c r="B317" s="117" t="e">
        <f>INDEX('All sections of NIF PDF'!$A:$A,MATCH($A317,'All sections of NIF PDF'!$D:$D,0))</f>
        <v>#N/A</v>
      </c>
      <c r="C317" s="117" t="e">
        <f>VLOOKUP($A317,'All sections of NIF PDF'!$D:$N,4,FALSE)</f>
        <v>#N/A</v>
      </c>
      <c r="D317" s="117" t="e">
        <f>INDEX('All sections of NIF PDF'!$B:$B,MATCH($A317,'All sections of NIF PDF'!$D:$D,0))</f>
        <v>#N/A</v>
      </c>
      <c r="E317" s="117" t="e">
        <f>VLOOKUP($A317,'All sections of NIF PDF'!$D:$N,6,FALSE)</f>
        <v>#N/A</v>
      </c>
      <c r="F317" s="117" t="e">
        <f>IF(VLOOKUP($A317,Definitions!$D:$E,2,FALSE)=0, "", VLOOKUP($A317,Definitions!$D:$E,2,FALSE))</f>
        <v>#N/A</v>
      </c>
      <c r="G317" s="117" t="e">
        <f>IF(VLOOKUP($A317,'All sections of NIF PDF'!$D:$N,11,FALSE)=0,"",VLOOKUP($A317,'All sections of NIF PDF'!$D:$N,11,FALSE))</f>
        <v>#N/A</v>
      </c>
    </row>
    <row r="318" spans="1:7">
      <c r="A318" s="121">
        <f>'All sections of NIF PDF'!D318</f>
        <v>0</v>
      </c>
      <c r="B318" s="117" t="e">
        <f>INDEX('All sections of NIF PDF'!$A:$A,MATCH($A318,'All sections of NIF PDF'!$D:$D,0))</f>
        <v>#N/A</v>
      </c>
      <c r="C318" s="117" t="e">
        <f>VLOOKUP($A318,'All sections of NIF PDF'!$D:$N,4,FALSE)</f>
        <v>#N/A</v>
      </c>
      <c r="D318" s="117" t="e">
        <f>INDEX('All sections of NIF PDF'!$B:$B,MATCH($A318,'All sections of NIF PDF'!$D:$D,0))</f>
        <v>#N/A</v>
      </c>
      <c r="E318" s="117" t="e">
        <f>VLOOKUP($A318,'All sections of NIF PDF'!$D:$N,6,FALSE)</f>
        <v>#N/A</v>
      </c>
      <c r="F318" s="117" t="e">
        <f>IF(VLOOKUP($A318,Definitions!$D:$E,2,FALSE)=0, "", VLOOKUP($A318,Definitions!$D:$E,2,FALSE))</f>
        <v>#N/A</v>
      </c>
      <c r="G318" s="117" t="e">
        <f>IF(VLOOKUP($A318,'All sections of NIF PDF'!$D:$N,11,FALSE)=0,"",VLOOKUP($A318,'All sections of NIF PDF'!$D:$N,11,FALSE))</f>
        <v>#N/A</v>
      </c>
    </row>
    <row r="319" spans="1:7">
      <c r="A319" s="121">
        <f>'All sections of NIF PDF'!D319</f>
        <v>0</v>
      </c>
      <c r="B319" s="117" t="e">
        <f>INDEX('All sections of NIF PDF'!$A:$A,MATCH($A319,'All sections of NIF PDF'!$D:$D,0))</f>
        <v>#N/A</v>
      </c>
      <c r="C319" s="117" t="e">
        <f>VLOOKUP($A319,'All sections of NIF PDF'!$D:$N,4,FALSE)</f>
        <v>#N/A</v>
      </c>
      <c r="D319" s="117" t="e">
        <f>INDEX('All sections of NIF PDF'!$B:$B,MATCH($A319,'All sections of NIF PDF'!$D:$D,0))</f>
        <v>#N/A</v>
      </c>
      <c r="E319" s="117" t="e">
        <f>VLOOKUP($A319,'All sections of NIF PDF'!$D:$N,6,FALSE)</f>
        <v>#N/A</v>
      </c>
      <c r="F319" s="117" t="e">
        <f>IF(VLOOKUP($A319,Definitions!$D:$E,2,FALSE)=0, "", VLOOKUP($A319,Definitions!$D:$E,2,FALSE))</f>
        <v>#N/A</v>
      </c>
      <c r="G319" s="117" t="e">
        <f>IF(VLOOKUP($A319,'All sections of NIF PDF'!$D:$N,11,FALSE)=0,"",VLOOKUP($A319,'All sections of NIF PDF'!$D:$N,11,FALSE))</f>
        <v>#N/A</v>
      </c>
    </row>
  </sheetData>
  <autoFilter ref="A3:G319" xr:uid="{0FCE9094-DBF1-469E-9E04-1E3B81FA9E53}"/>
  <conditionalFormatting sqref="A1:A1048576">
    <cfRule type="duplicateValues" dxfId="10" priority="3"/>
  </conditionalFormatting>
  <conditionalFormatting sqref="C2">
    <cfRule type="containsText" dxfId="9" priority="2" operator="containsText" text="header only">
      <formula>NOT(ISERROR(SEARCH("header only",C2)))</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E3118-CD6A-4536-B16B-5C3D802BDD50}">
  <sheetPr>
    <tabColor rgb="FFFF00FF"/>
  </sheetPr>
  <dimension ref="A1:C144"/>
  <sheetViews>
    <sheetView workbookViewId="0">
      <pane ySplit="1" topLeftCell="A2" activePane="bottomLeft" state="frozen"/>
      <selection pane="bottomLeft" activeCell="B2" sqref="B2"/>
    </sheetView>
  </sheetViews>
  <sheetFormatPr defaultRowHeight="14.45"/>
  <cols>
    <col min="1" max="1" width="36" style="11" customWidth="1"/>
    <col min="2" max="2" width="161" style="11" customWidth="1"/>
    <col min="3" max="3" width="9.28515625" customWidth="1"/>
  </cols>
  <sheetData>
    <row r="1" spans="1:2">
      <c r="A1" s="12" t="s">
        <v>1403</v>
      </c>
      <c r="B1" s="144" t="s">
        <v>1104</v>
      </c>
    </row>
    <row r="2" spans="1:2" ht="28.9">
      <c r="A2" s="11" t="s">
        <v>1404</v>
      </c>
      <c r="B2" s="11" t="s">
        <v>1405</v>
      </c>
    </row>
    <row r="3" spans="1:2">
      <c r="A3" t="s">
        <v>1406</v>
      </c>
      <c r="B3" t="s">
        <v>1407</v>
      </c>
    </row>
    <row r="4" spans="1:2" ht="28.9">
      <c r="A4" s="11" t="s">
        <v>1408</v>
      </c>
      <c r="B4" s="11" t="s">
        <v>1409</v>
      </c>
    </row>
    <row r="5" spans="1:2">
      <c r="A5" t="s">
        <v>1410</v>
      </c>
      <c r="B5" t="s">
        <v>1411</v>
      </c>
    </row>
    <row r="6" spans="1:2" ht="28.9">
      <c r="A6" s="11" t="s">
        <v>1412</v>
      </c>
      <c r="B6" s="11" t="s">
        <v>1413</v>
      </c>
    </row>
    <row r="7" spans="1:2">
      <c r="A7" t="s">
        <v>1414</v>
      </c>
      <c r="B7" t="s">
        <v>1415</v>
      </c>
    </row>
    <row r="8" spans="1:2">
      <c r="A8" s="11" t="s">
        <v>1416</v>
      </c>
      <c r="B8" s="11" t="s">
        <v>1417</v>
      </c>
    </row>
    <row r="9" spans="1:2">
      <c r="A9" s="11" t="s">
        <v>1418</v>
      </c>
      <c r="B9" s="11" t="s">
        <v>1419</v>
      </c>
    </row>
    <row r="10" spans="1:2">
      <c r="A10" s="11" t="s">
        <v>1022</v>
      </c>
      <c r="B10" s="11" t="s">
        <v>1420</v>
      </c>
    </row>
    <row r="11" spans="1:2">
      <c r="A11" s="11" t="s">
        <v>1421</v>
      </c>
      <c r="B11" s="11" t="s">
        <v>1422</v>
      </c>
    </row>
    <row r="12" spans="1:2">
      <c r="A12" t="s">
        <v>1423</v>
      </c>
      <c r="B12" t="s">
        <v>1424</v>
      </c>
    </row>
    <row r="13" spans="1:2">
      <c r="A13" t="s">
        <v>20</v>
      </c>
      <c r="B13" t="s">
        <v>1425</v>
      </c>
    </row>
    <row r="14" spans="1:2">
      <c r="A14" s="11" t="s">
        <v>1426</v>
      </c>
      <c r="B14" s="11" t="s">
        <v>1427</v>
      </c>
    </row>
    <row r="15" spans="1:2">
      <c r="A15" s="11" t="s">
        <v>1428</v>
      </c>
      <c r="B15" s="11" t="s">
        <v>1429</v>
      </c>
    </row>
    <row r="16" spans="1:2">
      <c r="A16" s="11" t="s">
        <v>1430</v>
      </c>
      <c r="B16" s="11" t="s">
        <v>1431</v>
      </c>
    </row>
    <row r="17" spans="1:2" ht="28.9">
      <c r="A17" s="11" t="s">
        <v>1432</v>
      </c>
      <c r="B17" s="11" t="s">
        <v>1433</v>
      </c>
    </row>
    <row r="18" spans="1:2">
      <c r="A18" t="s">
        <v>1434</v>
      </c>
      <c r="B18" t="s">
        <v>1435</v>
      </c>
    </row>
    <row r="19" spans="1:2" ht="28.9">
      <c r="A19" s="11" t="s">
        <v>1436</v>
      </c>
      <c r="B19" s="11" t="s">
        <v>1437</v>
      </c>
    </row>
    <row r="20" spans="1:2">
      <c r="A20" s="11" t="s">
        <v>1438</v>
      </c>
      <c r="B20" s="11" t="s">
        <v>1439</v>
      </c>
    </row>
    <row r="21" spans="1:2">
      <c r="A21" t="s">
        <v>1440</v>
      </c>
      <c r="B21" t="s">
        <v>1424</v>
      </c>
    </row>
    <row r="22" spans="1:2">
      <c r="A22" t="s">
        <v>1425</v>
      </c>
      <c r="B22" t="s">
        <v>20</v>
      </c>
    </row>
    <row r="23" spans="1:2" ht="28.9">
      <c r="A23" s="11" t="s">
        <v>1441</v>
      </c>
      <c r="B23" s="11" t="s">
        <v>1442</v>
      </c>
    </row>
    <row r="24" spans="1:2">
      <c r="A24" s="11" t="s">
        <v>1443</v>
      </c>
      <c r="B24" s="11" t="s">
        <v>1444</v>
      </c>
    </row>
    <row r="25" spans="1:2">
      <c r="A25" s="11" t="s">
        <v>1445</v>
      </c>
      <c r="B25" s="11" t="s">
        <v>1446</v>
      </c>
    </row>
    <row r="26" spans="1:2">
      <c r="A26" s="11" t="s">
        <v>1447</v>
      </c>
      <c r="B26" s="11" t="s">
        <v>385</v>
      </c>
    </row>
    <row r="27" spans="1:2">
      <c r="A27" s="11" t="s">
        <v>1448</v>
      </c>
      <c r="B27" s="11" t="s">
        <v>1449</v>
      </c>
    </row>
    <row r="28" spans="1:2">
      <c r="A28" s="11" t="s">
        <v>1450</v>
      </c>
      <c r="B28" s="11" t="s">
        <v>1451</v>
      </c>
    </row>
    <row r="29" spans="1:2" ht="28.9">
      <c r="A29" s="11" t="s">
        <v>70</v>
      </c>
      <c r="B29" s="11" t="s">
        <v>1452</v>
      </c>
    </row>
    <row r="30" spans="1:2" ht="43.15">
      <c r="A30" s="11" t="s">
        <v>1453</v>
      </c>
      <c r="B30" s="11" t="s">
        <v>1454</v>
      </c>
    </row>
    <row r="31" spans="1:2">
      <c r="A31" s="11" t="s">
        <v>66</v>
      </c>
      <c r="B31" s="11" t="s">
        <v>1455</v>
      </c>
    </row>
    <row r="32" spans="1:2">
      <c r="A32" s="11" t="s">
        <v>1456</v>
      </c>
      <c r="B32" s="11" t="s">
        <v>1457</v>
      </c>
    </row>
    <row r="33" spans="1:2">
      <c r="A33" s="11" t="s">
        <v>1458</v>
      </c>
      <c r="B33" s="11" t="s">
        <v>1459</v>
      </c>
    </row>
    <row r="34" spans="1:2">
      <c r="A34" s="11" t="s">
        <v>1460</v>
      </c>
      <c r="B34" s="11" t="s">
        <v>1461</v>
      </c>
    </row>
    <row r="35" spans="1:2">
      <c r="A35" s="11" t="s">
        <v>1462</v>
      </c>
      <c r="B35" s="11" t="s">
        <v>1463</v>
      </c>
    </row>
    <row r="36" spans="1:2">
      <c r="A36" t="s">
        <v>1464</v>
      </c>
      <c r="B36" t="s">
        <v>1465</v>
      </c>
    </row>
    <row r="37" spans="1:2">
      <c r="A37" s="11" t="s">
        <v>1466</v>
      </c>
      <c r="B37" s="11" t="s">
        <v>1467</v>
      </c>
    </row>
    <row r="38" spans="1:2">
      <c r="A38" t="s">
        <v>1468</v>
      </c>
      <c r="B38" t="s">
        <v>1469</v>
      </c>
    </row>
    <row r="39" spans="1:2">
      <c r="A39" s="11" t="s">
        <v>1470</v>
      </c>
      <c r="B39" s="11" t="s">
        <v>1471</v>
      </c>
    </row>
    <row r="40" spans="1:2">
      <c r="A40" t="s">
        <v>1472</v>
      </c>
      <c r="B40" t="s">
        <v>489</v>
      </c>
    </row>
    <row r="41" spans="1:2">
      <c r="A41" t="s">
        <v>106</v>
      </c>
      <c r="B41" t="s">
        <v>1473</v>
      </c>
    </row>
    <row r="42" spans="1:2">
      <c r="A42" t="s">
        <v>1474</v>
      </c>
      <c r="B42" t="s">
        <v>1473</v>
      </c>
    </row>
    <row r="43" spans="1:2">
      <c r="A43" t="s">
        <v>1473</v>
      </c>
      <c r="B43" t="s">
        <v>106</v>
      </c>
    </row>
    <row r="44" spans="1:2" ht="28.9">
      <c r="A44" s="11" t="s">
        <v>1475</v>
      </c>
      <c r="B44" s="11" t="s">
        <v>1476</v>
      </c>
    </row>
    <row r="45" spans="1:2">
      <c r="A45" s="11" t="s">
        <v>1477</v>
      </c>
      <c r="B45" s="11" t="s">
        <v>1478</v>
      </c>
    </row>
    <row r="46" spans="1:2">
      <c r="A46" s="11" t="s">
        <v>1479</v>
      </c>
      <c r="B46" s="11" t="s">
        <v>1480</v>
      </c>
    </row>
    <row r="47" spans="1:2">
      <c r="A47" s="11" t="s">
        <v>1481</v>
      </c>
      <c r="B47" s="11" t="s">
        <v>1482</v>
      </c>
    </row>
    <row r="48" spans="1:2">
      <c r="A48" s="11" t="s">
        <v>1483</v>
      </c>
      <c r="B48" s="11" t="s">
        <v>1484</v>
      </c>
    </row>
    <row r="49" spans="1:2">
      <c r="A49" s="11" t="s">
        <v>1485</v>
      </c>
      <c r="B49" s="11" t="s">
        <v>1486</v>
      </c>
    </row>
    <row r="50" spans="1:2">
      <c r="A50" s="11" t="s">
        <v>1487</v>
      </c>
      <c r="B50" s="11" t="s">
        <v>1488</v>
      </c>
    </row>
    <row r="51" spans="1:2">
      <c r="A51" s="11" t="s">
        <v>1489</v>
      </c>
      <c r="B51" s="11" t="s">
        <v>1490</v>
      </c>
    </row>
    <row r="52" spans="1:2" ht="28.9">
      <c r="A52" s="11" t="s">
        <v>1491</v>
      </c>
      <c r="B52" s="11" t="s">
        <v>1492</v>
      </c>
    </row>
    <row r="53" spans="1:2">
      <c r="A53" s="11" t="s">
        <v>1493</v>
      </c>
      <c r="B53" s="11" t="s">
        <v>1494</v>
      </c>
    </row>
    <row r="54" spans="1:2">
      <c r="A54" s="11" t="s">
        <v>23</v>
      </c>
      <c r="B54" s="11" t="s">
        <v>1495</v>
      </c>
    </row>
    <row r="55" spans="1:2">
      <c r="A55" t="s">
        <v>1496</v>
      </c>
      <c r="B55" t="s">
        <v>1497</v>
      </c>
    </row>
    <row r="56" spans="1:2">
      <c r="A56" s="11" t="s">
        <v>218</v>
      </c>
      <c r="B56" s="11" t="s">
        <v>1498</v>
      </c>
    </row>
    <row r="57" spans="1:2">
      <c r="A57" s="11" t="s">
        <v>1499</v>
      </c>
      <c r="B57" s="11" t="s">
        <v>1500</v>
      </c>
    </row>
    <row r="58" spans="1:2" ht="28.9">
      <c r="A58" s="11" t="s">
        <v>1501</v>
      </c>
      <c r="B58" s="11" t="s">
        <v>1502</v>
      </c>
    </row>
    <row r="59" spans="1:2">
      <c r="A59" s="11" t="s">
        <v>136</v>
      </c>
      <c r="B59" s="11" t="s">
        <v>1503</v>
      </c>
    </row>
    <row r="60" spans="1:2">
      <c r="A60" s="11" t="s">
        <v>1504</v>
      </c>
      <c r="B60" s="11" t="s">
        <v>1505</v>
      </c>
    </row>
    <row r="61" spans="1:2">
      <c r="A61" s="11" t="s">
        <v>1506</v>
      </c>
      <c r="B61" s="11" t="s">
        <v>1507</v>
      </c>
    </row>
    <row r="62" spans="1:2">
      <c r="A62" t="s">
        <v>1508</v>
      </c>
      <c r="B62" t="s">
        <v>1509</v>
      </c>
    </row>
    <row r="63" spans="1:2" ht="28.9">
      <c r="A63" s="11" t="s">
        <v>998</v>
      </c>
      <c r="B63" s="220" t="s">
        <v>1510</v>
      </c>
    </row>
    <row r="64" spans="1:2" ht="28.9">
      <c r="A64" s="11" t="s">
        <v>1006</v>
      </c>
      <c r="B64" s="191" t="s">
        <v>1511</v>
      </c>
    </row>
    <row r="65" spans="1:2">
      <c r="A65" s="11" t="s">
        <v>1014</v>
      </c>
      <c r="B65" s="192" t="s">
        <v>1512</v>
      </c>
    </row>
    <row r="66" spans="1:2" ht="28.9">
      <c r="A66" s="11" t="s">
        <v>1002</v>
      </c>
      <c r="B66" s="191" t="s">
        <v>1513</v>
      </c>
    </row>
    <row r="67" spans="1:2">
      <c r="A67" s="11" t="s">
        <v>1010</v>
      </c>
      <c r="B67" s="192" t="s">
        <v>1514</v>
      </c>
    </row>
    <row r="68" spans="1:2">
      <c r="A68" s="11" t="s">
        <v>1018</v>
      </c>
      <c r="B68" s="192" t="s">
        <v>1515</v>
      </c>
    </row>
    <row r="69" spans="1:2">
      <c r="A69" t="s">
        <v>1516</v>
      </c>
      <c r="B69" t="s">
        <v>1517</v>
      </c>
    </row>
    <row r="70" spans="1:2" ht="28.9">
      <c r="A70" s="11" t="s">
        <v>1518</v>
      </c>
      <c r="B70" s="11" t="s">
        <v>1519</v>
      </c>
    </row>
    <row r="71" spans="1:2">
      <c r="A71" s="11" t="s">
        <v>1520</v>
      </c>
      <c r="B71" s="11" t="s">
        <v>1521</v>
      </c>
    </row>
    <row r="72" spans="1:2">
      <c r="A72" s="11" t="s">
        <v>1522</v>
      </c>
      <c r="B72" s="11" t="s">
        <v>1523</v>
      </c>
    </row>
    <row r="73" spans="1:2">
      <c r="A73" s="11" t="s">
        <v>1524</v>
      </c>
      <c r="B73" s="11" t="s">
        <v>1525</v>
      </c>
    </row>
    <row r="74" spans="1:2">
      <c r="A74" t="s">
        <v>1526</v>
      </c>
      <c r="B74" t="s">
        <v>101</v>
      </c>
    </row>
    <row r="75" spans="1:2">
      <c r="A75" t="s">
        <v>101</v>
      </c>
      <c r="B75" t="s">
        <v>1526</v>
      </c>
    </row>
    <row r="76" spans="1:2" ht="28.9">
      <c r="A76" s="11" t="s">
        <v>660</v>
      </c>
      <c r="B76" s="11" t="s">
        <v>1527</v>
      </c>
    </row>
    <row r="77" spans="1:2" ht="28.9">
      <c r="A77" s="11" t="s">
        <v>633</v>
      </c>
      <c r="B77" s="11" t="s">
        <v>1528</v>
      </c>
    </row>
    <row r="78" spans="1:2">
      <c r="A78" t="s">
        <v>99</v>
      </c>
      <c r="B78" t="s">
        <v>1529</v>
      </c>
    </row>
    <row r="79" spans="1:2">
      <c r="A79" s="11" t="s">
        <v>827</v>
      </c>
      <c r="B79" s="11" t="s">
        <v>1530</v>
      </c>
    </row>
    <row r="80" spans="1:2" ht="28.9">
      <c r="A80" s="11" t="s">
        <v>1531</v>
      </c>
      <c r="B80" s="11" t="s">
        <v>1532</v>
      </c>
    </row>
    <row r="81" spans="1:2">
      <c r="A81" t="s">
        <v>1533</v>
      </c>
      <c r="B81" t="s">
        <v>141</v>
      </c>
    </row>
    <row r="82" spans="1:2">
      <c r="A82" s="11" t="s">
        <v>26</v>
      </c>
      <c r="B82" s="11" t="s">
        <v>1534</v>
      </c>
    </row>
    <row r="83" spans="1:2">
      <c r="A83" s="11" t="s">
        <v>1535</v>
      </c>
      <c r="B83" s="11" t="s">
        <v>1536</v>
      </c>
    </row>
    <row r="84" spans="1:2">
      <c r="A84" s="11" t="s">
        <v>1537</v>
      </c>
      <c r="B84" s="11" t="s">
        <v>1538</v>
      </c>
    </row>
    <row r="85" spans="1:2">
      <c r="A85" t="s">
        <v>1529</v>
      </c>
      <c r="B85" t="s">
        <v>99</v>
      </c>
    </row>
    <row r="86" spans="1:2">
      <c r="A86" t="s">
        <v>1539</v>
      </c>
      <c r="B86" t="s">
        <v>329</v>
      </c>
    </row>
    <row r="87" spans="1:2" ht="43.15">
      <c r="A87" s="11" t="s">
        <v>637</v>
      </c>
      <c r="B87" s="11" t="s">
        <v>1540</v>
      </c>
    </row>
    <row r="88" spans="1:2">
      <c r="A88" t="s">
        <v>1541</v>
      </c>
      <c r="B88" t="s">
        <v>1542</v>
      </c>
    </row>
    <row r="89" spans="1:2">
      <c r="A89" t="s">
        <v>1543</v>
      </c>
      <c r="B89" t="s">
        <v>1542</v>
      </c>
    </row>
    <row r="90" spans="1:2">
      <c r="A90" t="s">
        <v>1544</v>
      </c>
      <c r="B90" t="s">
        <v>1542</v>
      </c>
    </row>
    <row r="91" spans="1:2">
      <c r="A91" t="s">
        <v>141</v>
      </c>
      <c r="B91" t="s">
        <v>1533</v>
      </c>
    </row>
    <row r="92" spans="1:2">
      <c r="A92" s="11" t="s">
        <v>1545</v>
      </c>
      <c r="B92" s="11" t="s">
        <v>1546</v>
      </c>
    </row>
    <row r="93" spans="1:2">
      <c r="A93" t="s">
        <v>1497</v>
      </c>
      <c r="B93" t="s">
        <v>1496</v>
      </c>
    </row>
    <row r="94" spans="1:2">
      <c r="A94" t="s">
        <v>1547</v>
      </c>
      <c r="B94" t="s">
        <v>1548</v>
      </c>
    </row>
    <row r="95" spans="1:2" ht="28.9">
      <c r="A95" s="11" t="s">
        <v>1549</v>
      </c>
      <c r="B95" s="11" t="s">
        <v>1550</v>
      </c>
    </row>
    <row r="96" spans="1:2">
      <c r="A96" s="11" t="s">
        <v>13</v>
      </c>
      <c r="B96" s="11" t="s">
        <v>1551</v>
      </c>
    </row>
    <row r="97" spans="1:2" ht="43.15">
      <c r="A97" s="11" t="s">
        <v>1552</v>
      </c>
      <c r="B97" s="11" t="s">
        <v>1553</v>
      </c>
    </row>
    <row r="98" spans="1:2">
      <c r="A98" t="s">
        <v>1554</v>
      </c>
      <c r="B98" t="s">
        <v>1542</v>
      </c>
    </row>
    <row r="99" spans="1:2">
      <c r="A99" t="s">
        <v>1555</v>
      </c>
      <c r="B99" t="s">
        <v>1542</v>
      </c>
    </row>
    <row r="100" spans="1:2">
      <c r="A100" s="11" t="s">
        <v>1556</v>
      </c>
      <c r="B100" s="11" t="s">
        <v>1557</v>
      </c>
    </row>
    <row r="101" spans="1:2" ht="28.9">
      <c r="A101" s="11" t="s">
        <v>29</v>
      </c>
      <c r="B101" s="11" t="s">
        <v>1558</v>
      </c>
    </row>
    <row r="102" spans="1:2">
      <c r="A102" t="s">
        <v>1559</v>
      </c>
      <c r="B102" t="s">
        <v>1560</v>
      </c>
    </row>
    <row r="103" spans="1:2">
      <c r="A103" s="11" t="s">
        <v>1561</v>
      </c>
      <c r="B103" s="11" t="s">
        <v>1562</v>
      </c>
    </row>
    <row r="104" spans="1:2">
      <c r="A104" s="11" t="s">
        <v>1563</v>
      </c>
      <c r="B104" s="11" t="s">
        <v>1564</v>
      </c>
    </row>
    <row r="105" spans="1:2">
      <c r="A105" s="11" t="s">
        <v>1565</v>
      </c>
      <c r="B105" s="11" t="s">
        <v>1566</v>
      </c>
    </row>
    <row r="106" spans="1:2">
      <c r="A106" s="11" t="s">
        <v>1567</v>
      </c>
      <c r="B106" s="11" t="s">
        <v>1568</v>
      </c>
    </row>
    <row r="107" spans="1:2" ht="28.9">
      <c r="A107" s="11" t="s">
        <v>1569</v>
      </c>
      <c r="B107" s="11" t="s">
        <v>1570</v>
      </c>
    </row>
    <row r="108" spans="1:2">
      <c r="A108" s="11" t="s">
        <v>205</v>
      </c>
      <c r="B108" s="11" t="s">
        <v>1571</v>
      </c>
    </row>
    <row r="109" spans="1:2">
      <c r="A109" t="s">
        <v>1572</v>
      </c>
      <c r="B109" t="s">
        <v>1573</v>
      </c>
    </row>
    <row r="110" spans="1:2">
      <c r="A110" t="s">
        <v>1574</v>
      </c>
      <c r="B110" t="s">
        <v>1575</v>
      </c>
    </row>
    <row r="111" spans="1:2">
      <c r="A111" t="s">
        <v>1576</v>
      </c>
      <c r="B111" t="s">
        <v>1575</v>
      </c>
    </row>
    <row r="112" spans="1:2">
      <c r="A112" t="s">
        <v>1577</v>
      </c>
      <c r="B112" t="s">
        <v>1578</v>
      </c>
    </row>
    <row r="113" spans="1:3">
      <c r="A113" t="s">
        <v>1579</v>
      </c>
      <c r="B113" t="s">
        <v>1580</v>
      </c>
    </row>
    <row r="114" spans="1:3">
      <c r="A114" s="11" t="s">
        <v>1581</v>
      </c>
      <c r="B114" s="11" t="s">
        <v>1582</v>
      </c>
      <c r="C114" s="11"/>
    </row>
    <row r="115" spans="1:3">
      <c r="A115" s="11" t="s">
        <v>1583</v>
      </c>
      <c r="B115" s="11" t="s">
        <v>1584</v>
      </c>
    </row>
    <row r="116" spans="1:3" ht="28.9">
      <c r="A116" s="11" t="s">
        <v>1585</v>
      </c>
      <c r="B116" s="11" t="s">
        <v>1586</v>
      </c>
    </row>
    <row r="117" spans="1:3" ht="28.9">
      <c r="A117" s="11" t="s">
        <v>32</v>
      </c>
      <c r="B117" s="11" t="s">
        <v>1587</v>
      </c>
    </row>
    <row r="118" spans="1:3">
      <c r="A118" s="11" t="s">
        <v>79</v>
      </c>
      <c r="B118" s="11" t="s">
        <v>1588</v>
      </c>
    </row>
    <row r="119" spans="1:3">
      <c r="A119" s="11" t="s">
        <v>1589</v>
      </c>
      <c r="B119" s="11" t="s">
        <v>1590</v>
      </c>
    </row>
    <row r="120" spans="1:3">
      <c r="A120" s="11" t="s">
        <v>1591</v>
      </c>
      <c r="B120" s="11" t="s">
        <v>1592</v>
      </c>
    </row>
    <row r="121" spans="1:3">
      <c r="A121" s="11" t="s">
        <v>1593</v>
      </c>
      <c r="B121" s="11" t="s">
        <v>1594</v>
      </c>
    </row>
    <row r="122" spans="1:3">
      <c r="A122" t="s">
        <v>1595</v>
      </c>
      <c r="B122" t="s">
        <v>1596</v>
      </c>
    </row>
    <row r="123" spans="1:3" ht="43.15">
      <c r="A123" s="11" t="s">
        <v>1597</v>
      </c>
      <c r="B123" s="11" t="s">
        <v>1598</v>
      </c>
    </row>
    <row r="124" spans="1:3">
      <c r="A124" s="11" t="s">
        <v>83</v>
      </c>
      <c r="B124" s="11" t="s">
        <v>1599</v>
      </c>
    </row>
    <row r="125" spans="1:3" ht="28.9">
      <c r="A125" s="11" t="s">
        <v>1600</v>
      </c>
      <c r="B125" s="11" t="s">
        <v>1601</v>
      </c>
    </row>
    <row r="126" spans="1:3">
      <c r="A126" t="s">
        <v>1602</v>
      </c>
      <c r="B126" t="s">
        <v>1603</v>
      </c>
    </row>
    <row r="127" spans="1:3">
      <c r="A127" t="s">
        <v>1604</v>
      </c>
      <c r="B127" t="s">
        <v>1542</v>
      </c>
    </row>
    <row r="128" spans="1:3">
      <c r="A128" s="11" t="s">
        <v>1605</v>
      </c>
      <c r="B128" s="11" t="s">
        <v>1606</v>
      </c>
    </row>
    <row r="129" spans="1:2">
      <c r="A129" s="11" t="s">
        <v>676</v>
      </c>
      <c r="B129" s="11" t="s">
        <v>1607</v>
      </c>
    </row>
    <row r="130" spans="1:2">
      <c r="A130" s="11" t="s">
        <v>1608</v>
      </c>
      <c r="B130" s="11" t="s">
        <v>1609</v>
      </c>
    </row>
    <row r="131" spans="1:2">
      <c r="A131" t="s">
        <v>1610</v>
      </c>
      <c r="B131" t="s">
        <v>1611</v>
      </c>
    </row>
    <row r="132" spans="1:2">
      <c r="A132" s="11" t="s">
        <v>1612</v>
      </c>
      <c r="B132" s="11" t="s">
        <v>1613</v>
      </c>
    </row>
    <row r="133" spans="1:2">
      <c r="A133" s="11" t="s">
        <v>1614</v>
      </c>
      <c r="B133" s="11" t="s">
        <v>843</v>
      </c>
    </row>
    <row r="134" spans="1:2">
      <c r="A134" s="11" t="s">
        <v>1615</v>
      </c>
      <c r="B134" s="11" t="s">
        <v>1616</v>
      </c>
    </row>
    <row r="135" spans="1:2">
      <c r="A135" s="11" t="s">
        <v>1617</v>
      </c>
      <c r="B135" s="11" t="s">
        <v>1618</v>
      </c>
    </row>
    <row r="136" spans="1:2">
      <c r="A136" s="11" t="s">
        <v>1619</v>
      </c>
      <c r="B136" s="11" t="s">
        <v>1620</v>
      </c>
    </row>
    <row r="137" spans="1:2">
      <c r="A137" t="s">
        <v>1621</v>
      </c>
      <c r="B137" t="s">
        <v>1622</v>
      </c>
    </row>
    <row r="138" spans="1:2" ht="28.9">
      <c r="A138" s="11" t="s">
        <v>1623</v>
      </c>
      <c r="B138" s="11" t="s">
        <v>1624</v>
      </c>
    </row>
    <row r="139" spans="1:2">
      <c r="A139" t="s">
        <v>1625</v>
      </c>
      <c r="B139" t="s">
        <v>1622</v>
      </c>
    </row>
    <row r="140" spans="1:2" ht="72">
      <c r="A140" s="11" t="s">
        <v>1626</v>
      </c>
      <c r="B140" s="11" t="s">
        <v>1627</v>
      </c>
    </row>
    <row r="141" spans="1:2">
      <c r="A141" s="11" t="s">
        <v>1628</v>
      </c>
      <c r="B141" s="11" t="s">
        <v>1629</v>
      </c>
    </row>
    <row r="142" spans="1:2">
      <c r="A142" s="11" t="s">
        <v>1630</v>
      </c>
      <c r="B142" s="11" t="s">
        <v>1631</v>
      </c>
    </row>
    <row r="143" spans="1:2">
      <c r="A143" s="11" t="s">
        <v>1632</v>
      </c>
      <c r="B143" s="11" t="s">
        <v>1633</v>
      </c>
    </row>
    <row r="144" spans="1:2">
      <c r="A144" s="11" t="s">
        <v>1634</v>
      </c>
      <c r="B144" s="11" t="s">
        <v>1635</v>
      </c>
    </row>
  </sheetData>
  <autoFilter ref="A1:C144" xr:uid="{368233DD-7828-42E9-B505-E5FC24E288A7}"/>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ED42-BF63-4912-BEBE-8EA9B25FD0E3}">
  <sheetPr>
    <tabColor rgb="FF00B0F0"/>
  </sheetPr>
  <dimension ref="A3:K31"/>
  <sheetViews>
    <sheetView workbookViewId="0">
      <pane ySplit="3" topLeftCell="A4" activePane="bottomLeft" state="frozen"/>
      <selection pane="bottomLeft" activeCell="G3" sqref="G3"/>
    </sheetView>
  </sheetViews>
  <sheetFormatPr defaultRowHeight="14.45"/>
  <cols>
    <col min="1" max="1" width="12.7109375" bestFit="1" customWidth="1"/>
    <col min="2" max="2" width="37.7109375" style="11" bestFit="1" customWidth="1"/>
    <col min="3" max="3" width="41.5703125" style="11" bestFit="1" customWidth="1"/>
    <col min="4" max="4" width="9.42578125" bestFit="1" customWidth="1"/>
    <col min="5" max="5" width="13.7109375" bestFit="1" customWidth="1"/>
    <col min="6" max="6" width="9.7109375" bestFit="1" customWidth="1"/>
    <col min="7" max="7" width="13.85546875" bestFit="1" customWidth="1"/>
    <col min="8" max="8" width="57.85546875" bestFit="1" customWidth="1"/>
    <col min="9" max="9" width="28.28515625" bestFit="1" customWidth="1"/>
    <col min="10" max="10" width="11.85546875" bestFit="1" customWidth="1"/>
    <col min="11" max="11" width="15.28515625" bestFit="1" customWidth="1"/>
  </cols>
  <sheetData>
    <row r="3" spans="1:11" s="1" customFormat="1" ht="43.15">
      <c r="A3" s="159" t="s">
        <v>1636</v>
      </c>
      <c r="B3" s="12" t="s">
        <v>1637</v>
      </c>
      <c r="C3" s="12" t="s">
        <v>1638</v>
      </c>
      <c r="D3" s="157" t="s">
        <v>1639</v>
      </c>
      <c r="E3" s="158" t="s">
        <v>1640</v>
      </c>
      <c r="F3" s="158" t="s">
        <v>1641</v>
      </c>
      <c r="G3" s="12" t="s">
        <v>1642</v>
      </c>
      <c r="H3" s="1" t="s">
        <v>1643</v>
      </c>
      <c r="I3" s="1" t="s">
        <v>184</v>
      </c>
      <c r="J3" s="1" t="s">
        <v>1644</v>
      </c>
      <c r="K3" s="1" t="s">
        <v>1645</v>
      </c>
    </row>
    <row r="4" spans="1:11" ht="28.9">
      <c r="B4" s="11" t="s">
        <v>1646</v>
      </c>
      <c r="C4" s="11" t="s">
        <v>1647</v>
      </c>
      <c r="D4">
        <v>9</v>
      </c>
      <c r="G4" t="s">
        <v>1648</v>
      </c>
      <c r="H4" s="155" t="s">
        <v>1646</v>
      </c>
      <c r="I4" t="s">
        <v>1649</v>
      </c>
    </row>
    <row r="5" spans="1:11">
      <c r="B5" s="11" t="s">
        <v>1650</v>
      </c>
      <c r="C5" s="11" t="s">
        <v>1651</v>
      </c>
      <c r="D5">
        <v>9</v>
      </c>
      <c r="G5" t="s">
        <v>1648</v>
      </c>
      <c r="H5" s="155" t="s">
        <v>1650</v>
      </c>
      <c r="I5" t="s">
        <v>1649</v>
      </c>
    </row>
    <row r="6" spans="1:11">
      <c r="B6" s="11" t="s">
        <v>1652</v>
      </c>
      <c r="C6" s="11" t="s">
        <v>1653</v>
      </c>
      <c r="D6">
        <v>1</v>
      </c>
      <c r="G6" t="s">
        <v>1648</v>
      </c>
      <c r="H6" s="155" t="s">
        <v>1652</v>
      </c>
    </row>
    <row r="7" spans="1:11">
      <c r="B7" s="11" t="s">
        <v>1654</v>
      </c>
      <c r="C7" s="11" t="s">
        <v>1655</v>
      </c>
      <c r="D7">
        <v>2</v>
      </c>
      <c r="E7">
        <v>87</v>
      </c>
      <c r="F7">
        <v>1533</v>
      </c>
      <c r="G7" t="s">
        <v>1648</v>
      </c>
      <c r="H7" s="155" t="s">
        <v>1654</v>
      </c>
      <c r="I7" t="s">
        <v>1656</v>
      </c>
    </row>
    <row r="8" spans="1:11">
      <c r="B8" s="11" t="s">
        <v>1657</v>
      </c>
      <c r="C8" s="11" t="s">
        <v>1655</v>
      </c>
      <c r="D8">
        <v>1</v>
      </c>
      <c r="E8">
        <v>87</v>
      </c>
      <c r="F8">
        <v>6</v>
      </c>
      <c r="G8" t="s">
        <v>1658</v>
      </c>
      <c r="H8" s="155" t="s">
        <v>1657</v>
      </c>
      <c r="I8" t="s">
        <v>1659</v>
      </c>
    </row>
    <row r="9" spans="1:11" ht="28.9">
      <c r="B9" s="11" t="s">
        <v>1660</v>
      </c>
      <c r="C9" s="11" t="s">
        <v>1661</v>
      </c>
      <c r="D9">
        <v>47</v>
      </c>
      <c r="G9" t="s">
        <v>1648</v>
      </c>
      <c r="H9" s="155" t="s">
        <v>1662</v>
      </c>
      <c r="I9" t="s">
        <v>1663</v>
      </c>
    </row>
    <row r="10" spans="1:11" ht="28.9">
      <c r="B10" s="11" t="s">
        <v>1664</v>
      </c>
      <c r="C10" s="11" t="s">
        <v>1661</v>
      </c>
      <c r="D10">
        <v>54</v>
      </c>
      <c r="G10" t="s">
        <v>1648</v>
      </c>
      <c r="H10" s="155" t="s">
        <v>1664</v>
      </c>
      <c r="I10" t="s">
        <v>1663</v>
      </c>
    </row>
    <row r="11" spans="1:11" ht="28.9">
      <c r="B11" s="11" t="s">
        <v>1665</v>
      </c>
      <c r="C11" s="11" t="s">
        <v>1661</v>
      </c>
      <c r="D11">
        <v>54</v>
      </c>
      <c r="G11" t="s">
        <v>1648</v>
      </c>
      <c r="H11" s="155" t="s">
        <v>1665</v>
      </c>
      <c r="I11" t="s">
        <v>1663</v>
      </c>
    </row>
    <row r="12" spans="1:11">
      <c r="B12" s="11" t="s">
        <v>1666</v>
      </c>
      <c r="C12" s="11" t="s">
        <v>1667</v>
      </c>
      <c r="D12">
        <v>3</v>
      </c>
      <c r="G12" t="s">
        <v>1648</v>
      </c>
      <c r="H12" s="155" t="s">
        <v>1666</v>
      </c>
      <c r="I12" t="s">
        <v>1668</v>
      </c>
    </row>
    <row r="13" spans="1:11" ht="28.9">
      <c r="B13" s="11" t="s">
        <v>1669</v>
      </c>
      <c r="C13" s="11" t="s">
        <v>1670</v>
      </c>
      <c r="D13">
        <v>3</v>
      </c>
      <c r="G13" t="s">
        <v>1648</v>
      </c>
      <c r="H13" s="155" t="s">
        <v>1669</v>
      </c>
      <c r="I13" t="s">
        <v>1649</v>
      </c>
    </row>
    <row r="14" spans="1:11">
      <c r="B14" s="11" t="s">
        <v>1671</v>
      </c>
      <c r="C14" s="11" t="s">
        <v>1672</v>
      </c>
      <c r="D14">
        <v>34</v>
      </c>
      <c r="G14" t="s">
        <v>1648</v>
      </c>
      <c r="H14" s="155" t="s">
        <v>1671</v>
      </c>
      <c r="I14" t="s">
        <v>1649</v>
      </c>
    </row>
    <row r="15" spans="1:11">
      <c r="B15" s="11" t="s">
        <v>1673</v>
      </c>
      <c r="C15" s="11" t="s">
        <v>1674</v>
      </c>
      <c r="D15">
        <v>16</v>
      </c>
      <c r="G15" t="s">
        <v>1648</v>
      </c>
      <c r="H15" s="155" t="s">
        <v>1673</v>
      </c>
      <c r="I15" t="s">
        <v>1668</v>
      </c>
    </row>
    <row r="16" spans="1:11">
      <c r="B16" s="11" t="s">
        <v>1675</v>
      </c>
      <c r="C16" s="11" t="s">
        <v>1676</v>
      </c>
      <c r="D16">
        <v>31</v>
      </c>
      <c r="G16" t="s">
        <v>1648</v>
      </c>
      <c r="H16" s="155" t="s">
        <v>1675</v>
      </c>
      <c r="I16" t="s">
        <v>1649</v>
      </c>
    </row>
    <row r="17" spans="2:9">
      <c r="B17" s="11" t="s">
        <v>1677</v>
      </c>
      <c r="C17" s="11" t="s">
        <v>1678</v>
      </c>
      <c r="D17">
        <v>1</v>
      </c>
      <c r="G17" t="s">
        <v>1648</v>
      </c>
      <c r="H17" s="155" t="s">
        <v>1677</v>
      </c>
      <c r="I17" t="s">
        <v>1649</v>
      </c>
    </row>
    <row r="18" spans="2:9">
      <c r="B18" s="11" t="s">
        <v>1679</v>
      </c>
      <c r="C18" s="11" t="s">
        <v>1680</v>
      </c>
      <c r="D18">
        <v>191</v>
      </c>
      <c r="G18" t="s">
        <v>1648</v>
      </c>
      <c r="H18" s="155" t="s">
        <v>1679</v>
      </c>
      <c r="I18" t="s">
        <v>1681</v>
      </c>
    </row>
    <row r="19" spans="2:9" ht="28.9">
      <c r="B19" s="11" t="s">
        <v>1682</v>
      </c>
      <c r="C19" s="11" t="s">
        <v>1683</v>
      </c>
      <c r="D19">
        <v>20</v>
      </c>
      <c r="G19" t="s">
        <v>1648</v>
      </c>
      <c r="H19" s="155" t="s">
        <v>1684</v>
      </c>
      <c r="I19" t="s">
        <v>1685</v>
      </c>
    </row>
    <row r="20" spans="2:9">
      <c r="B20" s="11" t="s">
        <v>1686</v>
      </c>
      <c r="C20" s="11" t="s">
        <v>1687</v>
      </c>
      <c r="D20">
        <v>13</v>
      </c>
      <c r="G20" t="s">
        <v>1648</v>
      </c>
      <c r="H20" s="155" t="s">
        <v>1688</v>
      </c>
      <c r="I20" t="s">
        <v>1685</v>
      </c>
    </row>
    <row r="21" spans="2:9">
      <c r="B21" s="11" t="s">
        <v>1689</v>
      </c>
      <c r="C21" s="11" t="s">
        <v>1690</v>
      </c>
      <c r="D21">
        <v>4</v>
      </c>
      <c r="G21" t="s">
        <v>1648</v>
      </c>
      <c r="H21" s="155" t="s">
        <v>1689</v>
      </c>
      <c r="I21" t="s">
        <v>1663</v>
      </c>
    </row>
    <row r="22" spans="2:9" ht="28.9">
      <c r="B22" s="11" t="s">
        <v>1691</v>
      </c>
      <c r="C22" s="11" t="s">
        <v>1692</v>
      </c>
      <c r="D22">
        <v>6</v>
      </c>
      <c r="G22" t="s">
        <v>1648</v>
      </c>
      <c r="H22" s="155" t="s">
        <v>1691</v>
      </c>
      <c r="I22" t="s">
        <v>1663</v>
      </c>
    </row>
    <row r="23" spans="2:9">
      <c r="B23" s="11" t="s">
        <v>1693</v>
      </c>
      <c r="C23" s="11" t="s">
        <v>1694</v>
      </c>
      <c r="D23">
        <v>2</v>
      </c>
      <c r="G23" t="s">
        <v>1648</v>
      </c>
      <c r="H23" s="155" t="s">
        <v>1693</v>
      </c>
      <c r="I23" t="s">
        <v>1649</v>
      </c>
    </row>
    <row r="24" spans="2:9">
      <c r="B24" s="11" t="s">
        <v>1695</v>
      </c>
      <c r="C24" s="11" t="s">
        <v>1696</v>
      </c>
      <c r="D24">
        <v>8</v>
      </c>
      <c r="G24" t="s">
        <v>1648</v>
      </c>
      <c r="H24" s="155" t="s">
        <v>1695</v>
      </c>
      <c r="I24" t="s">
        <v>1649</v>
      </c>
    </row>
    <row r="25" spans="2:9" ht="28.9">
      <c r="B25" s="11" t="s">
        <v>1697</v>
      </c>
      <c r="C25" s="11" t="s">
        <v>1698</v>
      </c>
      <c r="D25">
        <v>8</v>
      </c>
      <c r="G25" t="s">
        <v>1648</v>
      </c>
      <c r="H25" s="155" t="s">
        <v>1697</v>
      </c>
      <c r="I25" t="s">
        <v>1668</v>
      </c>
    </row>
    <row r="26" spans="2:9">
      <c r="B26" s="11" t="s">
        <v>1699</v>
      </c>
      <c r="C26" s="11" t="s">
        <v>1700</v>
      </c>
      <c r="D26">
        <v>2</v>
      </c>
      <c r="F26" s="156" t="s">
        <v>1701</v>
      </c>
      <c r="G26" t="s">
        <v>1648</v>
      </c>
      <c r="H26" s="155" t="s">
        <v>1699</v>
      </c>
      <c r="I26" t="s">
        <v>1668</v>
      </c>
    </row>
    <row r="27" spans="2:9">
      <c r="B27" s="11" t="s">
        <v>1702</v>
      </c>
      <c r="C27" s="11" t="s">
        <v>1703</v>
      </c>
      <c r="D27">
        <v>3</v>
      </c>
      <c r="E27">
        <v>133</v>
      </c>
      <c r="F27">
        <v>2379</v>
      </c>
      <c r="G27" t="s">
        <v>1648</v>
      </c>
      <c r="H27" s="155" t="s">
        <v>1702</v>
      </c>
      <c r="I27" t="s">
        <v>1704</v>
      </c>
    </row>
    <row r="28" spans="2:9">
      <c r="B28" s="11" t="s">
        <v>1705</v>
      </c>
      <c r="C28" s="11" t="s">
        <v>1703</v>
      </c>
      <c r="D28">
        <v>1</v>
      </c>
      <c r="E28">
        <v>133</v>
      </c>
      <c r="F28">
        <v>10</v>
      </c>
      <c r="G28" t="s">
        <v>1658</v>
      </c>
      <c r="H28" s="155" t="s">
        <v>1705</v>
      </c>
      <c r="I28" t="s">
        <v>1706</v>
      </c>
    </row>
    <row r="29" spans="2:9" ht="28.9">
      <c r="B29" s="11" t="s">
        <v>1707</v>
      </c>
      <c r="C29" s="11" t="s">
        <v>1708</v>
      </c>
      <c r="D29">
        <v>5</v>
      </c>
      <c r="G29" t="s">
        <v>1648</v>
      </c>
      <c r="H29" s="155" t="s">
        <v>1707</v>
      </c>
      <c r="I29" t="s">
        <v>1668</v>
      </c>
    </row>
    <row r="30" spans="2:9">
      <c r="B30" s="11" t="s">
        <v>1709</v>
      </c>
      <c r="C30" s="11" t="s">
        <v>1710</v>
      </c>
      <c r="D30">
        <v>3</v>
      </c>
      <c r="G30" t="s">
        <v>1648</v>
      </c>
      <c r="H30" s="155" t="s">
        <v>1709</v>
      </c>
      <c r="I30" t="s">
        <v>1668</v>
      </c>
    </row>
    <row r="31" spans="2:9">
      <c r="B31" s="11" t="s">
        <v>1711</v>
      </c>
      <c r="C31" s="11" t="s">
        <v>1712</v>
      </c>
      <c r="D31">
        <v>43</v>
      </c>
      <c r="G31" t="s">
        <v>1648</v>
      </c>
      <c r="H31" s="155" t="s">
        <v>1711</v>
      </c>
      <c r="I31" t="s">
        <v>1668</v>
      </c>
    </row>
  </sheetData>
  <autoFilter ref="A3:I3" xr:uid="{3C6DED42-BF63-4912-BEBE-8EA9B25FD0E3}"/>
  <conditionalFormatting sqref="C1:C1048576">
    <cfRule type="duplicateValues" dxfId="8" priority="1"/>
  </conditionalFormatting>
  <hyperlinks>
    <hyperlink ref="H28" r:id="rId1" display="https://kelloggcompany.sharepoint.com/:x:/r/sites/KellanovaONLYProjectNIFTY/Shared Documents/2 - Design/Integrations/Material_Master.xlsx?d=w2fed508a84b74c92abe818f6f5ec0e36&amp;csf=1&amp;web=1&amp;e=FeznOH" xr:uid="{311DB04F-16D0-47B7-90C7-EB3BC3BED958}"/>
    <hyperlink ref="H27" r:id="rId2" display="../../../../../:x:/s/KellanovaPOC/EYSFbvdsfjtKtxKDbiu8a-YBiBtbH21BoRSyeHZPcXpR0w?e=2JSEWA" xr:uid="{66CCC857-0920-4249-B42F-7361AFEDF559}"/>
    <hyperlink ref="H14" r:id="rId3" display="../../../../../:b:/s/KellanovaPOC/EYz9VSgzGwBOqt-aozCESc4BUWkeq9CupaSPdicZ1RVHLw?e=ZxcbUQ" xr:uid="{CA2E0720-0A48-495A-96C1-AD26512E0033}"/>
    <hyperlink ref="H10" r:id="rId4" display="../../../../../:p:/s/KellanovaPOC/EfkUdKdx9BNCg0HB6ggvvSABCv2wpV7AhZvLYqTBEBKfPw?e=pg4gfI" xr:uid="{AA8AAA61-D30A-4010-8082-BE111DA59F27}"/>
    <hyperlink ref="H5" r:id="rId5" display="../../../../../:w:/s/KellanovaPOC/ERkMVncnqRZMgkRKW56_IrEB6uh17uQS8uMs8aqoP3KcZA?e=kCJWXG" xr:uid="{F7E4A9A2-8FB6-4A2C-88DE-D9AD71ACA7FB}"/>
    <hyperlink ref="H15" r:id="rId6" display="../../../../../:w:/s/KellanovaPOC/Ee9JL6iGNBlDosGuh1tvCGsBiIoZzpp1tOC4c6eYhyeaOw?e=qYIANW" xr:uid="{56EA0A4C-7025-40B2-8D54-2496EE39B097}"/>
    <hyperlink ref="H4" r:id="rId7" display="../../../../../:b:/s/KellanovaPOC/Ebq18PuizP5AvpKQVuLtGKkBSRnZdmNJNDyqcSmy_6vuJQ?e=VO2Tlv" xr:uid="{3C566C9E-F0DF-4C85-B8E5-0000E61F24FD}"/>
    <hyperlink ref="H13" r:id="rId8" display="../../../../../:x:/s/KellanovaPOC/EQMkLoArYyZClrTsRliBa7sBMZR-JUYxm060JexDQCxtyw?e=Xtg4nU" xr:uid="{10590292-2B42-4A62-B340-1F64B4527EAB}"/>
    <hyperlink ref="H16" r:id="rId9" display="../../../../../:p:/s/KellanovaPOC/ERKlswYmJBdDjR_NjhWaLrUB07C9LWoV2-oVien5C8p-Eg?e=1VfZDK" xr:uid="{4425E892-3527-40B1-9B31-C785D132A365}"/>
    <hyperlink ref="H9" r:id="rId10" display="../../../../../:p:/s/KellanovaPOC/EVqJ0FcTgPZHiCc1YYAGeQcBOcE31Jo8GjTD4e1pDDcPFQ?e=JkqzBw" xr:uid="{7E3AF76E-CE24-4352-8531-536FE1EDE6C5}"/>
    <hyperlink ref="H18" r:id="rId11" display="../../../../../:b:/s/KellanovaPOC/ESU_GwqgXlpFgjEfRgl-2AwBAmel7E_d1F8PcxKt_Nskug?e=1SZh1a" xr:uid="{FD3E751D-5291-409D-8A70-E14600339947}"/>
    <hyperlink ref="H6" r:id="rId12" display="../../../../../:b:/s/KellanovaPOC/ETZy2bSJUMlNr_4UjTycDj4BtVjRMr-bRa044NwE6-LLrg?e=xGeW3h" xr:uid="{81B07701-C3C1-4487-830A-E56CC66321FE}"/>
    <hyperlink ref="H17" r:id="rId13" display="../../../../../:p:/s/KellanovaPOC/Eeava2hFKR9IqQjtF1KFtVgBksQS41v0Xy6Hd0GYgZInvw?e=qU26uD" xr:uid="{0D24D1C9-89D5-49E1-AC12-898F4CB9716A}"/>
    <hyperlink ref="H30" r:id="rId14" display="../../../../../:x:/s/KellanovaPOC/ERq7D1nhUbROtuEv3I-7bqwBecTIJ0gBqHWl1e6--mkjCQ?e=QRRzXF" xr:uid="{1119F19C-BAFD-489E-B68F-FD344DDFF728}"/>
    <hyperlink ref="H21" r:id="rId15" display="../../../../../:p:/s/KellanovaPOC/ESFqvPrnNJ9CrOsL9kas1fwBUK_-Ime5btu109ictFa_dQ?e=7SmvYU" xr:uid="{6D924B18-57AC-427D-B503-6210D3B5188A}"/>
    <hyperlink ref="H22" r:id="rId16" display="../../../../../:p:/s/KellanovaPOC/EYVHKfwsjLRGnu9B8BIqEKgBcYN_F96UFeOGEozw4Qjq6g?e=r8a9cX" xr:uid="{00D3D981-4F86-4795-A19D-1E75450C722E}"/>
    <hyperlink ref="H26" r:id="rId17" display="../../../../../:x:/s/KellanovaPOC/EZHsm2_Aq_dNg1d0c1ZdJU8BKfDE-RN8lPpvrNAjjbYeJw?e=hKeKx1" xr:uid="{12469B57-3FF2-4C0C-B3DB-1EA8DD75A3A9}"/>
    <hyperlink ref="H23" r:id="rId18" display="../../../../../:p:/s/KellanovaPOC/ET_Y4fFtaOxEv-rqn8Czhr4BMKWmZVTT7yOqPulrwBlvUw?e=4hrQ0P" xr:uid="{B1AD9721-51CB-4E8A-A5F7-779245059001}"/>
    <hyperlink ref="H12" r:id="rId19" display="../../../../../:w:/s/KellanovaPOC/Efs25tddciBGnhNQm7ds1NYBUOxg0NYX6FgG_4LTLnGFmQ?e=hnkXAl" xr:uid="{CA4F8F42-3E40-4B89-929A-97752C53DD7F}"/>
    <hyperlink ref="H11" r:id="rId20" display="../../../../../:p:/s/KellanovaPOC/EdMdCqpu0Y9NsKwQiOgCOpcB2hJykBNGrhZuwfoUByg6Cg?e=fuTjmB" xr:uid="{F37613B9-568C-4F35-8B80-8CE4D1342B0A}"/>
    <hyperlink ref="H25" r:id="rId21" display="../../../../../:p:/s/KellanovaPOC/ESiNglx3w59Et8tYeuF5lvEBDbCGBCLYi0cb4oJCtmC41w?e=UtoIn8" xr:uid="{78255444-61DE-4256-9D0C-38D8C66D9E13}"/>
    <hyperlink ref="H29" r:id="rId22" display="../../../../../:w:/s/KellanovaPOC/ESy0Ch2kHQNJiShQdfEsA1QBgfhFwuZf6TGG7M4vQRcaCg?e=UGoGf9" xr:uid="{4855F2DC-A847-42EC-8A87-7FBB19E85483}"/>
    <hyperlink ref="H31" r:id="rId23" display="../../../../../:b:/s/KellanovaPOC/EfDBJz03UkxMhnipWGMPFMYBDe7biGBTIBPLXPwgaUrcNg?e=nf4Oi0" xr:uid="{3632BE89-E212-4701-8D6A-9BEB91075D86}"/>
    <hyperlink ref="H19" r:id="rId24" display="../../../../../:f:/s/KellanovaPOC/EqZMMo6VGWVOhSuHpX_Rp-cBcOUst6-ZmV67nANlvnlGmA?e=wFbo3U" xr:uid="{243D2903-5574-496F-9F8F-8AA28632E451}"/>
    <hyperlink ref="H20" r:id="rId25" display="../../../../../:f:/s/KellanovaPOC/ErHJntwb9J9Dl9dL1yCo0vkBfQGUamGVgA2BrG-rlLhktQ?e=W8RePS" xr:uid="{5AFD13AD-B073-490D-A2C3-7BE1269918B4}"/>
    <hyperlink ref="H7" r:id="rId26" display="../../../../../:x:/s/KellanovaPOC/EW5vz-Az0RVPqLrrFMUekB8BJyhvdMSyxSE5Bejr4axotQ?e=hm8X5J" xr:uid="{BE4C8238-B5F7-4D3D-B69F-5F20B04EB6CA}"/>
    <hyperlink ref="H24" r:id="rId27" display="../../../../../:x:/s/KellanovaPOC/Eb9VuxIRKTdGsomj6rahEagBUvX1pxfrrfX2pl6Fj3mkGw?e=LRLfSB" xr:uid="{A1B88641-88E6-48AC-8EDC-7BA17DE077A7}"/>
    <hyperlink ref="H8" r:id="rId28" display="https://kelloggcompany.sharepoint.com/:x:/r/sites/KellanovaONLYProjectNIFTY/Shared Documents/2 - Design/Integrations/NIF_Example.xlsx?d=wbe63df083259490daed5b44545a13ebf&amp;csf=1&amp;web=1&amp;e=8sCKDp" xr:uid="{605057B3-DA11-4D6A-B978-193C0DF32258}"/>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590D9-596D-40AE-B136-42FD541B842D}">
  <dimension ref="A1:C102"/>
  <sheetViews>
    <sheetView topLeftCell="B1" workbookViewId="0">
      <pane ySplit="3" topLeftCell="A5" activePane="bottomLeft" state="frozen"/>
      <selection pane="bottomLeft" activeCell="C5" sqref="C5"/>
    </sheetView>
  </sheetViews>
  <sheetFormatPr defaultRowHeight="14.45"/>
  <cols>
    <col min="1" max="1" width="46.7109375" style="11" customWidth="1"/>
    <col min="2" max="2" width="65.42578125" style="11" customWidth="1"/>
    <col min="3" max="3" width="95.28515625" style="11" customWidth="1"/>
    <col min="4" max="4" width="39.7109375" customWidth="1"/>
  </cols>
  <sheetData>
    <row r="1" spans="1:3">
      <c r="A1" s="124" t="s">
        <v>1713</v>
      </c>
    </row>
    <row r="3" spans="1:3" s="1" customFormat="1">
      <c r="A3" s="12" t="s">
        <v>1714</v>
      </c>
      <c r="B3" s="12" t="s">
        <v>1715</v>
      </c>
      <c r="C3" s="12" t="s">
        <v>1716</v>
      </c>
    </row>
    <row r="4" spans="1:3" ht="43.9" customHeight="1">
      <c r="A4" s="11" t="s">
        <v>1673</v>
      </c>
      <c r="B4" s="141" t="s">
        <v>1717</v>
      </c>
      <c r="C4" s="142" t="s">
        <v>1718</v>
      </c>
    </row>
    <row r="5" spans="1:3" ht="43.15">
      <c r="A5" s="11" t="s">
        <v>1673</v>
      </c>
      <c r="B5" s="141" t="s">
        <v>1719</v>
      </c>
      <c r="C5" s="142" t="s">
        <v>1720</v>
      </c>
    </row>
    <row r="6" spans="1:3" ht="43.15">
      <c r="A6" s="11" t="s">
        <v>1673</v>
      </c>
      <c r="B6" s="141" t="s">
        <v>1721</v>
      </c>
      <c r="C6" s="142" t="s">
        <v>1722</v>
      </c>
    </row>
    <row r="7" spans="1:3">
      <c r="A7" s="11" t="s">
        <v>1673</v>
      </c>
      <c r="B7" s="141" t="s">
        <v>1723</v>
      </c>
      <c r="C7" s="142" t="s">
        <v>1724</v>
      </c>
    </row>
    <row r="8" spans="1:3" ht="28.9">
      <c r="A8" s="11" t="s">
        <v>1673</v>
      </c>
      <c r="B8" s="141" t="s">
        <v>1725</v>
      </c>
      <c r="C8" s="139" t="s">
        <v>1726</v>
      </c>
    </row>
    <row r="9" spans="1:3">
      <c r="A9" s="11" t="s">
        <v>1673</v>
      </c>
      <c r="B9" s="141" t="s">
        <v>1727</v>
      </c>
      <c r="C9" s="142" t="s">
        <v>1728</v>
      </c>
    </row>
    <row r="10" spans="1:3" ht="28.9">
      <c r="A10" s="11" t="s">
        <v>1673</v>
      </c>
      <c r="B10" s="11" t="s">
        <v>1729</v>
      </c>
      <c r="C10" s="139" t="s">
        <v>1730</v>
      </c>
    </row>
    <row r="11" spans="1:3" ht="28.9">
      <c r="A11" s="11" t="s">
        <v>1673</v>
      </c>
      <c r="B11" s="141" t="s">
        <v>1731</v>
      </c>
      <c r="C11" s="142" t="s">
        <v>1732</v>
      </c>
    </row>
    <row r="12" spans="1:3">
      <c r="A12" s="11" t="s">
        <v>1673</v>
      </c>
      <c r="B12" s="11" t="s">
        <v>1733</v>
      </c>
      <c r="C12" s="139" t="s">
        <v>1734</v>
      </c>
    </row>
    <row r="13" spans="1:3">
      <c r="A13" s="11" t="s">
        <v>1673</v>
      </c>
      <c r="B13" s="11" t="s">
        <v>1735</v>
      </c>
      <c r="C13" s="139" t="s">
        <v>1734</v>
      </c>
    </row>
    <row r="14" spans="1:3">
      <c r="A14" s="11" t="s">
        <v>1673</v>
      </c>
      <c r="B14" s="11" t="s">
        <v>1736</v>
      </c>
      <c r="C14" s="139" t="s">
        <v>1734</v>
      </c>
    </row>
    <row r="15" spans="1:3">
      <c r="A15" s="11" t="s">
        <v>1673</v>
      </c>
      <c r="B15" s="11" t="s">
        <v>1737</v>
      </c>
      <c r="C15" s="139" t="s">
        <v>1734</v>
      </c>
    </row>
    <row r="16" spans="1:3">
      <c r="A16" s="11" t="s">
        <v>1673</v>
      </c>
      <c r="B16" s="11" t="s">
        <v>1738</v>
      </c>
      <c r="C16" s="139" t="s">
        <v>1734</v>
      </c>
    </row>
    <row r="17" spans="1:3">
      <c r="A17" s="11" t="s">
        <v>1673</v>
      </c>
      <c r="B17" s="11" t="s">
        <v>1739</v>
      </c>
      <c r="C17" s="139" t="s">
        <v>1734</v>
      </c>
    </row>
    <row r="18" spans="1:3">
      <c r="A18" s="11" t="s">
        <v>1673</v>
      </c>
      <c r="B18" s="11" t="s">
        <v>1740</v>
      </c>
      <c r="C18" s="139" t="s">
        <v>1734</v>
      </c>
    </row>
    <row r="19" spans="1:3" ht="28.9">
      <c r="A19" s="11" t="s">
        <v>1673</v>
      </c>
      <c r="B19" s="11" t="s">
        <v>1741</v>
      </c>
      <c r="C19" s="139" t="s">
        <v>1734</v>
      </c>
    </row>
    <row r="20" spans="1:3">
      <c r="A20" s="11" t="s">
        <v>1673</v>
      </c>
      <c r="B20" s="11" t="s">
        <v>1742</v>
      </c>
      <c r="C20" s="139" t="s">
        <v>1734</v>
      </c>
    </row>
    <row r="21" spans="1:3">
      <c r="A21" s="11" t="s">
        <v>1673</v>
      </c>
      <c r="B21" s="11" t="s">
        <v>1743</v>
      </c>
      <c r="C21" s="139" t="s">
        <v>1734</v>
      </c>
    </row>
    <row r="22" spans="1:3">
      <c r="A22" s="11" t="s">
        <v>1673</v>
      </c>
      <c r="B22" s="11" t="s">
        <v>1744</v>
      </c>
      <c r="C22" s="139" t="s">
        <v>1734</v>
      </c>
    </row>
    <row r="23" spans="1:3">
      <c r="A23" s="11" t="s">
        <v>1673</v>
      </c>
      <c r="B23" s="11" t="s">
        <v>1745</v>
      </c>
      <c r="C23" s="139" t="s">
        <v>1734</v>
      </c>
    </row>
    <row r="24" spans="1:3">
      <c r="A24" s="11" t="s">
        <v>1673</v>
      </c>
      <c r="B24" s="11" t="s">
        <v>1746</v>
      </c>
      <c r="C24" s="139" t="s">
        <v>1734</v>
      </c>
    </row>
    <row r="25" spans="1:3" ht="28.9">
      <c r="A25" s="11" t="s">
        <v>1673</v>
      </c>
      <c r="B25" s="11" t="s">
        <v>1747</v>
      </c>
      <c r="C25" s="139" t="s">
        <v>1734</v>
      </c>
    </row>
    <row r="26" spans="1:3">
      <c r="A26" s="11" t="s">
        <v>1673</v>
      </c>
      <c r="B26" s="11" t="s">
        <v>1748</v>
      </c>
      <c r="C26" s="139" t="s">
        <v>1734</v>
      </c>
    </row>
    <row r="27" spans="1:3">
      <c r="A27" s="11" t="s">
        <v>1673</v>
      </c>
      <c r="B27" s="11" t="s">
        <v>1749</v>
      </c>
      <c r="C27" s="139" t="s">
        <v>1734</v>
      </c>
    </row>
    <row r="28" spans="1:3">
      <c r="A28" s="11" t="s">
        <v>1750</v>
      </c>
      <c r="B28" s="11" t="s">
        <v>1751</v>
      </c>
      <c r="C28" s="11" t="s">
        <v>409</v>
      </c>
    </row>
    <row r="29" spans="1:3">
      <c r="A29" s="11" t="s">
        <v>1750</v>
      </c>
      <c r="B29" s="11" t="s">
        <v>1752</v>
      </c>
      <c r="C29" s="11" t="s">
        <v>566</v>
      </c>
    </row>
    <row r="30" spans="1:3">
      <c r="A30" s="11" t="s">
        <v>1750</v>
      </c>
      <c r="B30" s="11" t="s">
        <v>1753</v>
      </c>
      <c r="C30" s="11" t="s">
        <v>898</v>
      </c>
    </row>
    <row r="31" spans="1:3">
      <c r="A31" s="11" t="s">
        <v>1750</v>
      </c>
      <c r="B31" s="11" t="s">
        <v>1754</v>
      </c>
      <c r="C31" s="11" t="s">
        <v>1755</v>
      </c>
    </row>
    <row r="32" spans="1:3">
      <c r="A32" s="11" t="s">
        <v>1750</v>
      </c>
      <c r="B32" s="11" t="s">
        <v>1756</v>
      </c>
      <c r="C32" s="11" t="s">
        <v>1757</v>
      </c>
    </row>
    <row r="33" spans="1:3">
      <c r="A33" s="11" t="s">
        <v>1750</v>
      </c>
      <c r="B33" s="11" t="s">
        <v>1758</v>
      </c>
      <c r="C33" s="11" t="s">
        <v>1759</v>
      </c>
    </row>
    <row r="34" spans="1:3">
      <c r="A34" s="11" t="s">
        <v>1750</v>
      </c>
      <c r="B34" s="11" t="s">
        <v>1760</v>
      </c>
      <c r="C34" s="11" t="s">
        <v>1761</v>
      </c>
    </row>
    <row r="35" spans="1:3">
      <c r="A35" s="11" t="s">
        <v>1750</v>
      </c>
      <c r="B35" s="11" t="s">
        <v>1762</v>
      </c>
      <c r="C35" s="11" t="s">
        <v>1763</v>
      </c>
    </row>
    <row r="36" spans="1:3">
      <c r="A36" s="11" t="s">
        <v>1750</v>
      </c>
      <c r="B36" s="11" t="s">
        <v>1764</v>
      </c>
      <c r="C36" s="11" t="s">
        <v>1765</v>
      </c>
    </row>
    <row r="37" spans="1:3">
      <c r="A37" s="11" t="s">
        <v>1750</v>
      </c>
      <c r="B37" s="11" t="s">
        <v>1766</v>
      </c>
      <c r="C37" s="11" t="s">
        <v>1767</v>
      </c>
    </row>
    <row r="38" spans="1:3">
      <c r="A38" s="11" t="s">
        <v>1750</v>
      </c>
      <c r="B38" s="11" t="s">
        <v>1768</v>
      </c>
      <c r="C38" s="11" t="s">
        <v>1769</v>
      </c>
    </row>
    <row r="39" spans="1:3">
      <c r="A39" s="11" t="s">
        <v>1750</v>
      </c>
      <c r="B39" s="11" t="s">
        <v>1770</v>
      </c>
      <c r="C39" s="11" t="s">
        <v>1771</v>
      </c>
    </row>
    <row r="40" spans="1:3">
      <c r="A40" s="11" t="s">
        <v>1750</v>
      </c>
      <c r="B40" s="11" t="s">
        <v>1772</v>
      </c>
      <c r="C40" s="11" t="s">
        <v>1453</v>
      </c>
    </row>
    <row r="41" spans="1:3">
      <c r="A41" s="11" t="s">
        <v>1750</v>
      </c>
      <c r="B41" s="11" t="s">
        <v>1773</v>
      </c>
      <c r="C41" s="11" t="s">
        <v>633</v>
      </c>
    </row>
    <row r="42" spans="1:3">
      <c r="A42" s="11" t="s">
        <v>1750</v>
      </c>
      <c r="B42" s="11" t="s">
        <v>1774</v>
      </c>
      <c r="C42" s="11" t="s">
        <v>1022</v>
      </c>
    </row>
    <row r="43" spans="1:3">
      <c r="A43" s="11" t="s">
        <v>1750</v>
      </c>
      <c r="B43" s="11" t="s">
        <v>1775</v>
      </c>
      <c r="C43" s="11" t="s">
        <v>751</v>
      </c>
    </row>
    <row r="44" spans="1:3">
      <c r="A44" s="11" t="s">
        <v>1750</v>
      </c>
      <c r="B44" s="11" t="s">
        <v>1776</v>
      </c>
      <c r="C44" s="11" t="s">
        <v>1777</v>
      </c>
    </row>
    <row r="45" spans="1:3">
      <c r="A45" s="11" t="s">
        <v>1750</v>
      </c>
      <c r="B45" s="11" t="s">
        <v>1778</v>
      </c>
      <c r="C45" s="11" t="s">
        <v>1779</v>
      </c>
    </row>
    <row r="46" spans="1:3">
      <c r="A46" s="11" t="s">
        <v>1780</v>
      </c>
      <c r="B46" s="11" t="s">
        <v>1781</v>
      </c>
      <c r="C46" s="11" t="s">
        <v>1782</v>
      </c>
    </row>
    <row r="47" spans="1:3">
      <c r="A47" s="11" t="s">
        <v>1780</v>
      </c>
      <c r="B47" s="11" t="s">
        <v>1783</v>
      </c>
      <c r="C47" s="11" t="s">
        <v>1784</v>
      </c>
    </row>
    <row r="48" spans="1:3" ht="28.9">
      <c r="A48" s="11" t="s">
        <v>1780</v>
      </c>
      <c r="B48" s="11" t="s">
        <v>1785</v>
      </c>
      <c r="C48" s="11" t="s">
        <v>1786</v>
      </c>
    </row>
    <row r="49" spans="1:3" ht="28.9">
      <c r="A49" s="11" t="s">
        <v>1780</v>
      </c>
      <c r="B49" s="11" t="s">
        <v>1787</v>
      </c>
      <c r="C49" s="11" t="s">
        <v>1788</v>
      </c>
    </row>
    <row r="50" spans="1:3">
      <c r="A50" s="11" t="s">
        <v>1780</v>
      </c>
      <c r="B50" s="11" t="s">
        <v>1789</v>
      </c>
      <c r="C50" s="11" t="s">
        <v>1790</v>
      </c>
    </row>
    <row r="51" spans="1:3">
      <c r="A51" s="11" t="s">
        <v>1780</v>
      </c>
      <c r="B51" s="11" t="s">
        <v>1791</v>
      </c>
      <c r="C51" s="11" t="s">
        <v>1792</v>
      </c>
    </row>
    <row r="52" spans="1:3">
      <c r="A52" s="11" t="s">
        <v>1780</v>
      </c>
      <c r="B52" s="11" t="s">
        <v>1793</v>
      </c>
      <c r="C52" s="11" t="s">
        <v>1794</v>
      </c>
    </row>
    <row r="53" spans="1:3" ht="28.9">
      <c r="A53" s="11" t="s">
        <v>1780</v>
      </c>
      <c r="B53" s="11" t="s">
        <v>1795</v>
      </c>
      <c r="C53" s="11" t="s">
        <v>1796</v>
      </c>
    </row>
    <row r="54" spans="1:3">
      <c r="A54" s="11" t="s">
        <v>1780</v>
      </c>
      <c r="B54" s="11" t="s">
        <v>1797</v>
      </c>
      <c r="C54" s="11" t="s">
        <v>1796</v>
      </c>
    </row>
    <row r="55" spans="1:3" ht="28.9">
      <c r="A55" s="11" t="s">
        <v>1780</v>
      </c>
      <c r="B55" s="11" t="s">
        <v>1798</v>
      </c>
      <c r="C55" s="11" t="s">
        <v>1799</v>
      </c>
    </row>
    <row r="56" spans="1:3" ht="28.9">
      <c r="A56" s="11" t="s">
        <v>1780</v>
      </c>
      <c r="B56" s="11" t="s">
        <v>1800</v>
      </c>
      <c r="C56" s="11" t="s">
        <v>1801</v>
      </c>
    </row>
    <row r="57" spans="1:3" ht="28.9">
      <c r="A57" s="11" t="s">
        <v>1780</v>
      </c>
      <c r="B57" s="11" t="s">
        <v>1802</v>
      </c>
      <c r="C57" s="11" t="s">
        <v>1803</v>
      </c>
    </row>
    <row r="58" spans="1:3">
      <c r="A58" s="11" t="s">
        <v>1780</v>
      </c>
      <c r="B58" s="11" t="s">
        <v>1804</v>
      </c>
      <c r="C58" s="11" t="s">
        <v>1805</v>
      </c>
    </row>
    <row r="59" spans="1:3">
      <c r="A59" s="11" t="s">
        <v>1780</v>
      </c>
      <c r="B59" s="11" t="s">
        <v>1806</v>
      </c>
      <c r="C59" s="11" t="s">
        <v>1807</v>
      </c>
    </row>
    <row r="60" spans="1:3">
      <c r="A60" s="11" t="s">
        <v>1780</v>
      </c>
      <c r="B60" s="11" t="s">
        <v>1808</v>
      </c>
      <c r="C60" s="11" t="s">
        <v>1809</v>
      </c>
    </row>
    <row r="61" spans="1:3" ht="28.9">
      <c r="A61" s="11" t="s">
        <v>1780</v>
      </c>
      <c r="B61" s="11" t="s">
        <v>1810</v>
      </c>
      <c r="C61" s="11" t="s">
        <v>1811</v>
      </c>
    </row>
    <row r="62" spans="1:3" ht="28.9">
      <c r="A62" s="11" t="s">
        <v>1780</v>
      </c>
      <c r="B62" s="11" t="s">
        <v>1812</v>
      </c>
      <c r="C62" s="11" t="s">
        <v>1803</v>
      </c>
    </row>
    <row r="63" spans="1:3">
      <c r="A63" s="11" t="s">
        <v>1780</v>
      </c>
      <c r="B63" s="11" t="s">
        <v>1813</v>
      </c>
      <c r="C63" s="11" t="s">
        <v>1805</v>
      </c>
    </row>
    <row r="64" spans="1:3">
      <c r="A64" s="11" t="s">
        <v>1780</v>
      </c>
      <c r="B64" s="11" t="s">
        <v>1814</v>
      </c>
      <c r="C64" s="11" t="s">
        <v>1807</v>
      </c>
    </row>
    <row r="65" spans="1:3">
      <c r="A65" s="11" t="s">
        <v>1780</v>
      </c>
      <c r="B65" s="11" t="s">
        <v>1815</v>
      </c>
      <c r="C65" s="11" t="s">
        <v>1809</v>
      </c>
    </row>
    <row r="66" spans="1:3" ht="28.9">
      <c r="A66" s="11" t="s">
        <v>1780</v>
      </c>
      <c r="B66" s="11" t="s">
        <v>1816</v>
      </c>
      <c r="C66" s="11" t="s">
        <v>1811</v>
      </c>
    </row>
    <row r="67" spans="1:3" ht="28.9">
      <c r="A67" s="11" t="s">
        <v>1780</v>
      </c>
      <c r="B67" s="11" t="s">
        <v>1817</v>
      </c>
      <c r="C67" s="11" t="s">
        <v>1818</v>
      </c>
    </row>
    <row r="68" spans="1:3">
      <c r="A68" s="11" t="s">
        <v>1780</v>
      </c>
      <c r="B68" s="11" t="s">
        <v>1819</v>
      </c>
      <c r="C68" s="11" t="s">
        <v>1820</v>
      </c>
    </row>
    <row r="69" spans="1:3" ht="28.9">
      <c r="A69" s="11" t="s">
        <v>1780</v>
      </c>
      <c r="B69" s="11" t="s">
        <v>1821</v>
      </c>
      <c r="C69" s="11" t="s">
        <v>1822</v>
      </c>
    </row>
    <row r="70" spans="1:3">
      <c r="A70" s="11" t="s">
        <v>1780</v>
      </c>
      <c r="B70" s="11" t="s">
        <v>1823</v>
      </c>
      <c r="C70" s="11" t="s">
        <v>1824</v>
      </c>
    </row>
    <row r="71" spans="1:3">
      <c r="A71" s="11" t="s">
        <v>1780</v>
      </c>
      <c r="B71" t="s">
        <v>1825</v>
      </c>
      <c r="C71" s="11" t="s">
        <v>1826</v>
      </c>
    </row>
    <row r="72" spans="1:3">
      <c r="A72" s="11" t="s">
        <v>1780</v>
      </c>
      <c r="B72" t="s">
        <v>1827</v>
      </c>
      <c r="C72" s="11" t="s">
        <v>1828</v>
      </c>
    </row>
    <row r="73" spans="1:3">
      <c r="A73" s="11" t="s">
        <v>1780</v>
      </c>
      <c r="B73" t="s">
        <v>1829</v>
      </c>
      <c r="C73" s="11" t="s">
        <v>1830</v>
      </c>
    </row>
    <row r="74" spans="1:3">
      <c r="A74" s="11" t="s">
        <v>1780</v>
      </c>
      <c r="B74" t="s">
        <v>1831</v>
      </c>
      <c r="C74" s="11" t="s">
        <v>1832</v>
      </c>
    </row>
    <row r="75" spans="1:3">
      <c r="A75" s="11" t="s">
        <v>1780</v>
      </c>
      <c r="B75" t="s">
        <v>1833</v>
      </c>
      <c r="C75" s="11" t="s">
        <v>1834</v>
      </c>
    </row>
    <row r="76" spans="1:3">
      <c r="A76" s="11" t="s">
        <v>1780</v>
      </c>
      <c r="B76" t="s">
        <v>1835</v>
      </c>
      <c r="C76" s="11" t="s">
        <v>1836</v>
      </c>
    </row>
    <row r="77" spans="1:3">
      <c r="A77" s="11" t="s">
        <v>1780</v>
      </c>
      <c r="B77" t="s">
        <v>1837</v>
      </c>
      <c r="C77" s="11" t="s">
        <v>1836</v>
      </c>
    </row>
    <row r="78" spans="1:3">
      <c r="A78" s="11" t="s">
        <v>1780</v>
      </c>
      <c r="B78" t="s">
        <v>1838</v>
      </c>
      <c r="C78" s="11" t="s">
        <v>1839</v>
      </c>
    </row>
    <row r="79" spans="1:3">
      <c r="A79" s="11" t="s">
        <v>1780</v>
      </c>
      <c r="B79" t="s">
        <v>1840</v>
      </c>
      <c r="C79" s="11" t="s">
        <v>1841</v>
      </c>
    </row>
    <row r="80" spans="1:3">
      <c r="A80" s="11" t="s">
        <v>1780</v>
      </c>
      <c r="B80" t="s">
        <v>1842</v>
      </c>
      <c r="C80" s="11" t="s">
        <v>1843</v>
      </c>
    </row>
    <row r="81" spans="1:3">
      <c r="A81" s="11" t="s">
        <v>1780</v>
      </c>
      <c r="B81" t="s">
        <v>1844</v>
      </c>
    </row>
    <row r="82" spans="1:3">
      <c r="A82" s="11" t="s">
        <v>1780</v>
      </c>
      <c r="B82" t="s">
        <v>1845</v>
      </c>
    </row>
    <row r="83" spans="1:3">
      <c r="A83" s="11" t="s">
        <v>1780</v>
      </c>
      <c r="B83" t="s">
        <v>1846</v>
      </c>
    </row>
    <row r="84" spans="1:3">
      <c r="A84" s="11" t="s">
        <v>1780</v>
      </c>
      <c r="B84" t="s">
        <v>1847</v>
      </c>
      <c r="C84" s="11" t="s">
        <v>1848</v>
      </c>
    </row>
    <row r="85" spans="1:3">
      <c r="A85" s="11" t="s">
        <v>1780</v>
      </c>
      <c r="B85" t="s">
        <v>1849</v>
      </c>
    </row>
    <row r="86" spans="1:3">
      <c r="A86" s="11" t="s">
        <v>1780</v>
      </c>
      <c r="B86" t="s">
        <v>1850</v>
      </c>
      <c r="C86" s="11" t="s">
        <v>1851</v>
      </c>
    </row>
    <row r="87" spans="1:3">
      <c r="A87" s="11" t="s">
        <v>1780</v>
      </c>
      <c r="B87" t="s">
        <v>1852</v>
      </c>
      <c r="C87" s="11" t="s">
        <v>1853</v>
      </c>
    </row>
    <row r="88" spans="1:3">
      <c r="A88" s="11" t="s">
        <v>1780</v>
      </c>
      <c r="B88" t="s">
        <v>1854</v>
      </c>
    </row>
    <row r="89" spans="1:3">
      <c r="A89" s="11" t="s">
        <v>1780</v>
      </c>
      <c r="B89" t="s">
        <v>1855</v>
      </c>
    </row>
    <row r="90" spans="1:3">
      <c r="A90" s="11" t="s">
        <v>1780</v>
      </c>
      <c r="B90" t="s">
        <v>1856</v>
      </c>
      <c r="C90" s="11" t="s">
        <v>1857</v>
      </c>
    </row>
    <row r="91" spans="1:3">
      <c r="A91" s="11" t="s">
        <v>1780</v>
      </c>
      <c r="B91" t="s">
        <v>1858</v>
      </c>
      <c r="C91" s="11" t="s">
        <v>1859</v>
      </c>
    </row>
    <row r="92" spans="1:3">
      <c r="A92" s="11" t="s">
        <v>1780</v>
      </c>
      <c r="B92" t="s">
        <v>1860</v>
      </c>
      <c r="C92" s="11" t="s">
        <v>1861</v>
      </c>
    </row>
    <row r="93" spans="1:3">
      <c r="A93" s="11" t="s">
        <v>1780</v>
      </c>
      <c r="B93" t="s">
        <v>1862</v>
      </c>
      <c r="C93" s="11" t="s">
        <v>1861</v>
      </c>
    </row>
    <row r="94" spans="1:3">
      <c r="A94" s="11" t="s">
        <v>1780</v>
      </c>
      <c r="B94" t="s">
        <v>1863</v>
      </c>
      <c r="C94" s="11" t="s">
        <v>1864</v>
      </c>
    </row>
    <row r="95" spans="1:3">
      <c r="A95" s="11" t="s">
        <v>1780</v>
      </c>
      <c r="B95" t="s">
        <v>1865</v>
      </c>
      <c r="C95" s="11" t="s">
        <v>1866</v>
      </c>
    </row>
    <row r="96" spans="1:3">
      <c r="A96" s="11" t="s">
        <v>1780</v>
      </c>
      <c r="B96" t="s">
        <v>1867</v>
      </c>
      <c r="C96" s="11" t="s">
        <v>1868</v>
      </c>
    </row>
    <row r="97" spans="1:3">
      <c r="A97" s="11" t="s">
        <v>1780</v>
      </c>
      <c r="B97" t="s">
        <v>1869</v>
      </c>
      <c r="C97" s="11" t="s">
        <v>1870</v>
      </c>
    </row>
    <row r="98" spans="1:3">
      <c r="A98" s="11" t="s">
        <v>1780</v>
      </c>
      <c r="B98" t="s">
        <v>1871</v>
      </c>
      <c r="C98" s="11" t="s">
        <v>1872</v>
      </c>
    </row>
    <row r="99" spans="1:3">
      <c r="A99" s="11" t="s">
        <v>1780</v>
      </c>
      <c r="B99" t="s">
        <v>1873</v>
      </c>
      <c r="C99" s="11" t="s">
        <v>1874</v>
      </c>
    </row>
    <row r="100" spans="1:3" ht="100.9" customHeight="1">
      <c r="A100" s="11" t="s">
        <v>1875</v>
      </c>
      <c r="B100" s="11" t="s">
        <v>1876</v>
      </c>
      <c r="C100" s="11" t="s">
        <v>1877</v>
      </c>
    </row>
    <row r="101" spans="1:3">
      <c r="B101" s="128" t="s">
        <v>1878</v>
      </c>
      <c r="C101" s="128" t="s">
        <v>1879</v>
      </c>
    </row>
    <row r="102" spans="1:3">
      <c r="B102" s="11" t="s">
        <v>1880</v>
      </c>
      <c r="C102" s="128" t="s">
        <v>1879</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34FC5-92B8-42DA-8767-52D6310124A9}">
  <dimension ref="B2:B41"/>
  <sheetViews>
    <sheetView workbookViewId="0">
      <selection activeCell="B4" sqref="B4"/>
    </sheetView>
  </sheetViews>
  <sheetFormatPr defaultRowHeight="14.45"/>
  <cols>
    <col min="2" max="2" width="79.85546875" customWidth="1"/>
  </cols>
  <sheetData>
    <row r="2" spans="2:2">
      <c r="B2" t="s">
        <v>1881</v>
      </c>
    </row>
    <row r="3" spans="2:2" ht="15.6">
      <c r="B3" s="134" t="s">
        <v>1723</v>
      </c>
    </row>
    <row r="4" spans="2:2" ht="15.6">
      <c r="B4" s="134"/>
    </row>
    <row r="5" spans="2:2" ht="15.6">
      <c r="B5" s="134"/>
    </row>
    <row r="6" spans="2:2" ht="15.6">
      <c r="B6" s="135" t="s">
        <v>1882</v>
      </c>
    </row>
    <row r="7" spans="2:2" ht="15.6">
      <c r="B7" s="136" t="s">
        <v>1883</v>
      </c>
    </row>
    <row r="8" spans="2:2" ht="15.6">
      <c r="B8" s="137" t="s">
        <v>1884</v>
      </c>
    </row>
    <row r="9" spans="2:2">
      <c r="B9" s="138" t="s">
        <v>1885</v>
      </c>
    </row>
    <row r="10" spans="2:2">
      <c r="B10" s="138" t="s">
        <v>1886</v>
      </c>
    </row>
    <row r="11" spans="2:2" ht="15.6">
      <c r="B11" s="136" t="s">
        <v>1887</v>
      </c>
    </row>
    <row r="12" spans="2:2">
      <c r="B12" s="138" t="s">
        <v>1888</v>
      </c>
    </row>
    <row r="13" spans="2:2">
      <c r="B13" s="138" t="s">
        <v>1889</v>
      </c>
    </row>
    <row r="14" spans="2:2">
      <c r="B14" s="138" t="s">
        <v>1890</v>
      </c>
    </row>
    <row r="15" spans="2:2">
      <c r="B15" s="138" t="s">
        <v>1891</v>
      </c>
    </row>
    <row r="16" spans="2:2">
      <c r="B16" s="138" t="s">
        <v>1892</v>
      </c>
    </row>
    <row r="17" spans="2:2" ht="15.6">
      <c r="B17" s="136" t="s">
        <v>1893</v>
      </c>
    </row>
    <row r="18" spans="2:2">
      <c r="B18" s="138" t="s">
        <v>1894</v>
      </c>
    </row>
    <row r="19" spans="2:2">
      <c r="B19" s="138" t="s">
        <v>1895</v>
      </c>
    </row>
    <row r="20" spans="2:2">
      <c r="B20" s="138" t="s">
        <v>1896</v>
      </c>
    </row>
    <row r="21" spans="2:2">
      <c r="B21" s="138" t="s">
        <v>1897</v>
      </c>
    </row>
    <row r="22" spans="2:2">
      <c r="B22" s="138" t="s">
        <v>1898</v>
      </c>
    </row>
    <row r="23" spans="2:2" ht="15.6">
      <c r="B23" s="136" t="s">
        <v>1899</v>
      </c>
    </row>
    <row r="24" spans="2:2" ht="15.6">
      <c r="B24" s="137" t="s">
        <v>1900</v>
      </c>
    </row>
    <row r="25" spans="2:2" ht="15.6">
      <c r="B25" s="137" t="s">
        <v>1901</v>
      </c>
    </row>
    <row r="26" spans="2:2" ht="15.6">
      <c r="B26" s="137" t="s">
        <v>1902</v>
      </c>
    </row>
    <row r="27" spans="2:2" ht="15.6">
      <c r="B27" s="136" t="s">
        <v>1903</v>
      </c>
    </row>
    <row r="28" spans="2:2">
      <c r="B28" s="138" t="s">
        <v>1904</v>
      </c>
    </row>
    <row r="29" spans="2:2">
      <c r="B29" s="138" t="s">
        <v>1905</v>
      </c>
    </row>
    <row r="30" spans="2:2">
      <c r="B30" s="138" t="s">
        <v>1906</v>
      </c>
    </row>
    <row r="31" spans="2:2" ht="15.6">
      <c r="B31" s="136" t="s">
        <v>1907</v>
      </c>
    </row>
    <row r="32" spans="2:2" ht="15.6">
      <c r="B32" s="137" t="s">
        <v>1908</v>
      </c>
    </row>
    <row r="33" spans="2:2" ht="15.6">
      <c r="B33" s="137" t="s">
        <v>1909</v>
      </c>
    </row>
    <row r="34" spans="2:2" ht="31.15">
      <c r="B34" s="135" t="s">
        <v>1910</v>
      </c>
    </row>
    <row r="35" spans="2:2" ht="78">
      <c r="B35" s="135" t="s">
        <v>1911</v>
      </c>
    </row>
    <row r="36" spans="2:2">
      <c r="B36" s="139"/>
    </row>
    <row r="37" spans="2:2" ht="15.6">
      <c r="B37" s="136" t="s">
        <v>1912</v>
      </c>
    </row>
    <row r="38" spans="2:2" ht="28.9">
      <c r="B38" s="140" t="s">
        <v>1913</v>
      </c>
    </row>
    <row r="39" spans="2:2" ht="28.9">
      <c r="B39" s="140" t="s">
        <v>1914</v>
      </c>
    </row>
    <row r="40" spans="2:2">
      <c r="B40" s="140" t="s">
        <v>1915</v>
      </c>
    </row>
    <row r="41" spans="2:2" ht="15.6">
      <c r="B41" s="135"/>
    </row>
  </sheetData>
  <hyperlinks>
    <hyperlink ref="B9" r:id="rId1" display="https://kelloggcompany.sharepoint.com/sites/WinshuttleNIFKNVHistoricalRepository/Shared Documents/NIF KNV Historical Repository/SALTY/2410012414-NIF Normal Straight Case Repack RCP - US - PWR_2024-338 - SALTY SNK - Lindauer, Christina - CHEEZ-IT 30CT VALENTINE'S.pdf?web=1" xr:uid="{D81F75AA-7391-4549-B1B1-5C8322B54A58}"/>
    <hyperlink ref="B10" r:id="rId2" display="https://kelloggcompany.sharepoint.com/sites/WinshuttleNIFKNVHistoricalRepository/Shared Documents/NIF KNV Historical Repository/SALTY/2410012414-NIF Normal Straight Case Repack RCP - US - PWR_2024-338 - SALTY SNK - Lindauer, Christina - CHEEZ-IT 30CT VALENTINE'S.pdf?web=1" xr:uid="{3A1902A5-459C-44EB-A969-EFD49E5C8844}"/>
    <hyperlink ref="B12" r:id="rId3" display="https://kelloggcompany.sharepoint.com/sites/WinshuttleNIFKNVHistoricalRepository/Shared Documents/NIF KNV Historical Repository/SALTY/2410012414-NIF Normal Straight Case Repack RCP - US - PWR_2024-338 - SALTY SNK - Lindauer, Christina - CHEEZ-IT 30CT VALENTINE'S.pdf?web=1" xr:uid="{4AC56D42-443E-484B-881F-87398D308AB1}"/>
    <hyperlink ref="B13" r:id="rId4" display="https://kelloggcompany.sharepoint.com/sites/WinshuttleNIFKNVHistoricalRepository/Shared Documents/NIF KNV Historical Repository/SALTY/2410012414-NIF Normal Straight Case Repack RCP - US - PWR_2024-338 - SALTY SNK - Lindauer, Christina - CHEEZ-IT 30CT VALENTINE'S.pdf?web=1" xr:uid="{127B0E1A-20A9-4C29-A8CF-3022BD949604}"/>
    <hyperlink ref="B14" r:id="rId5" display="https://kelloggcompany.sharepoint.com/sites/WinshuttleNIFKNVHistoricalRepository/Shared Documents/NIF KNV Historical Repository/SALTY/2410012414-NIF Normal Straight Case Repack RCP - US - PWR_2024-338 - SALTY SNK - Lindauer, Christina - CHEEZ-IT 30CT VALENTINE'S.pdf?web=1" xr:uid="{D19AF6B4-A379-40EC-A05A-D3A96070B5A6}"/>
    <hyperlink ref="B15" r:id="rId6" display="https://kelloggcompany.sharepoint.com/sites/WinshuttleNIFKNVHistoricalRepository/Shared Documents/NIF KNV Historical Repository/SALTY/2410012414-NIF Normal Straight Case Repack RCP - US - PWR_2024-338 - SALTY SNK - Lindauer, Christina - CHEEZ-IT 30CT VALENTINE'S.pdf?web=1" xr:uid="{993C75FC-FE7B-4D1A-B6FB-672700D39D36}"/>
    <hyperlink ref="B16" r:id="rId7" display="https://kelloggcompany.sharepoint.com/sites/WinshuttleNIFKNVHistoricalRepository/Shared Documents/NIF KNV Historical Repository/SALTY/2410012414-NIF Normal Straight Case Repack RCP - US - PWR_2024-338 - SALTY SNK - Lindauer, Christina - CHEEZ-IT 30CT VALENTINE'S.pdf?web=1" xr:uid="{1608C232-E601-4548-92C7-3C9F33C929B0}"/>
    <hyperlink ref="B18" r:id="rId8" display="https://kelloggcompany.sharepoint.com/sites/WinshuttleNIFKNVHistoricalRepository/Shared Documents/NIF KNV Historical Repository/SALTY/2410012414-NIF Normal Straight Case Repack RCP - US - PWR_2024-338 - SALTY SNK - Lindauer, Christina - CHEEZ-IT 30CT VALENTINE'S.pdf?web=1" xr:uid="{3C3BF881-C001-4C00-AEC6-174F247547DE}"/>
    <hyperlink ref="B19" r:id="rId9" display="https://kelloggcompany.sharepoint.com/sites/WinshuttleNIFKNVHistoricalRepository/Shared Documents/NIF KNV Historical Repository/SALTY PRICE AUDIT/2410012414-NIF Normal Straight Case Repack RCP - US - PWR_2024-338 - SALTY SNK - Lindauer, Christina - CHEEZ-IT 30CT VALENTINE'S-Price Audit.pdf?web=1" xr:uid="{E551FB09-2B53-4C44-BA2D-222202A349F8}"/>
    <hyperlink ref="B20" r:id="rId10" display="https://kelloggcompany.sharepoint.com/sites/WinshuttleNIFKNVHistoricalRepository/Shared Documents/NIF KNV Historical Repository/SALTY PRICE AUDIT/2410012414-NIF Normal Straight Case Repack RCP - US - PWR_2024-338 - SALTY SNK - Lindauer, Christina - CHEEZ-IT 30CT VALENTINE'S-Price Audit.pdf?web=1" xr:uid="{B4EF7A33-058F-4F23-833B-FF5EAB945859}"/>
    <hyperlink ref="B21" r:id="rId11" display="https://kelloggcompany.sharepoint.com/sites/WinshuttleNIFKNVHistoricalRepository/Shared Documents/NIF KNV Historical Repository/SALTY PRICE AUDIT/2410012414-NIF Normal Straight Case Repack RCP - US - PWR_2024-338 - SALTY SNK - Lindauer, Christina - CHEEZ-IT 30CT VALENTINE'S-Price Audit.pdf?web=1" xr:uid="{F9EBCF14-00D1-4294-988B-264732F9805A}"/>
    <hyperlink ref="B22" r:id="rId12" display="https://kelloggcompany-my.sharepoint.com/personal/brandel_kremer_kellogg_com/Documents/Microsoft Teams Chat Files/Data Ops NIF Create a CASE Training Deck - 11.24 1.pdf?web=1" xr:uid="{E2E09356-5AAB-4A98-B82D-B9DF30277B31}"/>
    <hyperlink ref="B28" r:id="rId13" display="https://kelloggcompany.sharepoint.com/sites/WinshuttleNIFKNVHistoricalRepository/Shared Documents/NIF KNV Historical Repository/SALTY PRICE AUDIT/2410012414-NIF Normal Straight Case Repack RCP - US - PWR_2024-338 - SALTY SNK - Lindauer, Christina - CHEEZ-IT 30CT VALENTINE'S-Price Audit.pdf?web=1" xr:uid="{DD0DC1E3-7139-4258-ADE3-3650FB407378}"/>
    <hyperlink ref="B29" r:id="rId14" display="https://kelloggcompany.sharepoint.com/sites/WinshuttleNIFKNVHistoricalRepository/Shared Documents/NIF KNV Historical Repository/SALTY PRICE AUDIT/2410012414-NIF Normal Straight Case Repack RCP - US - PWR_2024-338 - SALTY SNK - Lindauer, Christina - CHEEZ-IT 30CT VALENTINE'S-Price Audit.pdf?web=1" xr:uid="{AECC9635-A35D-4EA8-B67B-148726E377C7}"/>
    <hyperlink ref="B30" r:id="rId15" display="https://kelloggcompany.sharepoint.com/sites/WinshuttleNIFKNVHistoricalRepository/Shared Documents/NIF KNV Historical Repository/SALTY PRICE AUDIT/2410012414-NIF Normal Straight Case Repack RCP - US - PWR_2024-338 - SALTY SNK - Lindauer, Christina - CHEEZ-IT 30CT VALENTINE'S-Price Audit.pdf?web=1" xr:uid="{AE9F62E6-11C2-40A0-A1B0-BBB2F038162B}"/>
    <hyperlink ref="B38" r:id="rId16" display="https://kelloggcompany.sharepoint.com/sites/WinshuttleNIFKNVHistoricalRepository/Shared Documents/NIF KNV Historical Repository/SALTY/2410012414-NIF Normal Straight Case Repack RCP - US - PWR_2024-338 - SALTY SNK - Lindauer, Christina - CHEEZ-IT 30CT VALENTINE'S.pdf?web=1" xr:uid="{3E2414D5-7088-4831-94DF-B4EB03FB3983}"/>
    <hyperlink ref="B39" r:id="rId17" display="https://kelloggcompany.sharepoint.com/sites/WinshuttleNIFKNVHistoricalRepository/Shared Documents/NIF KNV Historical Repository/SALTY PRICE AUDIT/2410012414-NIF Normal Straight Case Repack RCP - US - PWR_2024-338 - SALTY SNK - Lindauer, Christina - CHEEZ-IT 30CT VALENTINE'S-Price Audit.pdf?web=1" xr:uid="{7FC6D298-C0A6-4A41-B739-AD58DA50A25F}"/>
    <hyperlink ref="B40" r:id="rId18" display="https://kelloggcompany-my.sharepoint.com/personal/brandel_kremer_kellogg_com/Documents/Microsoft Teams Chat Files/Data Ops NIF Create a CASE Training Deck - 11.24 1.pdf?web=1" xr:uid="{757E8886-3B88-46CC-BE3B-43DA5B12B3AF}"/>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8C599-CD86-43C1-933D-A44322A2BFA8}">
  <dimension ref="A3:N133"/>
  <sheetViews>
    <sheetView workbookViewId="0">
      <pane ySplit="5" topLeftCell="A6" activePane="bottomLeft" state="frozen"/>
      <selection pane="bottomLeft" activeCell="D11" sqref="D11"/>
    </sheetView>
  </sheetViews>
  <sheetFormatPr defaultRowHeight="14.45"/>
  <cols>
    <col min="1" max="1" width="15.7109375" customWidth="1"/>
    <col min="2" max="2" width="11.28515625" customWidth="1"/>
    <col min="3" max="3" width="18.85546875" bestFit="1" customWidth="1"/>
    <col min="4" max="4" width="18.7109375" bestFit="1" customWidth="1"/>
    <col min="5" max="5" width="11.7109375" bestFit="1" customWidth="1"/>
    <col min="9" max="9" width="37.42578125" customWidth="1"/>
    <col min="10" max="10" width="10" bestFit="1" customWidth="1"/>
    <col min="11" max="11" width="47.140625" bestFit="1" customWidth="1"/>
    <col min="12" max="12" width="36.85546875" bestFit="1" customWidth="1"/>
  </cols>
  <sheetData>
    <row r="3" spans="1:14">
      <c r="A3" s="196" t="s">
        <v>1916</v>
      </c>
      <c r="B3" s="15"/>
      <c r="C3" s="15"/>
      <c r="D3" s="15"/>
      <c r="E3" s="15"/>
      <c r="F3" s="15"/>
      <c r="G3" s="15"/>
      <c r="H3" s="15"/>
      <c r="I3" s="18" t="s">
        <v>1917</v>
      </c>
      <c r="J3" s="73"/>
      <c r="K3" s="73"/>
      <c r="L3" s="73"/>
    </row>
    <row r="5" spans="1:14" s="1" customFormat="1">
      <c r="A5" s="195" t="s">
        <v>1918</v>
      </c>
      <c r="B5" s="195"/>
      <c r="C5" s="195"/>
      <c r="D5" s="195"/>
      <c r="E5" s="195"/>
      <c r="F5" s="195"/>
      <c r="I5" s="194" t="s">
        <v>11</v>
      </c>
      <c r="J5" s="194" t="s">
        <v>12</v>
      </c>
      <c r="K5" s="194" t="s">
        <v>13</v>
      </c>
      <c r="L5" s="194" t="s">
        <v>1549</v>
      </c>
      <c r="M5"/>
      <c r="N5"/>
    </row>
    <row r="6" spans="1:14">
      <c r="A6" t="s">
        <v>1919</v>
      </c>
      <c r="B6" t="s">
        <v>70</v>
      </c>
      <c r="C6" t="s">
        <v>77</v>
      </c>
      <c r="I6" t="s">
        <v>19</v>
      </c>
      <c r="J6" t="s">
        <v>1920</v>
      </c>
      <c r="K6" t="s">
        <v>77</v>
      </c>
      <c r="L6" t="s">
        <v>1921</v>
      </c>
    </row>
    <row r="7" spans="1:14">
      <c r="A7" t="s">
        <v>1919</v>
      </c>
      <c r="B7" t="s">
        <v>70</v>
      </c>
      <c r="C7" t="s">
        <v>1922</v>
      </c>
      <c r="D7" t="s">
        <v>1923</v>
      </c>
      <c r="I7" t="s">
        <v>19</v>
      </c>
      <c r="J7" t="s">
        <v>1920</v>
      </c>
      <c r="K7" t="s">
        <v>71</v>
      </c>
      <c r="L7" t="s">
        <v>1921</v>
      </c>
    </row>
    <row r="8" spans="1:14">
      <c r="A8" t="s">
        <v>1919</v>
      </c>
      <c r="B8" t="s">
        <v>70</v>
      </c>
      <c r="C8" t="s">
        <v>1922</v>
      </c>
      <c r="D8" t="s">
        <v>1924</v>
      </c>
      <c r="I8" t="s">
        <v>19</v>
      </c>
      <c r="J8" t="s">
        <v>1920</v>
      </c>
      <c r="K8" t="s">
        <v>73</v>
      </c>
      <c r="L8" t="s">
        <v>1921</v>
      </c>
    </row>
    <row r="9" spans="1:14">
      <c r="A9" t="s">
        <v>1919</v>
      </c>
      <c r="B9" t="s">
        <v>70</v>
      </c>
      <c r="C9" t="s">
        <v>1922</v>
      </c>
      <c r="D9" t="s">
        <v>1925</v>
      </c>
      <c r="I9" t="s">
        <v>19</v>
      </c>
      <c r="J9" t="s">
        <v>1920</v>
      </c>
      <c r="K9" t="s">
        <v>75</v>
      </c>
      <c r="L9" t="s">
        <v>1921</v>
      </c>
    </row>
    <row r="10" spans="1:14">
      <c r="A10" t="s">
        <v>1919</v>
      </c>
      <c r="B10" t="s">
        <v>70</v>
      </c>
      <c r="C10" t="s">
        <v>1922</v>
      </c>
      <c r="D10" t="s">
        <v>1926</v>
      </c>
      <c r="I10" t="s">
        <v>19</v>
      </c>
      <c r="J10" t="s">
        <v>1920</v>
      </c>
      <c r="K10" t="s">
        <v>1565</v>
      </c>
      <c r="L10" t="s">
        <v>1921</v>
      </c>
    </row>
    <row r="11" spans="1:14">
      <c r="A11" t="s">
        <v>1919</v>
      </c>
      <c r="B11" t="s">
        <v>20</v>
      </c>
      <c r="C11" t="s">
        <v>1927</v>
      </c>
      <c r="D11" t="s">
        <v>1928</v>
      </c>
      <c r="E11" t="s">
        <v>1929</v>
      </c>
      <c r="I11" t="s">
        <v>19</v>
      </c>
      <c r="J11" t="s">
        <v>303</v>
      </c>
      <c r="K11" t="s">
        <v>59</v>
      </c>
      <c r="L11" t="s">
        <v>1930</v>
      </c>
    </row>
    <row r="12" spans="1:14">
      <c r="A12" t="s">
        <v>1919</v>
      </c>
      <c r="B12" t="s">
        <v>20</v>
      </c>
      <c r="C12" t="s">
        <v>1927</v>
      </c>
      <c r="D12" t="s">
        <v>1928</v>
      </c>
      <c r="E12" t="s">
        <v>1931</v>
      </c>
      <c r="I12" t="s">
        <v>19</v>
      </c>
      <c r="J12" t="s">
        <v>303</v>
      </c>
      <c r="K12" t="s">
        <v>59</v>
      </c>
      <c r="L12" t="s">
        <v>1932</v>
      </c>
    </row>
    <row r="13" spans="1:14">
      <c r="A13" t="s">
        <v>1919</v>
      </c>
      <c r="B13" t="s">
        <v>20</v>
      </c>
      <c r="C13" t="s">
        <v>1927</v>
      </c>
      <c r="D13" t="s">
        <v>1933</v>
      </c>
      <c r="E13" t="s">
        <v>1929</v>
      </c>
      <c r="I13" t="s">
        <v>19</v>
      </c>
      <c r="J13" t="s">
        <v>303</v>
      </c>
      <c r="K13" t="s">
        <v>62</v>
      </c>
      <c r="L13" t="s">
        <v>1930</v>
      </c>
    </row>
    <row r="14" spans="1:14">
      <c r="A14" t="s">
        <v>1919</v>
      </c>
      <c r="B14" t="s">
        <v>20</v>
      </c>
      <c r="C14" t="s">
        <v>1927</v>
      </c>
      <c r="D14" t="s">
        <v>1933</v>
      </c>
      <c r="E14" t="s">
        <v>1931</v>
      </c>
      <c r="I14" t="s">
        <v>19</v>
      </c>
      <c r="J14" t="s">
        <v>303</v>
      </c>
      <c r="K14" t="s">
        <v>62</v>
      </c>
      <c r="L14" t="s">
        <v>1932</v>
      </c>
    </row>
    <row r="15" spans="1:14">
      <c r="A15" t="s">
        <v>1919</v>
      </c>
      <c r="B15" t="s">
        <v>20</v>
      </c>
      <c r="C15" t="s">
        <v>1934</v>
      </c>
      <c r="D15" t="s">
        <v>1935</v>
      </c>
      <c r="E15" t="s">
        <v>1928</v>
      </c>
      <c r="F15" t="s">
        <v>204</v>
      </c>
      <c r="I15" t="s">
        <v>19</v>
      </c>
      <c r="J15" t="s">
        <v>303</v>
      </c>
      <c r="K15" t="s">
        <v>83</v>
      </c>
      <c r="L15" t="s">
        <v>1936</v>
      </c>
    </row>
    <row r="16" spans="1:14">
      <c r="A16" t="s">
        <v>1919</v>
      </c>
      <c r="B16" t="s">
        <v>20</v>
      </c>
      <c r="C16" t="s">
        <v>1934</v>
      </c>
      <c r="D16" t="s">
        <v>1935</v>
      </c>
      <c r="E16" t="s">
        <v>1928</v>
      </c>
      <c r="F16" t="s">
        <v>247</v>
      </c>
      <c r="I16" t="s">
        <v>19</v>
      </c>
      <c r="J16" t="s">
        <v>303</v>
      </c>
      <c r="K16" t="s">
        <v>83</v>
      </c>
      <c r="L16" t="s">
        <v>1937</v>
      </c>
    </row>
    <row r="17" spans="1:12">
      <c r="A17" t="s">
        <v>1919</v>
      </c>
      <c r="B17" t="s">
        <v>20</v>
      </c>
      <c r="C17" t="s">
        <v>1934</v>
      </c>
      <c r="D17" t="s">
        <v>1935</v>
      </c>
      <c r="E17" t="s">
        <v>1933</v>
      </c>
      <c r="F17" t="s">
        <v>204</v>
      </c>
      <c r="I17" t="s">
        <v>19</v>
      </c>
      <c r="J17" t="s">
        <v>303</v>
      </c>
      <c r="K17" t="s">
        <v>86</v>
      </c>
      <c r="L17" t="s">
        <v>1936</v>
      </c>
    </row>
    <row r="18" spans="1:12">
      <c r="A18" t="s">
        <v>1919</v>
      </c>
      <c r="B18" t="s">
        <v>20</v>
      </c>
      <c r="C18" t="s">
        <v>1934</v>
      </c>
      <c r="D18" t="s">
        <v>1935</v>
      </c>
      <c r="E18" t="s">
        <v>1933</v>
      </c>
      <c r="F18" t="s">
        <v>247</v>
      </c>
      <c r="I18" t="s">
        <v>19</v>
      </c>
      <c r="J18" t="s">
        <v>303</v>
      </c>
      <c r="K18" t="s">
        <v>86</v>
      </c>
      <c r="L18" t="s">
        <v>1937</v>
      </c>
    </row>
    <row r="19" spans="1:12">
      <c r="A19" t="s">
        <v>1919</v>
      </c>
      <c r="B19" t="s">
        <v>20</v>
      </c>
      <c r="C19" t="s">
        <v>1934</v>
      </c>
      <c r="D19" t="s">
        <v>1938</v>
      </c>
      <c r="E19" t="s">
        <v>204</v>
      </c>
      <c r="F19" t="s">
        <v>1928</v>
      </c>
      <c r="I19" t="s">
        <v>19</v>
      </c>
      <c r="J19" t="s">
        <v>303</v>
      </c>
      <c r="K19" t="s">
        <v>21</v>
      </c>
      <c r="L19" t="s">
        <v>1937</v>
      </c>
    </row>
    <row r="20" spans="1:12">
      <c r="A20" t="s">
        <v>1919</v>
      </c>
      <c r="B20" t="s">
        <v>20</v>
      </c>
      <c r="C20" t="s">
        <v>1934</v>
      </c>
      <c r="D20" t="s">
        <v>1938</v>
      </c>
      <c r="E20" t="s">
        <v>204</v>
      </c>
      <c r="F20" t="s">
        <v>1933</v>
      </c>
      <c r="I20" t="s">
        <v>19</v>
      </c>
      <c r="J20" t="s">
        <v>303</v>
      </c>
      <c r="K20" t="s">
        <v>1939</v>
      </c>
      <c r="L20" t="s">
        <v>1937</v>
      </c>
    </row>
    <row r="21" spans="1:12">
      <c r="A21" t="s">
        <v>1919</v>
      </c>
      <c r="B21" t="s">
        <v>20</v>
      </c>
      <c r="C21" t="s">
        <v>1934</v>
      </c>
      <c r="D21" t="s">
        <v>1938</v>
      </c>
      <c r="E21" t="s">
        <v>247</v>
      </c>
      <c r="I21" t="s">
        <v>19</v>
      </c>
      <c r="J21" t="s">
        <v>303</v>
      </c>
      <c r="K21" t="s">
        <v>21</v>
      </c>
      <c r="L21" t="s">
        <v>1940</v>
      </c>
    </row>
    <row r="22" spans="1:12">
      <c r="A22" t="s">
        <v>1919</v>
      </c>
      <c r="B22" t="s">
        <v>20</v>
      </c>
      <c r="C22" t="s">
        <v>1934</v>
      </c>
      <c r="D22" t="s">
        <v>1941</v>
      </c>
      <c r="E22" t="s">
        <v>1928</v>
      </c>
      <c r="I22" t="s">
        <v>19</v>
      </c>
      <c r="J22" t="s">
        <v>303</v>
      </c>
      <c r="K22" t="s">
        <v>79</v>
      </c>
      <c r="L22" t="s">
        <v>1942</v>
      </c>
    </row>
    <row r="23" spans="1:12">
      <c r="A23" t="s">
        <v>1919</v>
      </c>
      <c r="B23" t="s">
        <v>20</v>
      </c>
      <c r="C23" t="s">
        <v>1934</v>
      </c>
      <c r="D23" t="s">
        <v>1941</v>
      </c>
      <c r="E23" t="s">
        <v>1933</v>
      </c>
      <c r="I23" t="s">
        <v>19</v>
      </c>
      <c r="J23" t="s">
        <v>303</v>
      </c>
      <c r="K23" t="s">
        <v>81</v>
      </c>
      <c r="L23" t="s">
        <v>1942</v>
      </c>
    </row>
    <row r="24" spans="1:12">
      <c r="A24" t="s">
        <v>1919</v>
      </c>
      <c r="B24" t="s">
        <v>20</v>
      </c>
      <c r="C24" t="s">
        <v>1943</v>
      </c>
      <c r="D24" t="s">
        <v>1944</v>
      </c>
      <c r="I24" t="s">
        <v>19</v>
      </c>
      <c r="J24" t="s">
        <v>303</v>
      </c>
      <c r="K24" t="s">
        <v>1945</v>
      </c>
      <c r="L24" t="s">
        <v>1946</v>
      </c>
    </row>
    <row r="25" spans="1:12">
      <c r="A25" t="s">
        <v>1919</v>
      </c>
      <c r="B25" t="s">
        <v>20</v>
      </c>
      <c r="C25" t="s">
        <v>1943</v>
      </c>
      <c r="D25" t="s">
        <v>1947</v>
      </c>
      <c r="I25" t="s">
        <v>19</v>
      </c>
      <c r="J25" t="s">
        <v>303</v>
      </c>
      <c r="K25" t="s">
        <v>1945</v>
      </c>
      <c r="L25" t="s">
        <v>1948</v>
      </c>
    </row>
    <row r="26" spans="1:12">
      <c r="A26" t="s">
        <v>1919</v>
      </c>
      <c r="B26" t="s">
        <v>20</v>
      </c>
      <c r="C26" t="s">
        <v>1949</v>
      </c>
      <c r="I26" t="s">
        <v>19</v>
      </c>
      <c r="J26" t="s">
        <v>303</v>
      </c>
      <c r="K26" t="s">
        <v>65</v>
      </c>
      <c r="L26" t="s">
        <v>1950</v>
      </c>
    </row>
    <row r="27" spans="1:12">
      <c r="A27" t="s">
        <v>1919</v>
      </c>
      <c r="B27" t="s">
        <v>89</v>
      </c>
      <c r="C27" t="s">
        <v>20</v>
      </c>
      <c r="I27" t="s">
        <v>19</v>
      </c>
      <c r="J27" t="s">
        <v>89</v>
      </c>
      <c r="K27" t="s">
        <v>90</v>
      </c>
      <c r="L27" t="s">
        <v>1921</v>
      </c>
    </row>
    <row r="28" spans="1:12">
      <c r="A28" t="s">
        <v>1919</v>
      </c>
      <c r="B28" t="s">
        <v>89</v>
      </c>
      <c r="C28" t="s">
        <v>1951</v>
      </c>
      <c r="I28" t="s">
        <v>19</v>
      </c>
      <c r="J28" t="s">
        <v>89</v>
      </c>
      <c r="K28" t="s">
        <v>92</v>
      </c>
      <c r="L28" t="s">
        <v>1921</v>
      </c>
    </row>
    <row r="30" spans="1:12">
      <c r="A30" t="s">
        <v>1421</v>
      </c>
      <c r="B30" t="s">
        <v>20</v>
      </c>
      <c r="C30" t="s">
        <v>1927</v>
      </c>
      <c r="D30" t="s">
        <v>204</v>
      </c>
      <c r="I30" t="s">
        <v>24</v>
      </c>
      <c r="J30" t="s">
        <v>303</v>
      </c>
      <c r="K30" t="s">
        <v>36</v>
      </c>
      <c r="L30" t="s">
        <v>1952</v>
      </c>
    </row>
    <row r="31" spans="1:12">
      <c r="A31" t="s">
        <v>1421</v>
      </c>
      <c r="B31" t="s">
        <v>20</v>
      </c>
      <c r="C31" t="s">
        <v>1927</v>
      </c>
      <c r="D31" t="s">
        <v>247</v>
      </c>
      <c r="I31" t="s">
        <v>24</v>
      </c>
      <c r="J31" t="s">
        <v>303</v>
      </c>
      <c r="K31" t="s">
        <v>36</v>
      </c>
      <c r="L31" t="s">
        <v>1930</v>
      </c>
    </row>
    <row r="32" spans="1:12">
      <c r="A32" t="s">
        <v>1421</v>
      </c>
      <c r="B32" t="s">
        <v>20</v>
      </c>
      <c r="C32" t="s">
        <v>1934</v>
      </c>
      <c r="D32" t="s">
        <v>1935</v>
      </c>
      <c r="E32" t="s">
        <v>1928</v>
      </c>
      <c r="F32" t="s">
        <v>204</v>
      </c>
      <c r="I32" t="s">
        <v>24</v>
      </c>
      <c r="J32" t="s">
        <v>303</v>
      </c>
      <c r="K32" t="s">
        <v>42</v>
      </c>
      <c r="L32" t="s">
        <v>1936</v>
      </c>
    </row>
    <row r="33" spans="1:12">
      <c r="A33" t="s">
        <v>1421</v>
      </c>
      <c r="B33" t="s">
        <v>20</v>
      </c>
      <c r="C33" t="s">
        <v>1934</v>
      </c>
      <c r="D33" t="s">
        <v>1935</v>
      </c>
      <c r="E33" t="s">
        <v>1928</v>
      </c>
      <c r="F33" t="s">
        <v>247</v>
      </c>
      <c r="I33" t="s">
        <v>24</v>
      </c>
      <c r="J33" t="s">
        <v>303</v>
      </c>
      <c r="K33" t="s">
        <v>42</v>
      </c>
      <c r="L33" t="s">
        <v>1937</v>
      </c>
    </row>
    <row r="34" spans="1:12">
      <c r="A34" t="s">
        <v>1421</v>
      </c>
      <c r="B34" t="s">
        <v>20</v>
      </c>
      <c r="C34" t="s">
        <v>1934</v>
      </c>
      <c r="D34" t="s">
        <v>1935</v>
      </c>
      <c r="E34" t="s">
        <v>1933</v>
      </c>
      <c r="F34" t="s">
        <v>204</v>
      </c>
      <c r="I34" t="s">
        <v>24</v>
      </c>
      <c r="J34" t="s">
        <v>303</v>
      </c>
      <c r="K34" t="s">
        <v>1953</v>
      </c>
      <c r="L34" t="s">
        <v>1936</v>
      </c>
    </row>
    <row r="35" spans="1:12">
      <c r="A35" t="s">
        <v>1421</v>
      </c>
      <c r="B35" t="s">
        <v>20</v>
      </c>
      <c r="C35" t="s">
        <v>1934</v>
      </c>
      <c r="D35" t="s">
        <v>1935</v>
      </c>
      <c r="E35" t="s">
        <v>1933</v>
      </c>
      <c r="F35" t="s">
        <v>247</v>
      </c>
      <c r="I35" t="s">
        <v>24</v>
      </c>
      <c r="J35" t="s">
        <v>303</v>
      </c>
      <c r="K35" t="s">
        <v>1953</v>
      </c>
      <c r="L35" t="s">
        <v>1937</v>
      </c>
    </row>
    <row r="36" spans="1:12">
      <c r="A36" t="s">
        <v>1421</v>
      </c>
      <c r="B36" t="s">
        <v>20</v>
      </c>
      <c r="C36" t="s">
        <v>1934</v>
      </c>
      <c r="D36" t="s">
        <v>1938</v>
      </c>
      <c r="I36" t="s">
        <v>24</v>
      </c>
      <c r="J36" t="s">
        <v>303</v>
      </c>
      <c r="K36" t="s">
        <v>30</v>
      </c>
      <c r="L36" t="s">
        <v>1921</v>
      </c>
    </row>
    <row r="38" spans="1:12">
      <c r="A38" t="s">
        <v>1954</v>
      </c>
      <c r="B38" t="s">
        <v>70</v>
      </c>
      <c r="C38" t="s">
        <v>77</v>
      </c>
      <c r="I38" t="s">
        <v>1955</v>
      </c>
      <c r="J38" t="s">
        <v>1920</v>
      </c>
      <c r="K38" t="s">
        <v>77</v>
      </c>
      <c r="L38" t="s">
        <v>1921</v>
      </c>
    </row>
    <row r="39" spans="1:12">
      <c r="A39" t="s">
        <v>1954</v>
      </c>
      <c r="B39" t="s">
        <v>70</v>
      </c>
      <c r="C39" t="s">
        <v>1922</v>
      </c>
      <c r="D39" t="s">
        <v>1923</v>
      </c>
      <c r="I39" t="s">
        <v>1955</v>
      </c>
      <c r="J39" t="s">
        <v>1920</v>
      </c>
      <c r="K39" t="s">
        <v>71</v>
      </c>
      <c r="L39" t="s">
        <v>1921</v>
      </c>
    </row>
    <row r="40" spans="1:12">
      <c r="A40" t="s">
        <v>1954</v>
      </c>
      <c r="B40" t="s">
        <v>70</v>
      </c>
      <c r="C40" t="s">
        <v>1922</v>
      </c>
      <c r="D40" t="s">
        <v>1924</v>
      </c>
      <c r="I40" t="s">
        <v>1955</v>
      </c>
      <c r="J40" t="s">
        <v>1920</v>
      </c>
      <c r="K40" t="s">
        <v>73</v>
      </c>
      <c r="L40" t="s">
        <v>1921</v>
      </c>
    </row>
    <row r="41" spans="1:12">
      <c r="A41" t="s">
        <v>1954</v>
      </c>
      <c r="B41" t="s">
        <v>70</v>
      </c>
      <c r="C41" t="s">
        <v>1922</v>
      </c>
      <c r="D41" t="s">
        <v>1925</v>
      </c>
      <c r="I41" t="s">
        <v>1955</v>
      </c>
      <c r="J41" t="s">
        <v>1920</v>
      </c>
      <c r="K41" t="s">
        <v>75</v>
      </c>
      <c r="L41" t="s">
        <v>1921</v>
      </c>
    </row>
    <row r="42" spans="1:12">
      <c r="A42" t="s">
        <v>1954</v>
      </c>
      <c r="B42" t="s">
        <v>70</v>
      </c>
      <c r="C42" t="s">
        <v>1922</v>
      </c>
      <c r="D42" t="s">
        <v>1926</v>
      </c>
      <c r="I42" t="s">
        <v>1955</v>
      </c>
      <c r="J42" t="s">
        <v>1920</v>
      </c>
      <c r="K42" t="s">
        <v>1565</v>
      </c>
      <c r="L42" t="s">
        <v>1921</v>
      </c>
    </row>
    <row r="43" spans="1:12">
      <c r="A43" t="s">
        <v>1954</v>
      </c>
      <c r="B43" t="s">
        <v>20</v>
      </c>
      <c r="C43" t="s">
        <v>1927</v>
      </c>
      <c r="D43" t="s">
        <v>1928</v>
      </c>
      <c r="E43" t="s">
        <v>1929</v>
      </c>
      <c r="I43" t="s">
        <v>1955</v>
      </c>
      <c r="J43" t="s">
        <v>303</v>
      </c>
      <c r="K43" t="s">
        <v>59</v>
      </c>
      <c r="L43" t="s">
        <v>1930</v>
      </c>
    </row>
    <row r="44" spans="1:12">
      <c r="A44" t="s">
        <v>1954</v>
      </c>
      <c r="B44" t="s">
        <v>20</v>
      </c>
      <c r="C44" t="s">
        <v>1927</v>
      </c>
      <c r="D44" t="s">
        <v>1928</v>
      </c>
      <c r="E44" t="s">
        <v>1931</v>
      </c>
      <c r="I44" t="s">
        <v>1955</v>
      </c>
      <c r="J44" t="s">
        <v>303</v>
      </c>
      <c r="K44" t="s">
        <v>59</v>
      </c>
      <c r="L44" t="s">
        <v>1932</v>
      </c>
    </row>
    <row r="45" spans="1:12">
      <c r="A45" t="s">
        <v>1954</v>
      </c>
      <c r="B45" t="s">
        <v>20</v>
      </c>
      <c r="C45" t="s">
        <v>1927</v>
      </c>
      <c r="D45" t="s">
        <v>1933</v>
      </c>
      <c r="E45" t="s">
        <v>1929</v>
      </c>
      <c r="I45" t="s">
        <v>1955</v>
      </c>
      <c r="J45" t="s">
        <v>303</v>
      </c>
      <c r="K45" t="s">
        <v>62</v>
      </c>
      <c r="L45" t="s">
        <v>1930</v>
      </c>
    </row>
    <row r="46" spans="1:12">
      <c r="A46" t="s">
        <v>1954</v>
      </c>
      <c r="B46" t="s">
        <v>20</v>
      </c>
      <c r="C46" t="s">
        <v>1927</v>
      </c>
      <c r="D46" t="s">
        <v>1933</v>
      </c>
      <c r="E46" t="s">
        <v>1931</v>
      </c>
      <c r="I46" t="s">
        <v>1955</v>
      </c>
      <c r="J46" t="s">
        <v>303</v>
      </c>
      <c r="K46" t="s">
        <v>62</v>
      </c>
      <c r="L46" t="s">
        <v>1932</v>
      </c>
    </row>
    <row r="47" spans="1:12">
      <c r="A47" t="s">
        <v>1954</v>
      </c>
      <c r="B47" t="s">
        <v>20</v>
      </c>
      <c r="C47" t="s">
        <v>1934</v>
      </c>
      <c r="D47" t="s">
        <v>1935</v>
      </c>
      <c r="E47" t="s">
        <v>1928</v>
      </c>
      <c r="F47" t="s">
        <v>204</v>
      </c>
      <c r="I47" t="s">
        <v>1955</v>
      </c>
      <c r="J47" t="s">
        <v>303</v>
      </c>
      <c r="K47" t="s">
        <v>83</v>
      </c>
      <c r="L47" t="s">
        <v>1936</v>
      </c>
    </row>
    <row r="48" spans="1:12">
      <c r="A48" t="s">
        <v>1954</v>
      </c>
      <c r="B48" t="s">
        <v>20</v>
      </c>
      <c r="C48" t="s">
        <v>1934</v>
      </c>
      <c r="D48" t="s">
        <v>1935</v>
      </c>
      <c r="E48" t="s">
        <v>1928</v>
      </c>
      <c r="F48" t="s">
        <v>247</v>
      </c>
      <c r="I48" t="s">
        <v>1955</v>
      </c>
      <c r="J48" t="s">
        <v>303</v>
      </c>
      <c r="K48" t="s">
        <v>83</v>
      </c>
      <c r="L48" t="s">
        <v>1937</v>
      </c>
    </row>
    <row r="49" spans="1:12">
      <c r="A49" t="s">
        <v>1954</v>
      </c>
      <c r="B49" t="s">
        <v>20</v>
      </c>
      <c r="C49" t="s">
        <v>1934</v>
      </c>
      <c r="D49" t="s">
        <v>1935</v>
      </c>
      <c r="E49" t="s">
        <v>1933</v>
      </c>
      <c r="F49" t="s">
        <v>204</v>
      </c>
      <c r="I49" t="s">
        <v>1955</v>
      </c>
      <c r="J49" t="s">
        <v>303</v>
      </c>
      <c r="K49" t="s">
        <v>86</v>
      </c>
      <c r="L49" t="s">
        <v>1936</v>
      </c>
    </row>
    <row r="50" spans="1:12">
      <c r="A50" t="s">
        <v>1954</v>
      </c>
      <c r="B50" t="s">
        <v>20</v>
      </c>
      <c r="C50" t="s">
        <v>1934</v>
      </c>
      <c r="D50" t="s">
        <v>1935</v>
      </c>
      <c r="E50" t="s">
        <v>1933</v>
      </c>
      <c r="F50" t="s">
        <v>247</v>
      </c>
      <c r="I50" t="s">
        <v>1955</v>
      </c>
      <c r="J50" t="s">
        <v>303</v>
      </c>
      <c r="K50" t="s">
        <v>86</v>
      </c>
      <c r="L50" t="s">
        <v>1937</v>
      </c>
    </row>
    <row r="51" spans="1:12">
      <c r="A51" t="s">
        <v>1954</v>
      </c>
      <c r="B51" t="s">
        <v>20</v>
      </c>
      <c r="C51" t="s">
        <v>1934</v>
      </c>
      <c r="D51" t="s">
        <v>1938</v>
      </c>
      <c r="E51" t="s">
        <v>204</v>
      </c>
      <c r="F51" t="s">
        <v>1928</v>
      </c>
      <c r="I51" t="s">
        <v>1955</v>
      </c>
      <c r="J51" t="s">
        <v>303</v>
      </c>
      <c r="K51" t="s">
        <v>21</v>
      </c>
      <c r="L51" t="s">
        <v>1937</v>
      </c>
    </row>
    <row r="52" spans="1:12">
      <c r="A52" t="s">
        <v>1954</v>
      </c>
      <c r="B52" t="s">
        <v>20</v>
      </c>
      <c r="C52" t="s">
        <v>1934</v>
      </c>
      <c r="D52" t="s">
        <v>1938</v>
      </c>
      <c r="E52" t="s">
        <v>204</v>
      </c>
      <c r="F52" t="s">
        <v>1933</v>
      </c>
      <c r="I52" t="s">
        <v>1955</v>
      </c>
      <c r="J52" t="s">
        <v>303</v>
      </c>
      <c r="K52" t="s">
        <v>1939</v>
      </c>
      <c r="L52" t="s">
        <v>1937</v>
      </c>
    </row>
    <row r="53" spans="1:12">
      <c r="A53" t="s">
        <v>1954</v>
      </c>
      <c r="B53" t="s">
        <v>20</v>
      </c>
      <c r="C53" t="s">
        <v>1934</v>
      </c>
      <c r="D53" t="s">
        <v>1938</v>
      </c>
      <c r="E53" t="s">
        <v>247</v>
      </c>
      <c r="I53" t="s">
        <v>1955</v>
      </c>
      <c r="J53" t="s">
        <v>303</v>
      </c>
      <c r="K53" t="s">
        <v>21</v>
      </c>
      <c r="L53" t="s">
        <v>1940</v>
      </c>
    </row>
    <row r="54" spans="1:12">
      <c r="A54" t="s">
        <v>1954</v>
      </c>
      <c r="B54" t="s">
        <v>20</v>
      </c>
      <c r="C54" t="s">
        <v>1934</v>
      </c>
      <c r="D54" t="s">
        <v>1941</v>
      </c>
      <c r="E54" t="s">
        <v>1928</v>
      </c>
      <c r="I54" t="s">
        <v>1955</v>
      </c>
      <c r="J54" t="s">
        <v>303</v>
      </c>
      <c r="K54" t="s">
        <v>79</v>
      </c>
      <c r="L54" t="s">
        <v>1942</v>
      </c>
    </row>
    <row r="55" spans="1:12">
      <c r="A55" t="s">
        <v>1954</v>
      </c>
      <c r="B55" t="s">
        <v>20</v>
      </c>
      <c r="C55" t="s">
        <v>1934</v>
      </c>
      <c r="D55" t="s">
        <v>1941</v>
      </c>
      <c r="E55" t="s">
        <v>1933</v>
      </c>
      <c r="I55" t="s">
        <v>1955</v>
      </c>
      <c r="J55" t="s">
        <v>303</v>
      </c>
      <c r="K55" t="s">
        <v>81</v>
      </c>
      <c r="L55" t="s">
        <v>1942</v>
      </c>
    </row>
    <row r="56" spans="1:12">
      <c r="A56" t="s">
        <v>1954</v>
      </c>
      <c r="B56" t="s">
        <v>20</v>
      </c>
      <c r="C56" t="s">
        <v>1943</v>
      </c>
      <c r="D56" t="s">
        <v>1944</v>
      </c>
      <c r="I56" t="s">
        <v>1955</v>
      </c>
      <c r="J56" t="s">
        <v>303</v>
      </c>
      <c r="K56" t="s">
        <v>1945</v>
      </c>
      <c r="L56" t="s">
        <v>1946</v>
      </c>
    </row>
    <row r="57" spans="1:12">
      <c r="A57" t="s">
        <v>1954</v>
      </c>
      <c r="B57" t="s">
        <v>20</v>
      </c>
      <c r="C57" t="s">
        <v>1943</v>
      </c>
      <c r="D57" t="s">
        <v>1947</v>
      </c>
      <c r="I57" t="s">
        <v>1955</v>
      </c>
      <c r="J57" t="s">
        <v>303</v>
      </c>
      <c r="K57" t="s">
        <v>1945</v>
      </c>
      <c r="L57" t="s">
        <v>1948</v>
      </c>
    </row>
    <row r="58" spans="1:12">
      <c r="A58" t="s">
        <v>1954</v>
      </c>
      <c r="B58" t="s">
        <v>20</v>
      </c>
      <c r="C58" t="s">
        <v>1949</v>
      </c>
      <c r="I58" t="s">
        <v>1955</v>
      </c>
      <c r="J58" t="s">
        <v>303</v>
      </c>
      <c r="K58" t="s">
        <v>65</v>
      </c>
      <c r="L58" t="s">
        <v>1950</v>
      </c>
    </row>
    <row r="59" spans="1:12">
      <c r="A59" t="s">
        <v>1954</v>
      </c>
      <c r="B59" t="s">
        <v>89</v>
      </c>
      <c r="C59" t="s">
        <v>20</v>
      </c>
      <c r="I59" t="s">
        <v>1955</v>
      </c>
      <c r="J59" t="s">
        <v>89</v>
      </c>
      <c r="K59" t="s">
        <v>90</v>
      </c>
      <c r="L59" t="s">
        <v>1921</v>
      </c>
    </row>
    <row r="60" spans="1:12">
      <c r="A60" t="s">
        <v>1954</v>
      </c>
      <c r="B60" t="s">
        <v>89</v>
      </c>
      <c r="C60" t="s">
        <v>1951</v>
      </c>
      <c r="I60" t="s">
        <v>1955</v>
      </c>
      <c r="J60" t="s">
        <v>89</v>
      </c>
      <c r="K60" t="s">
        <v>92</v>
      </c>
      <c r="L60" t="s">
        <v>1921</v>
      </c>
    </row>
    <row r="62" spans="1:12">
      <c r="A62" t="s">
        <v>1956</v>
      </c>
      <c r="B62" t="s">
        <v>70</v>
      </c>
      <c r="C62" t="s">
        <v>77</v>
      </c>
      <c r="I62" t="s">
        <v>1957</v>
      </c>
      <c r="J62" t="s">
        <v>1920</v>
      </c>
      <c r="K62" t="s">
        <v>77</v>
      </c>
      <c r="L62" t="s">
        <v>1921</v>
      </c>
    </row>
    <row r="63" spans="1:12">
      <c r="A63" t="s">
        <v>1956</v>
      </c>
      <c r="B63" t="s">
        <v>70</v>
      </c>
      <c r="C63" t="s">
        <v>1922</v>
      </c>
      <c r="D63" t="s">
        <v>1923</v>
      </c>
      <c r="I63" t="s">
        <v>1957</v>
      </c>
      <c r="J63" t="s">
        <v>1920</v>
      </c>
      <c r="K63" t="s">
        <v>71</v>
      </c>
      <c r="L63" t="s">
        <v>1921</v>
      </c>
    </row>
    <row r="64" spans="1:12">
      <c r="A64" t="s">
        <v>1956</v>
      </c>
      <c r="B64" t="s">
        <v>70</v>
      </c>
      <c r="C64" t="s">
        <v>1922</v>
      </c>
      <c r="D64" t="s">
        <v>1924</v>
      </c>
      <c r="I64" t="s">
        <v>1957</v>
      </c>
      <c r="J64" t="s">
        <v>1920</v>
      </c>
      <c r="K64" t="s">
        <v>73</v>
      </c>
      <c r="L64" t="s">
        <v>1921</v>
      </c>
    </row>
    <row r="65" spans="1:12">
      <c r="A65" t="s">
        <v>1956</v>
      </c>
      <c r="B65" t="s">
        <v>70</v>
      </c>
      <c r="C65" t="s">
        <v>1922</v>
      </c>
      <c r="D65" t="s">
        <v>1925</v>
      </c>
      <c r="I65" t="s">
        <v>1957</v>
      </c>
      <c r="J65" t="s">
        <v>1920</v>
      </c>
      <c r="K65" t="s">
        <v>75</v>
      </c>
      <c r="L65" t="s">
        <v>1921</v>
      </c>
    </row>
    <row r="66" spans="1:12">
      <c r="A66" t="s">
        <v>1956</v>
      </c>
      <c r="B66" t="s">
        <v>70</v>
      </c>
      <c r="C66" t="s">
        <v>1922</v>
      </c>
      <c r="D66" t="s">
        <v>1926</v>
      </c>
      <c r="I66" t="s">
        <v>1957</v>
      </c>
      <c r="J66" t="s">
        <v>1920</v>
      </c>
      <c r="K66" t="s">
        <v>1565</v>
      </c>
      <c r="L66" t="s">
        <v>1921</v>
      </c>
    </row>
    <row r="67" spans="1:12">
      <c r="A67" t="s">
        <v>1956</v>
      </c>
      <c r="B67" t="s">
        <v>20</v>
      </c>
      <c r="C67" t="s">
        <v>1927</v>
      </c>
      <c r="D67" t="s">
        <v>1928</v>
      </c>
      <c r="E67" t="s">
        <v>1929</v>
      </c>
      <c r="I67" t="s">
        <v>1957</v>
      </c>
      <c r="J67" t="s">
        <v>303</v>
      </c>
      <c r="K67" t="s">
        <v>59</v>
      </c>
      <c r="L67" t="s">
        <v>1930</v>
      </c>
    </row>
    <row r="68" spans="1:12">
      <c r="A68" t="s">
        <v>1956</v>
      </c>
      <c r="B68" t="s">
        <v>20</v>
      </c>
      <c r="C68" t="s">
        <v>1927</v>
      </c>
      <c r="D68" t="s">
        <v>1928</v>
      </c>
      <c r="E68" t="s">
        <v>1931</v>
      </c>
      <c r="I68" t="s">
        <v>1957</v>
      </c>
      <c r="J68" t="s">
        <v>303</v>
      </c>
      <c r="K68" t="s">
        <v>59</v>
      </c>
      <c r="L68" t="s">
        <v>1932</v>
      </c>
    </row>
    <row r="69" spans="1:12">
      <c r="A69" t="s">
        <v>1956</v>
      </c>
      <c r="B69" t="s">
        <v>20</v>
      </c>
      <c r="C69" t="s">
        <v>1927</v>
      </c>
      <c r="D69" t="s">
        <v>1933</v>
      </c>
      <c r="E69" t="s">
        <v>1929</v>
      </c>
      <c r="I69" t="s">
        <v>1957</v>
      </c>
      <c r="J69" t="s">
        <v>303</v>
      </c>
      <c r="K69" t="s">
        <v>62</v>
      </c>
      <c r="L69" t="s">
        <v>1930</v>
      </c>
    </row>
    <row r="70" spans="1:12">
      <c r="A70" t="s">
        <v>1956</v>
      </c>
      <c r="B70" t="s">
        <v>20</v>
      </c>
      <c r="C70" t="s">
        <v>1927</v>
      </c>
      <c r="D70" t="s">
        <v>1933</v>
      </c>
      <c r="E70" t="s">
        <v>1931</v>
      </c>
      <c r="I70" t="s">
        <v>1957</v>
      </c>
      <c r="J70" t="s">
        <v>303</v>
      </c>
      <c r="K70" t="s">
        <v>62</v>
      </c>
      <c r="L70" t="s">
        <v>1932</v>
      </c>
    </row>
    <row r="71" spans="1:12">
      <c r="A71" t="s">
        <v>1956</v>
      </c>
      <c r="B71" t="s">
        <v>20</v>
      </c>
      <c r="C71" t="s">
        <v>1934</v>
      </c>
      <c r="D71" t="s">
        <v>1935</v>
      </c>
      <c r="E71" t="s">
        <v>1928</v>
      </c>
      <c r="F71" t="s">
        <v>204</v>
      </c>
      <c r="I71" t="s">
        <v>1957</v>
      </c>
      <c r="J71" t="s">
        <v>303</v>
      </c>
      <c r="K71" t="s">
        <v>83</v>
      </c>
      <c r="L71" t="s">
        <v>1936</v>
      </c>
    </row>
    <row r="72" spans="1:12">
      <c r="A72" t="s">
        <v>1956</v>
      </c>
      <c r="B72" t="s">
        <v>20</v>
      </c>
      <c r="C72" t="s">
        <v>1934</v>
      </c>
      <c r="D72" t="s">
        <v>1935</v>
      </c>
      <c r="E72" t="s">
        <v>1928</v>
      </c>
      <c r="F72" t="s">
        <v>247</v>
      </c>
      <c r="I72" t="s">
        <v>1957</v>
      </c>
      <c r="J72" t="s">
        <v>303</v>
      </c>
      <c r="K72" t="s">
        <v>83</v>
      </c>
      <c r="L72" t="s">
        <v>1937</v>
      </c>
    </row>
    <row r="73" spans="1:12">
      <c r="A73" t="s">
        <v>1956</v>
      </c>
      <c r="B73" t="s">
        <v>20</v>
      </c>
      <c r="C73" t="s">
        <v>1934</v>
      </c>
      <c r="D73" t="s">
        <v>1935</v>
      </c>
      <c r="E73" t="s">
        <v>1933</v>
      </c>
      <c r="F73" t="s">
        <v>204</v>
      </c>
      <c r="I73" t="s">
        <v>1957</v>
      </c>
      <c r="J73" t="s">
        <v>303</v>
      </c>
      <c r="K73" t="s">
        <v>86</v>
      </c>
      <c r="L73" t="s">
        <v>1936</v>
      </c>
    </row>
    <row r="74" spans="1:12">
      <c r="A74" t="s">
        <v>1956</v>
      </c>
      <c r="B74" t="s">
        <v>20</v>
      </c>
      <c r="C74" t="s">
        <v>1934</v>
      </c>
      <c r="D74" t="s">
        <v>1935</v>
      </c>
      <c r="E74" t="s">
        <v>1933</v>
      </c>
      <c r="F74" t="s">
        <v>247</v>
      </c>
      <c r="I74" t="s">
        <v>1957</v>
      </c>
      <c r="J74" t="s">
        <v>303</v>
      </c>
      <c r="K74" t="s">
        <v>86</v>
      </c>
      <c r="L74" t="s">
        <v>1937</v>
      </c>
    </row>
    <row r="75" spans="1:12">
      <c r="A75" t="s">
        <v>1956</v>
      </c>
      <c r="B75" t="s">
        <v>20</v>
      </c>
      <c r="C75" t="s">
        <v>1934</v>
      </c>
      <c r="D75" t="s">
        <v>1938</v>
      </c>
      <c r="E75" t="s">
        <v>204</v>
      </c>
      <c r="F75" t="s">
        <v>1928</v>
      </c>
      <c r="I75" t="s">
        <v>1957</v>
      </c>
      <c r="J75" t="s">
        <v>303</v>
      </c>
      <c r="K75" t="s">
        <v>21</v>
      </c>
      <c r="L75" t="s">
        <v>1937</v>
      </c>
    </row>
    <row r="76" spans="1:12">
      <c r="A76" t="s">
        <v>1956</v>
      </c>
      <c r="B76" t="s">
        <v>20</v>
      </c>
      <c r="C76" t="s">
        <v>1934</v>
      </c>
      <c r="D76" t="s">
        <v>1938</v>
      </c>
      <c r="E76" t="s">
        <v>204</v>
      </c>
      <c r="F76" t="s">
        <v>1933</v>
      </c>
      <c r="I76" t="s">
        <v>1957</v>
      </c>
      <c r="J76" t="s">
        <v>303</v>
      </c>
      <c r="K76" t="s">
        <v>1939</v>
      </c>
      <c r="L76" t="s">
        <v>1937</v>
      </c>
    </row>
    <row r="77" spans="1:12">
      <c r="A77" t="s">
        <v>1956</v>
      </c>
      <c r="B77" t="s">
        <v>20</v>
      </c>
      <c r="C77" t="s">
        <v>1934</v>
      </c>
      <c r="D77" t="s">
        <v>1938</v>
      </c>
      <c r="E77" t="s">
        <v>247</v>
      </c>
      <c r="I77" t="s">
        <v>1957</v>
      </c>
      <c r="J77" t="s">
        <v>303</v>
      </c>
      <c r="K77" t="s">
        <v>21</v>
      </c>
      <c r="L77" t="s">
        <v>1940</v>
      </c>
    </row>
    <row r="78" spans="1:12">
      <c r="A78" t="s">
        <v>1956</v>
      </c>
      <c r="B78" t="s">
        <v>20</v>
      </c>
      <c r="C78" t="s">
        <v>1934</v>
      </c>
      <c r="D78" t="s">
        <v>1941</v>
      </c>
      <c r="E78" t="s">
        <v>1928</v>
      </c>
      <c r="I78" t="s">
        <v>1957</v>
      </c>
      <c r="J78" t="s">
        <v>303</v>
      </c>
      <c r="K78" t="s">
        <v>79</v>
      </c>
      <c r="L78" t="s">
        <v>1942</v>
      </c>
    </row>
    <row r="79" spans="1:12">
      <c r="A79" t="s">
        <v>1956</v>
      </c>
      <c r="B79" t="s">
        <v>20</v>
      </c>
      <c r="C79" t="s">
        <v>1934</v>
      </c>
      <c r="D79" t="s">
        <v>1941</v>
      </c>
      <c r="E79" t="s">
        <v>1933</v>
      </c>
      <c r="I79" t="s">
        <v>1957</v>
      </c>
      <c r="J79" t="s">
        <v>303</v>
      </c>
      <c r="K79" t="s">
        <v>81</v>
      </c>
      <c r="L79" t="s">
        <v>1942</v>
      </c>
    </row>
    <row r="80" spans="1:12">
      <c r="A80" t="s">
        <v>1956</v>
      </c>
      <c r="B80" t="s">
        <v>20</v>
      </c>
      <c r="C80" t="s">
        <v>1943</v>
      </c>
      <c r="D80" t="s">
        <v>1944</v>
      </c>
      <c r="I80" t="s">
        <v>1957</v>
      </c>
      <c r="J80" t="s">
        <v>303</v>
      </c>
      <c r="K80" t="s">
        <v>1945</v>
      </c>
      <c r="L80" t="s">
        <v>1946</v>
      </c>
    </row>
    <row r="81" spans="1:12">
      <c r="A81" t="s">
        <v>1956</v>
      </c>
      <c r="B81" t="s">
        <v>20</v>
      </c>
      <c r="C81" t="s">
        <v>1943</v>
      </c>
      <c r="D81" t="s">
        <v>1947</v>
      </c>
      <c r="I81" t="s">
        <v>1957</v>
      </c>
      <c r="J81" t="s">
        <v>303</v>
      </c>
      <c r="K81" t="s">
        <v>1945</v>
      </c>
      <c r="L81" t="s">
        <v>1948</v>
      </c>
    </row>
    <row r="82" spans="1:12">
      <c r="A82" t="s">
        <v>1956</v>
      </c>
      <c r="B82" t="s">
        <v>20</v>
      </c>
      <c r="C82" t="s">
        <v>1949</v>
      </c>
      <c r="I82" t="s">
        <v>1957</v>
      </c>
      <c r="J82" t="s">
        <v>303</v>
      </c>
      <c r="K82" t="s">
        <v>65</v>
      </c>
      <c r="L82" t="s">
        <v>1950</v>
      </c>
    </row>
    <row r="83" spans="1:12">
      <c r="A83" t="s">
        <v>1956</v>
      </c>
      <c r="B83" t="s">
        <v>89</v>
      </c>
      <c r="C83" t="s">
        <v>20</v>
      </c>
      <c r="I83" t="s">
        <v>1957</v>
      </c>
      <c r="J83" t="s">
        <v>89</v>
      </c>
      <c r="K83" t="s">
        <v>90</v>
      </c>
      <c r="L83" t="s">
        <v>1921</v>
      </c>
    </row>
    <row r="84" spans="1:12">
      <c r="A84" t="s">
        <v>1956</v>
      </c>
      <c r="B84" t="s">
        <v>89</v>
      </c>
      <c r="C84" t="s">
        <v>1951</v>
      </c>
      <c r="I84" t="s">
        <v>1957</v>
      </c>
      <c r="J84" t="s">
        <v>89</v>
      </c>
      <c r="K84" t="s">
        <v>92</v>
      </c>
      <c r="L84" t="s">
        <v>1921</v>
      </c>
    </row>
    <row r="86" spans="1:12">
      <c r="A86" t="s">
        <v>1958</v>
      </c>
      <c r="B86" t="s">
        <v>70</v>
      </c>
      <c r="C86" t="s">
        <v>77</v>
      </c>
      <c r="I86" t="s">
        <v>1959</v>
      </c>
      <c r="J86" t="s">
        <v>1920</v>
      </c>
      <c r="K86" t="s">
        <v>77</v>
      </c>
      <c r="L86" t="s">
        <v>1921</v>
      </c>
    </row>
    <row r="87" spans="1:12">
      <c r="A87" t="s">
        <v>1958</v>
      </c>
      <c r="B87" t="s">
        <v>70</v>
      </c>
      <c r="C87" t="s">
        <v>1922</v>
      </c>
      <c r="D87" t="s">
        <v>1923</v>
      </c>
      <c r="I87" t="s">
        <v>1959</v>
      </c>
      <c r="J87" t="s">
        <v>1920</v>
      </c>
      <c r="K87" t="s">
        <v>71</v>
      </c>
      <c r="L87" t="s">
        <v>1921</v>
      </c>
    </row>
    <row r="88" spans="1:12">
      <c r="A88" t="s">
        <v>1958</v>
      </c>
      <c r="B88" t="s">
        <v>70</v>
      </c>
      <c r="C88" t="s">
        <v>1922</v>
      </c>
      <c r="D88" t="s">
        <v>1924</v>
      </c>
      <c r="I88" t="s">
        <v>1959</v>
      </c>
      <c r="J88" t="s">
        <v>1920</v>
      </c>
      <c r="K88" t="s">
        <v>73</v>
      </c>
      <c r="L88" t="s">
        <v>1921</v>
      </c>
    </row>
    <row r="89" spans="1:12">
      <c r="A89" t="s">
        <v>1958</v>
      </c>
      <c r="B89" t="s">
        <v>70</v>
      </c>
      <c r="C89" t="s">
        <v>1922</v>
      </c>
      <c r="D89" t="s">
        <v>1925</v>
      </c>
      <c r="I89" t="s">
        <v>1959</v>
      </c>
      <c r="J89" t="s">
        <v>1920</v>
      </c>
      <c r="K89" t="s">
        <v>75</v>
      </c>
      <c r="L89" t="s">
        <v>1921</v>
      </c>
    </row>
    <row r="90" spans="1:12">
      <c r="A90" t="s">
        <v>1958</v>
      </c>
      <c r="B90" t="s">
        <v>70</v>
      </c>
      <c r="C90" t="s">
        <v>1922</v>
      </c>
      <c r="D90" t="s">
        <v>1926</v>
      </c>
      <c r="I90" t="s">
        <v>1959</v>
      </c>
      <c r="J90" t="s">
        <v>1920</v>
      </c>
      <c r="K90" t="s">
        <v>1565</v>
      </c>
      <c r="L90" t="s">
        <v>1921</v>
      </c>
    </row>
    <row r="91" spans="1:12">
      <c r="A91" t="s">
        <v>1958</v>
      </c>
      <c r="B91" t="s">
        <v>20</v>
      </c>
      <c r="C91" t="s">
        <v>1927</v>
      </c>
      <c r="D91" t="s">
        <v>1928</v>
      </c>
      <c r="E91" t="s">
        <v>1929</v>
      </c>
      <c r="I91" t="s">
        <v>1959</v>
      </c>
      <c r="J91" t="s">
        <v>303</v>
      </c>
      <c r="K91" t="s">
        <v>59</v>
      </c>
      <c r="L91" t="s">
        <v>1930</v>
      </c>
    </row>
    <row r="92" spans="1:12">
      <c r="A92" t="s">
        <v>1958</v>
      </c>
      <c r="B92" t="s">
        <v>20</v>
      </c>
      <c r="C92" t="s">
        <v>1927</v>
      </c>
      <c r="D92" t="s">
        <v>1928</v>
      </c>
      <c r="E92" t="s">
        <v>1931</v>
      </c>
      <c r="I92" t="s">
        <v>1959</v>
      </c>
      <c r="J92" t="s">
        <v>303</v>
      </c>
      <c r="K92" t="s">
        <v>59</v>
      </c>
      <c r="L92" t="s">
        <v>1932</v>
      </c>
    </row>
    <row r="93" spans="1:12">
      <c r="A93" t="s">
        <v>1958</v>
      </c>
      <c r="B93" t="s">
        <v>20</v>
      </c>
      <c r="C93" t="s">
        <v>1927</v>
      </c>
      <c r="D93" t="s">
        <v>1933</v>
      </c>
      <c r="E93" t="s">
        <v>1929</v>
      </c>
      <c r="I93" t="s">
        <v>1959</v>
      </c>
      <c r="J93" t="s">
        <v>303</v>
      </c>
      <c r="K93" t="s">
        <v>62</v>
      </c>
      <c r="L93" t="s">
        <v>1930</v>
      </c>
    </row>
    <row r="94" spans="1:12">
      <c r="A94" t="s">
        <v>1958</v>
      </c>
      <c r="B94" t="s">
        <v>20</v>
      </c>
      <c r="C94" t="s">
        <v>1927</v>
      </c>
      <c r="D94" t="s">
        <v>1933</v>
      </c>
      <c r="E94" t="s">
        <v>1931</v>
      </c>
      <c r="I94" t="s">
        <v>1959</v>
      </c>
      <c r="J94" t="s">
        <v>303</v>
      </c>
      <c r="K94" t="s">
        <v>62</v>
      </c>
      <c r="L94" t="s">
        <v>1932</v>
      </c>
    </row>
    <row r="95" spans="1:12">
      <c r="A95" t="s">
        <v>1958</v>
      </c>
      <c r="B95" t="s">
        <v>20</v>
      </c>
      <c r="C95" t="s">
        <v>1934</v>
      </c>
      <c r="D95" t="s">
        <v>1935</v>
      </c>
      <c r="E95" t="s">
        <v>1928</v>
      </c>
      <c r="F95" t="s">
        <v>204</v>
      </c>
      <c r="I95" t="s">
        <v>1959</v>
      </c>
      <c r="J95" t="s">
        <v>303</v>
      </c>
      <c r="K95" t="s">
        <v>83</v>
      </c>
      <c r="L95" t="s">
        <v>1936</v>
      </c>
    </row>
    <row r="96" spans="1:12">
      <c r="A96" t="s">
        <v>1958</v>
      </c>
      <c r="B96" t="s">
        <v>20</v>
      </c>
      <c r="C96" t="s">
        <v>1934</v>
      </c>
      <c r="D96" t="s">
        <v>1935</v>
      </c>
      <c r="E96" t="s">
        <v>1928</v>
      </c>
      <c r="F96" t="s">
        <v>247</v>
      </c>
      <c r="I96" t="s">
        <v>1959</v>
      </c>
      <c r="J96" t="s">
        <v>303</v>
      </c>
      <c r="K96" t="s">
        <v>83</v>
      </c>
      <c r="L96" t="s">
        <v>1937</v>
      </c>
    </row>
    <row r="97" spans="1:12">
      <c r="A97" t="s">
        <v>1958</v>
      </c>
      <c r="B97" t="s">
        <v>20</v>
      </c>
      <c r="C97" t="s">
        <v>1934</v>
      </c>
      <c r="D97" t="s">
        <v>1935</v>
      </c>
      <c r="E97" t="s">
        <v>1933</v>
      </c>
      <c r="F97" t="s">
        <v>204</v>
      </c>
      <c r="I97" t="s">
        <v>1959</v>
      </c>
      <c r="J97" t="s">
        <v>303</v>
      </c>
      <c r="K97" t="s">
        <v>86</v>
      </c>
      <c r="L97" t="s">
        <v>1936</v>
      </c>
    </row>
    <row r="98" spans="1:12">
      <c r="A98" t="s">
        <v>1958</v>
      </c>
      <c r="B98" t="s">
        <v>20</v>
      </c>
      <c r="C98" t="s">
        <v>1934</v>
      </c>
      <c r="D98" t="s">
        <v>1935</v>
      </c>
      <c r="E98" t="s">
        <v>1933</v>
      </c>
      <c r="F98" t="s">
        <v>247</v>
      </c>
      <c r="I98" t="s">
        <v>1959</v>
      </c>
      <c r="J98" t="s">
        <v>303</v>
      </c>
      <c r="K98" t="s">
        <v>86</v>
      </c>
      <c r="L98" t="s">
        <v>1937</v>
      </c>
    </row>
    <row r="99" spans="1:12">
      <c r="A99" t="s">
        <v>1958</v>
      </c>
      <c r="B99" t="s">
        <v>20</v>
      </c>
      <c r="C99" t="s">
        <v>1934</v>
      </c>
      <c r="D99" t="s">
        <v>1938</v>
      </c>
      <c r="E99" t="s">
        <v>204</v>
      </c>
      <c r="F99" t="s">
        <v>1928</v>
      </c>
      <c r="I99" t="s">
        <v>1959</v>
      </c>
      <c r="J99" t="s">
        <v>303</v>
      </c>
      <c r="K99" t="s">
        <v>21</v>
      </c>
      <c r="L99" t="s">
        <v>1937</v>
      </c>
    </row>
    <row r="100" spans="1:12">
      <c r="A100" t="s">
        <v>1958</v>
      </c>
      <c r="B100" t="s">
        <v>20</v>
      </c>
      <c r="C100" t="s">
        <v>1934</v>
      </c>
      <c r="D100" t="s">
        <v>1938</v>
      </c>
      <c r="E100" t="s">
        <v>204</v>
      </c>
      <c r="F100" t="s">
        <v>1933</v>
      </c>
      <c r="I100" t="s">
        <v>1959</v>
      </c>
      <c r="J100" t="s">
        <v>303</v>
      </c>
      <c r="K100" t="s">
        <v>1939</v>
      </c>
      <c r="L100" t="s">
        <v>1937</v>
      </c>
    </row>
    <row r="101" spans="1:12">
      <c r="A101" t="s">
        <v>1958</v>
      </c>
      <c r="B101" t="s">
        <v>20</v>
      </c>
      <c r="C101" t="s">
        <v>1934</v>
      </c>
      <c r="D101" t="s">
        <v>1938</v>
      </c>
      <c r="E101" t="s">
        <v>247</v>
      </c>
      <c r="I101" t="s">
        <v>1959</v>
      </c>
      <c r="J101" t="s">
        <v>303</v>
      </c>
      <c r="K101" t="s">
        <v>21</v>
      </c>
      <c r="L101" t="s">
        <v>1940</v>
      </c>
    </row>
    <row r="102" spans="1:12">
      <c r="A102" t="s">
        <v>1958</v>
      </c>
      <c r="B102" t="s">
        <v>20</v>
      </c>
      <c r="C102" t="s">
        <v>1934</v>
      </c>
      <c r="D102" t="s">
        <v>1941</v>
      </c>
      <c r="E102" t="s">
        <v>1928</v>
      </c>
      <c r="I102" t="s">
        <v>1959</v>
      </c>
      <c r="J102" t="s">
        <v>303</v>
      </c>
      <c r="K102" t="s">
        <v>79</v>
      </c>
      <c r="L102" t="s">
        <v>1942</v>
      </c>
    </row>
    <row r="103" spans="1:12">
      <c r="A103" t="s">
        <v>1958</v>
      </c>
      <c r="B103" t="s">
        <v>20</v>
      </c>
      <c r="C103" t="s">
        <v>1934</v>
      </c>
      <c r="D103" t="s">
        <v>1941</v>
      </c>
      <c r="E103" t="s">
        <v>1933</v>
      </c>
      <c r="I103" t="s">
        <v>1959</v>
      </c>
      <c r="J103" t="s">
        <v>303</v>
      </c>
      <c r="K103" t="s">
        <v>81</v>
      </c>
      <c r="L103" t="s">
        <v>1942</v>
      </c>
    </row>
    <row r="104" spans="1:12">
      <c r="A104" t="s">
        <v>1958</v>
      </c>
      <c r="B104" t="s">
        <v>20</v>
      </c>
      <c r="C104" t="s">
        <v>1943</v>
      </c>
      <c r="D104" t="s">
        <v>1944</v>
      </c>
      <c r="I104" t="s">
        <v>1959</v>
      </c>
      <c r="J104" t="s">
        <v>303</v>
      </c>
      <c r="K104" t="s">
        <v>1945</v>
      </c>
      <c r="L104" t="s">
        <v>1946</v>
      </c>
    </row>
    <row r="105" spans="1:12">
      <c r="A105" t="s">
        <v>1958</v>
      </c>
      <c r="B105" t="s">
        <v>20</v>
      </c>
      <c r="C105" t="s">
        <v>1943</v>
      </c>
      <c r="D105" t="s">
        <v>1947</v>
      </c>
      <c r="I105" t="s">
        <v>1959</v>
      </c>
      <c r="J105" t="s">
        <v>303</v>
      </c>
      <c r="K105" t="s">
        <v>1945</v>
      </c>
      <c r="L105" t="s">
        <v>1948</v>
      </c>
    </row>
    <row r="106" spans="1:12">
      <c r="A106" t="s">
        <v>1958</v>
      </c>
      <c r="B106" t="s">
        <v>20</v>
      </c>
      <c r="C106" t="s">
        <v>1949</v>
      </c>
      <c r="I106" t="s">
        <v>1959</v>
      </c>
      <c r="J106" t="s">
        <v>303</v>
      </c>
      <c r="K106" t="s">
        <v>65</v>
      </c>
      <c r="L106" t="s">
        <v>1950</v>
      </c>
    </row>
    <row r="107" spans="1:12">
      <c r="A107" t="s">
        <v>1958</v>
      </c>
      <c r="B107" t="s">
        <v>89</v>
      </c>
      <c r="C107" t="s">
        <v>20</v>
      </c>
      <c r="I107" t="s">
        <v>1959</v>
      </c>
      <c r="J107" t="s">
        <v>89</v>
      </c>
      <c r="K107" t="s">
        <v>90</v>
      </c>
      <c r="L107" t="s">
        <v>1921</v>
      </c>
    </row>
    <row r="108" spans="1:12">
      <c r="A108" t="s">
        <v>1958</v>
      </c>
      <c r="B108" t="s">
        <v>89</v>
      </c>
      <c r="C108" t="s">
        <v>1951</v>
      </c>
      <c r="I108" t="s">
        <v>1959</v>
      </c>
      <c r="J108" t="s">
        <v>89</v>
      </c>
      <c r="K108" t="s">
        <v>92</v>
      </c>
      <c r="L108" t="s">
        <v>1921</v>
      </c>
    </row>
    <row r="115" spans="1:5">
      <c r="A115" s="193" t="s">
        <v>1960</v>
      </c>
      <c r="B115" s="193"/>
      <c r="C115" s="193"/>
      <c r="D115" s="193"/>
      <c r="E115" s="193"/>
    </row>
    <row r="117" spans="1:5" s="1" customFormat="1">
      <c r="A117" s="1" t="s">
        <v>930</v>
      </c>
      <c r="B117" s="1" t="s">
        <v>12</v>
      </c>
      <c r="C117" s="1" t="s">
        <v>1961</v>
      </c>
      <c r="D117" s="1" t="s">
        <v>1962</v>
      </c>
      <c r="E117" s="1" t="s">
        <v>1963</v>
      </c>
    </row>
    <row r="118" spans="1:5">
      <c r="A118" t="s">
        <v>1954</v>
      </c>
      <c r="B118" t="s">
        <v>20</v>
      </c>
      <c r="C118" t="s">
        <v>1927</v>
      </c>
      <c r="D118" t="s">
        <v>77</v>
      </c>
      <c r="E118" t="s">
        <v>1923</v>
      </c>
    </row>
    <row r="119" spans="1:5">
      <c r="A119" t="s">
        <v>1964</v>
      </c>
      <c r="B119" t="s">
        <v>70</v>
      </c>
      <c r="C119" t="s">
        <v>59</v>
      </c>
      <c r="D119" t="s">
        <v>1965</v>
      </c>
      <c r="E119" t="s">
        <v>1924</v>
      </c>
    </row>
    <row r="120" spans="1:5">
      <c r="A120" t="s">
        <v>1956</v>
      </c>
      <c r="B120" t="s">
        <v>89</v>
      </c>
      <c r="C120" t="s">
        <v>1934</v>
      </c>
      <c r="D120" t="s">
        <v>1966</v>
      </c>
      <c r="E120" t="s">
        <v>1925</v>
      </c>
    </row>
    <row r="121" spans="1:5">
      <c r="A121" t="s">
        <v>1967</v>
      </c>
      <c r="B121" t="s">
        <v>313</v>
      </c>
      <c r="C121" t="s">
        <v>1968</v>
      </c>
      <c r="D121" t="s">
        <v>1922</v>
      </c>
      <c r="E121" t="s">
        <v>1926</v>
      </c>
    </row>
    <row r="122" spans="1:5">
      <c r="A122" t="s">
        <v>1969</v>
      </c>
      <c r="B122" t="s">
        <v>222</v>
      </c>
      <c r="C122" t="s">
        <v>1970</v>
      </c>
      <c r="D122" t="s">
        <v>1971</v>
      </c>
      <c r="E122" t="s">
        <v>379</v>
      </c>
    </row>
    <row r="123" spans="1:5">
      <c r="A123" t="s">
        <v>1972</v>
      </c>
      <c r="B123" t="s">
        <v>1973</v>
      </c>
      <c r="C123" t="s">
        <v>1943</v>
      </c>
      <c r="E123" t="s">
        <v>407</v>
      </c>
    </row>
    <row r="124" spans="1:5">
      <c r="A124" t="s">
        <v>1974</v>
      </c>
      <c r="B124" t="s">
        <v>1975</v>
      </c>
      <c r="C124" t="s">
        <v>1458</v>
      </c>
      <c r="E124" t="s">
        <v>1976</v>
      </c>
    </row>
    <row r="125" spans="1:5">
      <c r="A125" t="s">
        <v>1977</v>
      </c>
      <c r="B125" t="s">
        <v>1425</v>
      </c>
      <c r="C125" t="s">
        <v>1978</v>
      </c>
      <c r="E125" t="s">
        <v>1979</v>
      </c>
    </row>
    <row r="126" spans="1:5">
      <c r="A126" t="s">
        <v>1980</v>
      </c>
      <c r="C126" t="s">
        <v>1949</v>
      </c>
      <c r="E126" t="s">
        <v>1981</v>
      </c>
    </row>
    <row r="127" spans="1:5">
      <c r="A127" t="s">
        <v>1982</v>
      </c>
      <c r="C127" t="s">
        <v>1983</v>
      </c>
      <c r="E127" t="s">
        <v>1984</v>
      </c>
    </row>
    <row r="128" spans="1:5">
      <c r="A128" t="s">
        <v>1958</v>
      </c>
      <c r="C128" t="s">
        <v>66</v>
      </c>
      <c r="E128" t="s">
        <v>1985</v>
      </c>
    </row>
    <row r="129" spans="1:3">
      <c r="A129" t="s">
        <v>1919</v>
      </c>
      <c r="C129" t="s">
        <v>1986</v>
      </c>
    </row>
    <row r="130" spans="1:3">
      <c r="A130" t="s">
        <v>1987</v>
      </c>
      <c r="C130" t="s">
        <v>1988</v>
      </c>
    </row>
    <row r="131" spans="1:3">
      <c r="A131" t="s">
        <v>1989</v>
      </c>
    </row>
    <row r="132" spans="1:3">
      <c r="A132" t="s">
        <v>1421</v>
      </c>
    </row>
    <row r="133" spans="1:3">
      <c r="A133" t="s">
        <v>1422</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21BD3-8E1C-4031-9114-F255E6B5F70E}">
  <dimension ref="A1:S514"/>
  <sheetViews>
    <sheetView zoomScale="90" zoomScaleNormal="90" workbookViewId="0">
      <pane xSplit="4" ySplit="3" topLeftCell="E168" activePane="bottomRight" state="frozen"/>
      <selection pane="bottomRight" activeCell="D168" sqref="D168:D436"/>
      <selection pane="bottomLeft" activeCell="A4" sqref="A4"/>
      <selection pane="topRight" activeCell="D1" sqref="D1"/>
    </sheetView>
  </sheetViews>
  <sheetFormatPr defaultRowHeight="14.45" outlineLevelCol="1"/>
  <cols>
    <col min="1" max="1" width="9.7109375" customWidth="1"/>
    <col min="2" max="2" width="24.28515625" bestFit="1" customWidth="1"/>
    <col min="3" max="3" width="27.7109375" customWidth="1"/>
    <col min="4" max="4" width="23.42578125" style="19" customWidth="1" outlineLevel="1"/>
    <col min="5" max="5" width="6.85546875" customWidth="1" outlineLevel="1"/>
    <col min="6" max="6" width="13.5703125" style="13" customWidth="1" outlineLevel="1"/>
    <col min="7" max="7" width="29.28515625" style="11" customWidth="1" outlineLevel="1"/>
    <col min="8" max="8" width="15.5703125" customWidth="1"/>
    <col min="9" max="9" width="14.42578125" customWidth="1"/>
    <col min="10" max="10" width="12.42578125" customWidth="1"/>
    <col min="11" max="11" width="40.85546875" customWidth="1" outlineLevel="1"/>
    <col min="12" max="12" width="24" customWidth="1" outlineLevel="1"/>
    <col min="13" max="13" width="8.85546875" customWidth="1" outlineLevel="1"/>
    <col min="14" max="14" width="8.85546875" style="31"/>
    <col min="15" max="15" width="11.5703125" style="31" customWidth="1"/>
    <col min="16" max="16" width="8.85546875" style="31"/>
    <col min="17" max="17" width="9.28515625" style="31" bestFit="1" customWidth="1"/>
  </cols>
  <sheetData>
    <row r="1" spans="1:19">
      <c r="A1" s="3" t="s">
        <v>1990</v>
      </c>
      <c r="B1" s="3"/>
      <c r="C1" s="3"/>
      <c r="G1" s="11" t="s">
        <v>167</v>
      </c>
      <c r="J1" s="3" t="s">
        <v>1991</v>
      </c>
      <c r="K1" s="3"/>
      <c r="N1" s="28"/>
      <c r="O1" s="29" t="s">
        <v>169</v>
      </c>
      <c r="P1" s="30">
        <v>3</v>
      </c>
      <c r="Q1" s="30">
        <v>2</v>
      </c>
      <c r="R1" s="30">
        <v>1</v>
      </c>
      <c r="S1" s="37">
        <v>0</v>
      </c>
    </row>
    <row r="2" spans="1:19" ht="14.45" customHeight="1" thickBot="1">
      <c r="J2" s="3" t="s">
        <v>1992</v>
      </c>
      <c r="K2" s="3"/>
      <c r="O2" s="32" t="s">
        <v>172</v>
      </c>
      <c r="P2" s="33">
        <v>1.5</v>
      </c>
      <c r="Q2" s="33">
        <v>1</v>
      </c>
      <c r="R2" s="33">
        <v>0.5</v>
      </c>
      <c r="S2" s="38">
        <v>0</v>
      </c>
    </row>
    <row r="3" spans="1:19" s="1" customFormat="1" ht="82.9">
      <c r="A3" s="12" t="s">
        <v>1993</v>
      </c>
      <c r="B3" s="12" t="s">
        <v>174</v>
      </c>
      <c r="C3" s="18" t="s">
        <v>175</v>
      </c>
      <c r="D3" s="25" t="s">
        <v>954</v>
      </c>
      <c r="E3" s="16" t="s">
        <v>177</v>
      </c>
      <c r="F3" s="14" t="s">
        <v>178</v>
      </c>
      <c r="G3" s="12" t="s">
        <v>179</v>
      </c>
      <c r="H3" s="18" t="s">
        <v>181</v>
      </c>
      <c r="I3" s="42" t="s">
        <v>1994</v>
      </c>
      <c r="J3" s="12" t="s">
        <v>183</v>
      </c>
      <c r="K3" s="1" t="s">
        <v>184</v>
      </c>
      <c r="L3" s="1" t="s">
        <v>1995</v>
      </c>
      <c r="M3" s="1" t="s">
        <v>1996</v>
      </c>
      <c r="N3" s="39" t="s">
        <v>193</v>
      </c>
      <c r="O3" s="40" t="s">
        <v>194</v>
      </c>
      <c r="P3" s="41" t="s">
        <v>195</v>
      </c>
      <c r="Q3" s="41" t="s">
        <v>196</v>
      </c>
    </row>
    <row r="4" spans="1:19">
      <c r="A4">
        <v>1</v>
      </c>
      <c r="B4" s="15" t="s">
        <v>200</v>
      </c>
      <c r="C4" t="s">
        <v>201</v>
      </c>
      <c r="D4" s="19" t="s">
        <v>202</v>
      </c>
      <c r="E4">
        <v>0</v>
      </c>
      <c r="F4" s="13">
        <v>23</v>
      </c>
      <c r="G4" s="11" t="s">
        <v>203</v>
      </c>
      <c r="H4" t="s">
        <v>205</v>
      </c>
      <c r="O4" s="31">
        <v>0</v>
      </c>
      <c r="P4" s="34">
        <f t="shared" ref="P4:P67" si="0">IF(ISNUMBER(O4),HLOOKUP(O4,$O$1:$S$2,2,FALSE)*E4,"")</f>
        <v>0</v>
      </c>
    </row>
    <row r="5" spans="1:19">
      <c r="A5">
        <v>2</v>
      </c>
      <c r="B5" s="15" t="s">
        <v>200</v>
      </c>
      <c r="C5" t="s">
        <v>201</v>
      </c>
      <c r="D5" s="19" t="s">
        <v>210</v>
      </c>
      <c r="E5">
        <v>0</v>
      </c>
      <c r="F5" s="13">
        <v>23</v>
      </c>
      <c r="G5" s="11" t="s">
        <v>203</v>
      </c>
      <c r="H5" t="s">
        <v>205</v>
      </c>
      <c r="O5" s="31">
        <v>0</v>
      </c>
      <c r="P5" s="34">
        <f t="shared" si="0"/>
        <v>0</v>
      </c>
    </row>
    <row r="6" spans="1:19">
      <c r="A6">
        <v>3</v>
      </c>
      <c r="B6" s="15" t="s">
        <v>200</v>
      </c>
      <c r="C6" t="s">
        <v>201</v>
      </c>
      <c r="D6" s="19" t="s">
        <v>212</v>
      </c>
      <c r="E6">
        <v>0</v>
      </c>
      <c r="F6" s="13">
        <v>23</v>
      </c>
      <c r="G6" s="11" t="s">
        <v>203</v>
      </c>
      <c r="H6" t="s">
        <v>205</v>
      </c>
      <c r="O6" s="31">
        <v>0</v>
      </c>
      <c r="P6" s="34">
        <f t="shared" si="0"/>
        <v>0</v>
      </c>
    </row>
    <row r="7" spans="1:19">
      <c r="A7">
        <v>4</v>
      </c>
      <c r="B7" s="15" t="s">
        <v>200</v>
      </c>
      <c r="C7" t="s">
        <v>201</v>
      </c>
      <c r="D7" s="19" t="s">
        <v>214</v>
      </c>
      <c r="E7">
        <v>0</v>
      </c>
      <c r="F7" s="13">
        <v>23</v>
      </c>
      <c r="G7" s="11" t="s">
        <v>203</v>
      </c>
      <c r="H7" t="s">
        <v>205</v>
      </c>
      <c r="O7" s="31">
        <v>0</v>
      </c>
      <c r="P7" s="34">
        <f t="shared" si="0"/>
        <v>0</v>
      </c>
    </row>
    <row r="8" spans="1:19">
      <c r="A8">
        <v>5</v>
      </c>
      <c r="B8" s="15" t="s">
        <v>200</v>
      </c>
      <c r="C8" t="s">
        <v>216</v>
      </c>
      <c r="D8" s="19" t="s">
        <v>205</v>
      </c>
      <c r="E8">
        <v>0</v>
      </c>
      <c r="F8" s="13">
        <v>23</v>
      </c>
      <c r="G8" s="11" t="s">
        <v>203</v>
      </c>
      <c r="H8" t="s">
        <v>205</v>
      </c>
      <c r="O8" s="31">
        <v>0</v>
      </c>
      <c r="P8" s="34">
        <f t="shared" si="0"/>
        <v>0</v>
      </c>
    </row>
    <row r="9" spans="1:19">
      <c r="A9">
        <v>6</v>
      </c>
      <c r="B9" s="15" t="s">
        <v>200</v>
      </c>
      <c r="C9" t="s">
        <v>216</v>
      </c>
      <c r="D9" s="19" t="s">
        <v>218</v>
      </c>
      <c r="E9">
        <v>1</v>
      </c>
      <c r="F9" s="13" t="s">
        <v>219</v>
      </c>
      <c r="G9" s="11" t="s">
        <v>217</v>
      </c>
      <c r="H9" t="s">
        <v>205</v>
      </c>
      <c r="I9" t="s">
        <v>218</v>
      </c>
      <c r="N9" s="31">
        <v>4</v>
      </c>
      <c r="O9" s="31">
        <v>1</v>
      </c>
      <c r="P9" s="34">
        <f t="shared" si="0"/>
        <v>0.5</v>
      </c>
      <c r="Q9" s="31" t="s">
        <v>222</v>
      </c>
    </row>
    <row r="10" spans="1:19">
      <c r="A10">
        <v>7</v>
      </c>
      <c r="B10" s="15" t="s">
        <v>200</v>
      </c>
      <c r="C10" t="s">
        <v>10</v>
      </c>
      <c r="D10" s="19" t="s">
        <v>12</v>
      </c>
      <c r="E10">
        <v>1</v>
      </c>
      <c r="F10" s="13">
        <v>24</v>
      </c>
      <c r="G10" s="11" t="s">
        <v>226</v>
      </c>
      <c r="H10" t="s">
        <v>205</v>
      </c>
      <c r="J10" t="s">
        <v>227</v>
      </c>
      <c r="L10" t="s">
        <v>228</v>
      </c>
      <c r="M10" t="s">
        <v>1997</v>
      </c>
      <c r="N10" s="31">
        <v>1</v>
      </c>
      <c r="O10" s="31">
        <v>3</v>
      </c>
      <c r="P10" s="34">
        <f t="shared" si="0"/>
        <v>1.5</v>
      </c>
      <c r="Q10" s="35" t="s">
        <v>230</v>
      </c>
    </row>
    <row r="11" spans="1:19">
      <c r="A11">
        <v>8</v>
      </c>
      <c r="B11" s="15" t="s">
        <v>200</v>
      </c>
      <c r="C11" t="s">
        <v>10</v>
      </c>
      <c r="D11" s="19" t="s">
        <v>11</v>
      </c>
      <c r="E11">
        <v>1</v>
      </c>
      <c r="F11" s="13">
        <v>24</v>
      </c>
      <c r="G11" s="11" t="s">
        <v>1998</v>
      </c>
      <c r="H11" t="s">
        <v>205</v>
      </c>
      <c r="J11" s="21" t="s">
        <v>232</v>
      </c>
      <c r="L11" t="s">
        <v>228</v>
      </c>
      <c r="M11" t="s">
        <v>1997</v>
      </c>
      <c r="N11" s="31">
        <v>1</v>
      </c>
      <c r="O11" s="31">
        <v>3</v>
      </c>
      <c r="P11" s="34">
        <f t="shared" si="0"/>
        <v>1.5</v>
      </c>
      <c r="Q11" s="35" t="s">
        <v>230</v>
      </c>
    </row>
    <row r="12" spans="1:19">
      <c r="A12">
        <v>9</v>
      </c>
      <c r="B12" s="15" t="s">
        <v>200</v>
      </c>
      <c r="C12" t="s">
        <v>10</v>
      </c>
      <c r="D12" s="19" t="s">
        <v>13</v>
      </c>
      <c r="E12">
        <v>1</v>
      </c>
      <c r="F12" s="13">
        <v>24</v>
      </c>
      <c r="G12" s="11" t="s">
        <v>902</v>
      </c>
      <c r="H12" t="s">
        <v>205</v>
      </c>
      <c r="J12" t="s">
        <v>234</v>
      </c>
      <c r="K12" t="s">
        <v>235</v>
      </c>
      <c r="L12" t="s">
        <v>228</v>
      </c>
      <c r="M12" t="s">
        <v>1997</v>
      </c>
      <c r="N12" s="31">
        <v>1</v>
      </c>
      <c r="O12" s="31">
        <v>3</v>
      </c>
      <c r="P12" s="34">
        <f t="shared" si="0"/>
        <v>1.5</v>
      </c>
      <c r="Q12" s="35" t="s">
        <v>230</v>
      </c>
    </row>
    <row r="13" spans="1:19">
      <c r="A13">
        <v>10</v>
      </c>
      <c r="B13" s="15" t="s">
        <v>200</v>
      </c>
      <c r="C13" t="s">
        <v>10</v>
      </c>
      <c r="D13" s="19" t="s">
        <v>14</v>
      </c>
      <c r="E13">
        <v>1</v>
      </c>
      <c r="F13" s="13">
        <v>24</v>
      </c>
      <c r="G13" s="11" t="s">
        <v>902</v>
      </c>
      <c r="H13" t="s">
        <v>205</v>
      </c>
      <c r="J13" t="s">
        <v>238</v>
      </c>
      <c r="K13" t="s">
        <v>239</v>
      </c>
      <c r="L13" t="s">
        <v>228</v>
      </c>
      <c r="M13" t="s">
        <v>1997</v>
      </c>
      <c r="N13" s="31">
        <v>1</v>
      </c>
      <c r="O13" s="31">
        <v>3</v>
      </c>
      <c r="P13" s="34">
        <f t="shared" si="0"/>
        <v>1.5</v>
      </c>
      <c r="Q13" s="35" t="s">
        <v>230</v>
      </c>
    </row>
    <row r="14" spans="1:19">
      <c r="A14">
        <v>11</v>
      </c>
      <c r="B14" s="15" t="s">
        <v>200</v>
      </c>
      <c r="C14" t="s">
        <v>10</v>
      </c>
      <c r="D14" s="19" t="s">
        <v>1999</v>
      </c>
      <c r="E14">
        <v>1</v>
      </c>
      <c r="F14" s="13">
        <v>24</v>
      </c>
      <c r="G14" s="11" t="s">
        <v>242</v>
      </c>
      <c r="H14" t="s">
        <v>205</v>
      </c>
      <c r="J14" s="21" t="s">
        <v>232</v>
      </c>
      <c r="N14" s="31">
        <v>1</v>
      </c>
      <c r="O14" s="31">
        <v>1</v>
      </c>
      <c r="P14" s="34">
        <f t="shared" si="0"/>
        <v>0.5</v>
      </c>
      <c r="Q14" s="35" t="s">
        <v>230</v>
      </c>
    </row>
    <row r="15" spans="1:19">
      <c r="A15">
        <v>12</v>
      </c>
      <c r="B15" s="15" t="s">
        <v>200</v>
      </c>
      <c r="C15" t="s">
        <v>10</v>
      </c>
      <c r="D15" s="19" t="s">
        <v>2000</v>
      </c>
      <c r="E15">
        <v>1</v>
      </c>
      <c r="F15" s="13">
        <v>24</v>
      </c>
      <c r="G15" s="11" t="s">
        <v>242</v>
      </c>
      <c r="H15" t="s">
        <v>205</v>
      </c>
      <c r="J15" s="21" t="s">
        <v>232</v>
      </c>
      <c r="N15" s="31">
        <v>1</v>
      </c>
      <c r="O15" s="31">
        <v>1</v>
      </c>
      <c r="P15" s="34">
        <f t="shared" si="0"/>
        <v>0.5</v>
      </c>
      <c r="Q15" s="35" t="s">
        <v>230</v>
      </c>
    </row>
    <row r="16" spans="1:19">
      <c r="A16">
        <v>13</v>
      </c>
      <c r="B16" s="15" t="s">
        <v>200</v>
      </c>
      <c r="C16" t="s">
        <v>10</v>
      </c>
      <c r="D16" s="19" t="s">
        <v>40</v>
      </c>
      <c r="E16">
        <v>0</v>
      </c>
      <c r="F16" s="13" t="s">
        <v>246</v>
      </c>
      <c r="G16" s="11" t="s">
        <v>46</v>
      </c>
      <c r="H16" t="s">
        <v>248</v>
      </c>
      <c r="O16" s="31">
        <v>1</v>
      </c>
      <c r="P16" s="34">
        <f t="shared" si="0"/>
        <v>0</v>
      </c>
    </row>
    <row r="17" spans="1:17">
      <c r="A17">
        <v>14</v>
      </c>
      <c r="B17" s="15" t="s">
        <v>200</v>
      </c>
      <c r="C17" t="s">
        <v>10</v>
      </c>
      <c r="D17" s="19" t="s">
        <v>15</v>
      </c>
      <c r="E17">
        <v>1</v>
      </c>
      <c r="F17" s="13">
        <v>24</v>
      </c>
      <c r="G17" s="11" t="s">
        <v>253</v>
      </c>
      <c r="H17" t="s">
        <v>205</v>
      </c>
      <c r="J17" t="s">
        <v>254</v>
      </c>
      <c r="N17" s="31">
        <v>1</v>
      </c>
      <c r="O17" s="31">
        <v>2</v>
      </c>
      <c r="P17" s="34">
        <f t="shared" si="0"/>
        <v>1</v>
      </c>
      <c r="Q17" s="35" t="s">
        <v>230</v>
      </c>
    </row>
    <row r="18" spans="1:17">
      <c r="A18">
        <v>15</v>
      </c>
      <c r="B18" s="15" t="s">
        <v>200</v>
      </c>
      <c r="C18" t="s">
        <v>10</v>
      </c>
      <c r="D18" s="19" t="s">
        <v>45</v>
      </c>
      <c r="E18">
        <v>1</v>
      </c>
      <c r="F18" s="13">
        <v>24</v>
      </c>
      <c r="G18" s="11" t="s">
        <v>46</v>
      </c>
      <c r="H18" t="s">
        <v>205</v>
      </c>
      <c r="J18" t="s">
        <v>256</v>
      </c>
      <c r="K18" t="s">
        <v>2001</v>
      </c>
      <c r="N18" s="31">
        <v>1</v>
      </c>
      <c r="O18" s="31">
        <v>1</v>
      </c>
      <c r="P18" s="34">
        <f t="shared" si="0"/>
        <v>0.5</v>
      </c>
      <c r="Q18" s="35" t="s">
        <v>230</v>
      </c>
    </row>
    <row r="19" spans="1:17">
      <c r="A19">
        <v>16</v>
      </c>
      <c r="B19" s="21"/>
      <c r="C19" s="21" t="s">
        <v>10</v>
      </c>
      <c r="D19" s="22" t="s">
        <v>49</v>
      </c>
      <c r="E19" s="21">
        <v>1</v>
      </c>
      <c r="F19" s="23"/>
      <c r="G19" s="24" t="s">
        <v>902</v>
      </c>
      <c r="H19" s="21" t="s">
        <v>205</v>
      </c>
      <c r="I19" s="21"/>
      <c r="J19" s="21" t="s">
        <v>259</v>
      </c>
      <c r="K19" s="21" t="s">
        <v>2002</v>
      </c>
      <c r="L19" s="21"/>
      <c r="M19" s="21"/>
      <c r="N19" s="36">
        <v>1</v>
      </c>
      <c r="O19" s="36">
        <v>3</v>
      </c>
      <c r="P19" s="34">
        <f t="shared" si="0"/>
        <v>1.5</v>
      </c>
      <c r="Q19" s="35" t="s">
        <v>230</v>
      </c>
    </row>
    <row r="20" spans="1:17">
      <c r="A20">
        <v>17</v>
      </c>
      <c r="B20" s="15" t="s">
        <v>200</v>
      </c>
      <c r="C20" t="s">
        <v>10</v>
      </c>
      <c r="D20" s="19" t="s">
        <v>52</v>
      </c>
      <c r="E20">
        <v>1</v>
      </c>
      <c r="F20" s="13" t="s">
        <v>262</v>
      </c>
      <c r="G20" s="11" t="s">
        <v>46</v>
      </c>
      <c r="H20" t="s">
        <v>205</v>
      </c>
      <c r="I20" t="s">
        <v>218</v>
      </c>
      <c r="J20" t="s">
        <v>263</v>
      </c>
      <c r="K20" t="s">
        <v>376</v>
      </c>
      <c r="N20" s="31">
        <v>1</v>
      </c>
      <c r="O20" s="31">
        <v>2</v>
      </c>
      <c r="P20" s="34">
        <f t="shared" si="0"/>
        <v>1</v>
      </c>
      <c r="Q20" s="35" t="s">
        <v>252</v>
      </c>
    </row>
    <row r="21" spans="1:17" ht="28.9">
      <c r="A21">
        <v>18</v>
      </c>
      <c r="B21" s="15" t="s">
        <v>200</v>
      </c>
      <c r="C21" t="s">
        <v>10</v>
      </c>
      <c r="D21" s="19" t="s">
        <v>54</v>
      </c>
      <c r="E21">
        <v>1</v>
      </c>
      <c r="F21" s="13" t="s">
        <v>262</v>
      </c>
      <c r="G21" s="11" t="s">
        <v>46</v>
      </c>
      <c r="H21" t="s">
        <v>205</v>
      </c>
      <c r="I21" t="s">
        <v>218</v>
      </c>
      <c r="J21" t="s">
        <v>267</v>
      </c>
      <c r="K21" s="11" t="s">
        <v>268</v>
      </c>
      <c r="L21" s="21" t="s">
        <v>2003</v>
      </c>
      <c r="N21" s="31">
        <v>1</v>
      </c>
      <c r="O21" s="31">
        <v>2</v>
      </c>
      <c r="P21" s="34">
        <f t="shared" si="0"/>
        <v>1</v>
      </c>
      <c r="Q21" s="35" t="s">
        <v>252</v>
      </c>
    </row>
    <row r="22" spans="1:17">
      <c r="A22">
        <v>19</v>
      </c>
      <c r="B22" s="15" t="s">
        <v>200</v>
      </c>
      <c r="C22" t="s">
        <v>94</v>
      </c>
      <c r="D22" s="19" t="s">
        <v>95</v>
      </c>
      <c r="E22">
        <v>1</v>
      </c>
      <c r="F22" s="13" t="s">
        <v>262</v>
      </c>
      <c r="G22" s="11" t="s">
        <v>269</v>
      </c>
      <c r="H22" t="s">
        <v>205</v>
      </c>
      <c r="I22" t="s">
        <v>218</v>
      </c>
      <c r="J22" t="s">
        <v>270</v>
      </c>
      <c r="N22" s="31">
        <v>2</v>
      </c>
      <c r="O22" s="31">
        <v>2</v>
      </c>
      <c r="P22" s="34">
        <f t="shared" si="0"/>
        <v>1</v>
      </c>
      <c r="Q22" s="35" t="s">
        <v>252</v>
      </c>
    </row>
    <row r="23" spans="1:17">
      <c r="A23">
        <v>20</v>
      </c>
      <c r="B23" s="15" t="s">
        <v>200</v>
      </c>
      <c r="C23" t="s">
        <v>94</v>
      </c>
      <c r="D23" s="19" t="s">
        <v>96</v>
      </c>
      <c r="E23">
        <v>1</v>
      </c>
      <c r="F23" s="13" t="s">
        <v>262</v>
      </c>
      <c r="G23" s="11" t="s">
        <v>272</v>
      </c>
      <c r="H23" t="s">
        <v>205</v>
      </c>
      <c r="I23" t="s">
        <v>218</v>
      </c>
      <c r="J23" t="s">
        <v>273</v>
      </c>
      <c r="N23" s="31">
        <v>2</v>
      </c>
      <c r="O23" s="31">
        <v>2</v>
      </c>
      <c r="P23" s="34">
        <f t="shared" si="0"/>
        <v>1</v>
      </c>
      <c r="Q23" s="35" t="s">
        <v>252</v>
      </c>
    </row>
    <row r="24" spans="1:17">
      <c r="A24">
        <v>21</v>
      </c>
      <c r="B24" s="15" t="s">
        <v>200</v>
      </c>
      <c r="C24" t="s">
        <v>94</v>
      </c>
      <c r="D24" s="19" t="s">
        <v>102</v>
      </c>
      <c r="E24">
        <v>1</v>
      </c>
      <c r="F24" s="13" t="s">
        <v>262</v>
      </c>
      <c r="G24" s="11" t="s">
        <v>46</v>
      </c>
      <c r="H24" t="s">
        <v>205</v>
      </c>
      <c r="I24" t="s">
        <v>218</v>
      </c>
      <c r="J24" t="s">
        <v>276</v>
      </c>
      <c r="N24" s="31">
        <v>2</v>
      </c>
      <c r="O24" s="31">
        <v>1</v>
      </c>
      <c r="P24" s="34">
        <f t="shared" si="0"/>
        <v>0.5</v>
      </c>
      <c r="Q24" s="35" t="s">
        <v>252</v>
      </c>
    </row>
    <row r="25" spans="1:17">
      <c r="A25">
        <v>22</v>
      </c>
      <c r="B25" s="15" t="s">
        <v>200</v>
      </c>
      <c r="C25" t="s">
        <v>94</v>
      </c>
      <c r="D25" s="19" t="s">
        <v>97</v>
      </c>
      <c r="E25">
        <v>1</v>
      </c>
      <c r="F25" s="13" t="s">
        <v>262</v>
      </c>
      <c r="G25" s="11" t="s">
        <v>277</v>
      </c>
      <c r="H25" t="s">
        <v>205</v>
      </c>
      <c r="I25" t="s">
        <v>218</v>
      </c>
      <c r="J25" t="s">
        <v>278</v>
      </c>
      <c r="N25" s="31">
        <v>2</v>
      </c>
      <c r="O25" s="31">
        <v>1</v>
      </c>
      <c r="P25" s="34">
        <f t="shared" si="0"/>
        <v>0.5</v>
      </c>
      <c r="Q25" s="35" t="s">
        <v>252</v>
      </c>
    </row>
    <row r="26" spans="1:17">
      <c r="A26">
        <v>23</v>
      </c>
      <c r="B26" s="15" t="s">
        <v>200</v>
      </c>
      <c r="C26" t="s">
        <v>94</v>
      </c>
      <c r="D26" s="19" t="s">
        <v>98</v>
      </c>
      <c r="E26">
        <v>1</v>
      </c>
      <c r="F26" s="13" t="s">
        <v>262</v>
      </c>
      <c r="G26" s="11" t="s">
        <v>272</v>
      </c>
      <c r="H26" t="s">
        <v>205</v>
      </c>
      <c r="I26" t="s">
        <v>218</v>
      </c>
      <c r="J26" t="s">
        <v>279</v>
      </c>
      <c r="N26" s="31">
        <v>2</v>
      </c>
      <c r="O26" s="31">
        <v>2</v>
      </c>
      <c r="P26" s="34">
        <f t="shared" si="0"/>
        <v>1</v>
      </c>
      <c r="Q26" s="35" t="s">
        <v>252</v>
      </c>
    </row>
    <row r="27" spans="1:17">
      <c r="A27">
        <v>24</v>
      </c>
      <c r="B27" s="15" t="s">
        <v>200</v>
      </c>
      <c r="C27" t="s">
        <v>94</v>
      </c>
      <c r="D27" s="19" t="s">
        <v>107</v>
      </c>
      <c r="E27">
        <v>1</v>
      </c>
      <c r="F27" s="13" t="s">
        <v>262</v>
      </c>
      <c r="G27" s="11" t="s">
        <v>46</v>
      </c>
      <c r="H27" t="s">
        <v>205</v>
      </c>
      <c r="I27" t="s">
        <v>218</v>
      </c>
      <c r="J27" t="s">
        <v>280</v>
      </c>
      <c r="N27" s="31">
        <v>2</v>
      </c>
      <c r="O27" s="31">
        <v>3</v>
      </c>
      <c r="P27" s="34">
        <f t="shared" si="0"/>
        <v>1.5</v>
      </c>
      <c r="Q27" s="35" t="s">
        <v>252</v>
      </c>
    </row>
    <row r="28" spans="1:17">
      <c r="A28">
        <v>25</v>
      </c>
      <c r="B28" s="15" t="s">
        <v>200</v>
      </c>
      <c r="C28" t="s">
        <v>108</v>
      </c>
      <c r="D28" s="19" t="s">
        <v>109</v>
      </c>
      <c r="E28">
        <v>1</v>
      </c>
      <c r="F28" s="13">
        <v>25</v>
      </c>
      <c r="G28" s="11" t="s">
        <v>281</v>
      </c>
      <c r="H28" t="s">
        <v>205</v>
      </c>
      <c r="J28" s="21" t="s">
        <v>232</v>
      </c>
      <c r="K28" t="s">
        <v>2004</v>
      </c>
      <c r="N28" s="31">
        <v>3</v>
      </c>
      <c r="O28" s="31">
        <v>3</v>
      </c>
      <c r="P28" s="34">
        <f t="shared" si="0"/>
        <v>1.5</v>
      </c>
      <c r="Q28" s="35" t="s">
        <v>252</v>
      </c>
    </row>
    <row r="29" spans="1:17">
      <c r="A29">
        <v>26</v>
      </c>
      <c r="B29" s="15" t="s">
        <v>200</v>
      </c>
      <c r="C29" t="s">
        <v>2005</v>
      </c>
      <c r="D29" s="19" t="s">
        <v>286</v>
      </c>
      <c r="E29">
        <v>1</v>
      </c>
      <c r="F29" s="13">
        <v>25</v>
      </c>
      <c r="G29" s="11" t="s">
        <v>242</v>
      </c>
      <c r="H29" t="s">
        <v>205</v>
      </c>
      <c r="J29" t="s">
        <v>288</v>
      </c>
      <c r="N29" s="31">
        <v>3</v>
      </c>
      <c r="O29" s="31">
        <v>1</v>
      </c>
      <c r="P29" s="34">
        <f t="shared" si="0"/>
        <v>0.5</v>
      </c>
      <c r="Q29" s="35" t="s">
        <v>252</v>
      </c>
    </row>
    <row r="30" spans="1:17">
      <c r="A30">
        <v>27</v>
      </c>
      <c r="B30" s="15" t="s">
        <v>200</v>
      </c>
      <c r="C30" t="s">
        <v>2005</v>
      </c>
      <c r="D30" s="19" t="s">
        <v>115</v>
      </c>
      <c r="E30">
        <v>1</v>
      </c>
      <c r="F30" s="13">
        <v>25</v>
      </c>
      <c r="G30" s="11" t="s">
        <v>242</v>
      </c>
      <c r="H30" t="s">
        <v>205</v>
      </c>
      <c r="J30" t="s">
        <v>292</v>
      </c>
      <c r="N30" s="31">
        <v>3</v>
      </c>
      <c r="O30" s="31">
        <v>1</v>
      </c>
      <c r="P30" s="34">
        <f t="shared" si="0"/>
        <v>0.5</v>
      </c>
      <c r="Q30" s="35" t="s">
        <v>252</v>
      </c>
    </row>
    <row r="31" spans="1:17">
      <c r="A31">
        <v>28</v>
      </c>
      <c r="B31" s="15" t="s">
        <v>200</v>
      </c>
      <c r="C31" t="s">
        <v>2005</v>
      </c>
      <c r="D31" s="19" t="s">
        <v>112</v>
      </c>
      <c r="E31">
        <v>1</v>
      </c>
      <c r="F31" s="13">
        <v>25</v>
      </c>
      <c r="G31" s="11" t="s">
        <v>902</v>
      </c>
      <c r="H31" t="s">
        <v>205</v>
      </c>
      <c r="J31" t="s">
        <v>296</v>
      </c>
      <c r="N31" s="31">
        <v>3</v>
      </c>
      <c r="O31" s="31">
        <v>2</v>
      </c>
      <c r="P31" s="34">
        <f t="shared" si="0"/>
        <v>1</v>
      </c>
      <c r="Q31" s="31" t="s">
        <v>252</v>
      </c>
    </row>
    <row r="32" spans="1:17">
      <c r="A32">
        <v>29</v>
      </c>
      <c r="B32" s="15" t="s">
        <v>200</v>
      </c>
      <c r="C32" t="s">
        <v>2005</v>
      </c>
      <c r="D32" s="19" t="s">
        <v>118</v>
      </c>
      <c r="E32">
        <v>1</v>
      </c>
      <c r="F32" s="13">
        <v>25</v>
      </c>
      <c r="G32" s="11" t="s">
        <v>242</v>
      </c>
      <c r="H32" t="s">
        <v>205</v>
      </c>
      <c r="J32" t="s">
        <v>299</v>
      </c>
      <c r="N32" s="31">
        <v>3</v>
      </c>
      <c r="O32" s="31">
        <v>1</v>
      </c>
      <c r="P32" s="34">
        <f t="shared" si="0"/>
        <v>0.5</v>
      </c>
      <c r="Q32" s="31" t="s">
        <v>252</v>
      </c>
    </row>
    <row r="33" spans="1:17">
      <c r="A33">
        <v>30</v>
      </c>
      <c r="B33" s="15" t="s">
        <v>200</v>
      </c>
      <c r="C33" t="s">
        <v>2005</v>
      </c>
      <c r="D33" s="19" t="s">
        <v>120</v>
      </c>
      <c r="E33">
        <v>1</v>
      </c>
      <c r="F33" s="13">
        <v>25</v>
      </c>
      <c r="G33" s="11" t="s">
        <v>242</v>
      </c>
      <c r="H33" t="s">
        <v>205</v>
      </c>
      <c r="J33" t="s">
        <v>302</v>
      </c>
      <c r="N33" s="31">
        <v>3</v>
      </c>
      <c r="O33" s="31">
        <v>1</v>
      </c>
      <c r="P33" s="34">
        <f t="shared" si="0"/>
        <v>0.5</v>
      </c>
      <c r="Q33" s="31" t="s">
        <v>252</v>
      </c>
    </row>
    <row r="34" spans="1:17">
      <c r="A34">
        <v>31</v>
      </c>
      <c r="B34" s="15" t="s">
        <v>200</v>
      </c>
      <c r="C34" t="s">
        <v>2005</v>
      </c>
      <c r="D34" s="19" t="s">
        <v>2006</v>
      </c>
      <c r="E34">
        <v>1</v>
      </c>
      <c r="F34" s="13">
        <v>25</v>
      </c>
      <c r="G34" s="11" t="s">
        <v>242</v>
      </c>
      <c r="H34" t="s">
        <v>205</v>
      </c>
      <c r="J34" t="s">
        <v>306</v>
      </c>
      <c r="N34" s="31">
        <v>3</v>
      </c>
      <c r="O34" s="31">
        <v>1</v>
      </c>
      <c r="P34" s="34">
        <f t="shared" si="0"/>
        <v>0.5</v>
      </c>
      <c r="Q34" s="31" t="s">
        <v>252</v>
      </c>
    </row>
    <row r="35" spans="1:17">
      <c r="A35">
        <v>32</v>
      </c>
      <c r="B35" s="15" t="s">
        <v>200</v>
      </c>
      <c r="C35" t="s">
        <v>2005</v>
      </c>
      <c r="D35" s="19" t="s">
        <v>123</v>
      </c>
      <c r="E35">
        <v>1</v>
      </c>
      <c r="F35" s="13">
        <v>25</v>
      </c>
      <c r="G35" s="11" t="s">
        <v>242</v>
      </c>
      <c r="H35" t="s">
        <v>205</v>
      </c>
      <c r="J35" t="s">
        <v>310</v>
      </c>
      <c r="N35" s="31">
        <v>3</v>
      </c>
      <c r="O35" s="31">
        <v>1</v>
      </c>
      <c r="P35" s="34">
        <f t="shared" si="0"/>
        <v>0.5</v>
      </c>
      <c r="Q35" s="31" t="s">
        <v>313</v>
      </c>
    </row>
    <row r="36" spans="1:17">
      <c r="A36">
        <v>33</v>
      </c>
      <c r="B36" s="15" t="s">
        <v>200</v>
      </c>
      <c r="C36" t="s">
        <v>2005</v>
      </c>
      <c r="D36" s="19" t="s">
        <v>124</v>
      </c>
      <c r="E36">
        <v>1</v>
      </c>
      <c r="F36" s="13">
        <v>25</v>
      </c>
      <c r="G36" s="11" t="s">
        <v>242</v>
      </c>
      <c r="H36" t="s">
        <v>205</v>
      </c>
      <c r="J36" t="s">
        <v>315</v>
      </c>
      <c r="N36" s="31">
        <v>3</v>
      </c>
      <c r="O36" s="31">
        <v>1</v>
      </c>
      <c r="P36" s="34">
        <f t="shared" si="0"/>
        <v>0.5</v>
      </c>
      <c r="Q36" s="31" t="s">
        <v>313</v>
      </c>
    </row>
    <row r="37" spans="1:17">
      <c r="A37">
        <v>34</v>
      </c>
      <c r="B37" s="15" t="s">
        <v>200</v>
      </c>
      <c r="C37" t="s">
        <v>2005</v>
      </c>
      <c r="D37" s="19" t="s">
        <v>125</v>
      </c>
      <c r="E37">
        <v>1</v>
      </c>
      <c r="F37" s="13">
        <v>28</v>
      </c>
      <c r="G37" s="11" t="s">
        <v>242</v>
      </c>
      <c r="H37" t="s">
        <v>205</v>
      </c>
      <c r="J37" t="s">
        <v>320</v>
      </c>
      <c r="N37" s="31">
        <v>3</v>
      </c>
      <c r="O37" s="31">
        <v>1</v>
      </c>
      <c r="P37" s="34">
        <f t="shared" si="0"/>
        <v>0.5</v>
      </c>
      <c r="Q37" s="31" t="s">
        <v>313</v>
      </c>
    </row>
    <row r="38" spans="1:17">
      <c r="A38">
        <v>35</v>
      </c>
      <c r="B38" s="15" t="s">
        <v>200</v>
      </c>
      <c r="C38" t="s">
        <v>2005</v>
      </c>
      <c r="D38" s="19" t="s">
        <v>2007</v>
      </c>
      <c r="E38">
        <v>1</v>
      </c>
      <c r="F38" s="13">
        <v>28</v>
      </c>
      <c r="G38" s="11" t="s">
        <v>242</v>
      </c>
      <c r="H38" t="s">
        <v>205</v>
      </c>
      <c r="J38" t="s">
        <v>324</v>
      </c>
      <c r="N38" s="31">
        <v>3</v>
      </c>
      <c r="O38" s="31">
        <v>1</v>
      </c>
      <c r="P38" s="34">
        <f t="shared" si="0"/>
        <v>0.5</v>
      </c>
      <c r="Q38" s="31" t="s">
        <v>313</v>
      </c>
    </row>
    <row r="39" spans="1:17">
      <c r="A39">
        <v>36</v>
      </c>
      <c r="B39" s="15" t="s">
        <v>200</v>
      </c>
      <c r="C39" t="s">
        <v>2005</v>
      </c>
      <c r="D39" s="19" t="s">
        <v>126</v>
      </c>
      <c r="E39">
        <v>1</v>
      </c>
      <c r="F39" s="13">
        <v>28</v>
      </c>
      <c r="G39" s="11" t="s">
        <v>46</v>
      </c>
      <c r="H39" t="s">
        <v>205</v>
      </c>
      <c r="J39" t="s">
        <v>327</v>
      </c>
      <c r="N39" s="31">
        <v>3</v>
      </c>
      <c r="O39" s="31">
        <v>2</v>
      </c>
      <c r="P39" s="34">
        <f t="shared" si="0"/>
        <v>1</v>
      </c>
      <c r="Q39" s="31" t="s">
        <v>313</v>
      </c>
    </row>
    <row r="40" spans="1:17">
      <c r="A40">
        <v>37</v>
      </c>
      <c r="B40" s="15" t="s">
        <v>200</v>
      </c>
      <c r="C40" t="s">
        <v>2005</v>
      </c>
      <c r="D40" s="19" t="s">
        <v>128</v>
      </c>
      <c r="E40">
        <v>1</v>
      </c>
      <c r="F40" s="13">
        <v>28</v>
      </c>
      <c r="G40" s="11" t="s">
        <v>242</v>
      </c>
      <c r="H40" t="s">
        <v>205</v>
      </c>
      <c r="J40" t="s">
        <v>330</v>
      </c>
      <c r="N40" s="31">
        <v>3</v>
      </c>
      <c r="O40" s="31">
        <v>1</v>
      </c>
      <c r="P40" s="34">
        <f t="shared" si="0"/>
        <v>0.5</v>
      </c>
      <c r="Q40" s="31" t="s">
        <v>313</v>
      </c>
    </row>
    <row r="41" spans="1:17">
      <c r="A41">
        <v>38</v>
      </c>
      <c r="B41" s="15" t="s">
        <v>200</v>
      </c>
      <c r="C41" t="s">
        <v>2005</v>
      </c>
      <c r="D41" s="19" t="s">
        <v>129</v>
      </c>
      <c r="E41">
        <v>1</v>
      </c>
      <c r="F41" s="13">
        <v>28</v>
      </c>
      <c r="G41" s="11" t="s">
        <v>902</v>
      </c>
      <c r="H41" t="s">
        <v>205</v>
      </c>
      <c r="J41" t="s">
        <v>333</v>
      </c>
      <c r="N41" s="31">
        <v>3</v>
      </c>
      <c r="O41" s="31">
        <v>2</v>
      </c>
      <c r="P41" s="34">
        <f t="shared" si="0"/>
        <v>1</v>
      </c>
      <c r="Q41" s="31" t="s">
        <v>313</v>
      </c>
    </row>
    <row r="42" spans="1:17">
      <c r="A42">
        <v>39</v>
      </c>
      <c r="B42" s="15" t="s">
        <v>200</v>
      </c>
      <c r="C42" t="s">
        <v>2005</v>
      </c>
      <c r="D42" s="19" t="s">
        <v>130</v>
      </c>
      <c r="E42">
        <v>1</v>
      </c>
      <c r="F42" s="13">
        <v>28</v>
      </c>
      <c r="G42" s="11" t="s">
        <v>242</v>
      </c>
      <c r="H42" t="s">
        <v>205</v>
      </c>
      <c r="J42" t="s">
        <v>336</v>
      </c>
      <c r="N42" s="31">
        <v>3</v>
      </c>
      <c r="O42" s="31">
        <v>1</v>
      </c>
      <c r="P42" s="34">
        <f t="shared" si="0"/>
        <v>0.5</v>
      </c>
      <c r="Q42" s="31" t="s">
        <v>313</v>
      </c>
    </row>
    <row r="43" spans="1:17">
      <c r="A43">
        <v>40</v>
      </c>
      <c r="B43" s="15" t="s">
        <v>200</v>
      </c>
      <c r="C43" t="s">
        <v>2005</v>
      </c>
      <c r="D43" s="19" t="s">
        <v>131</v>
      </c>
      <c r="E43">
        <v>1</v>
      </c>
      <c r="F43" s="13">
        <v>28</v>
      </c>
      <c r="G43" s="11" t="s">
        <v>46</v>
      </c>
      <c r="H43" t="s">
        <v>205</v>
      </c>
      <c r="J43" t="s">
        <v>338</v>
      </c>
      <c r="N43" s="31">
        <v>3</v>
      </c>
      <c r="O43" s="31">
        <v>2</v>
      </c>
      <c r="P43" s="34">
        <f t="shared" si="0"/>
        <v>1</v>
      </c>
      <c r="Q43" s="31" t="s">
        <v>313</v>
      </c>
    </row>
    <row r="44" spans="1:17">
      <c r="A44">
        <v>41</v>
      </c>
      <c r="B44" s="15" t="s">
        <v>200</v>
      </c>
      <c r="C44" t="s">
        <v>2005</v>
      </c>
      <c r="D44" s="19" t="s">
        <v>132</v>
      </c>
      <c r="E44">
        <v>1</v>
      </c>
      <c r="F44" s="13">
        <v>28</v>
      </c>
      <c r="G44" s="11" t="s">
        <v>242</v>
      </c>
      <c r="H44" t="s">
        <v>205</v>
      </c>
      <c r="J44" s="21" t="s">
        <v>232</v>
      </c>
      <c r="N44" s="31">
        <v>3</v>
      </c>
      <c r="O44" s="31">
        <v>1</v>
      </c>
      <c r="P44" s="34">
        <f t="shared" si="0"/>
        <v>0.5</v>
      </c>
      <c r="Q44" s="31" t="s">
        <v>313</v>
      </c>
    </row>
    <row r="45" spans="1:17">
      <c r="A45">
        <v>42</v>
      </c>
      <c r="B45" s="15" t="s">
        <v>200</v>
      </c>
      <c r="C45" t="s">
        <v>2008</v>
      </c>
      <c r="D45" s="19" t="s">
        <v>286</v>
      </c>
      <c r="E45">
        <v>1</v>
      </c>
      <c r="F45" s="13">
        <v>26</v>
      </c>
      <c r="G45" s="11" t="s">
        <v>242</v>
      </c>
      <c r="H45" t="s">
        <v>205</v>
      </c>
      <c r="J45" t="s">
        <v>288</v>
      </c>
      <c r="N45" s="31">
        <v>3</v>
      </c>
      <c r="O45" s="31">
        <v>1</v>
      </c>
      <c r="P45" s="34">
        <f t="shared" si="0"/>
        <v>0.5</v>
      </c>
      <c r="Q45" s="31" t="s">
        <v>313</v>
      </c>
    </row>
    <row r="46" spans="1:17">
      <c r="A46">
        <v>43</v>
      </c>
      <c r="B46" s="15" t="s">
        <v>200</v>
      </c>
      <c r="C46" t="s">
        <v>2008</v>
      </c>
      <c r="D46" s="19" t="s">
        <v>115</v>
      </c>
      <c r="E46">
        <v>1</v>
      </c>
      <c r="F46" s="13">
        <v>26</v>
      </c>
      <c r="G46" s="11" t="s">
        <v>242</v>
      </c>
      <c r="H46" t="s">
        <v>205</v>
      </c>
      <c r="J46" t="s">
        <v>292</v>
      </c>
      <c r="N46" s="31">
        <v>3</v>
      </c>
      <c r="O46" s="31">
        <v>1</v>
      </c>
      <c r="P46" s="34">
        <f t="shared" si="0"/>
        <v>0.5</v>
      </c>
      <c r="Q46" s="31" t="s">
        <v>313</v>
      </c>
    </row>
    <row r="47" spans="1:17">
      <c r="A47">
        <v>44</v>
      </c>
      <c r="B47" s="15" t="s">
        <v>200</v>
      </c>
      <c r="C47" t="s">
        <v>2008</v>
      </c>
      <c r="D47" s="19" t="s">
        <v>112</v>
      </c>
      <c r="E47">
        <v>1</v>
      </c>
      <c r="F47" s="13">
        <v>26</v>
      </c>
      <c r="G47" s="11" t="s">
        <v>902</v>
      </c>
      <c r="H47" t="s">
        <v>205</v>
      </c>
      <c r="J47" t="s">
        <v>296</v>
      </c>
      <c r="N47" s="31">
        <v>3</v>
      </c>
      <c r="O47" s="31">
        <v>2</v>
      </c>
      <c r="P47" s="34">
        <f t="shared" si="0"/>
        <v>1</v>
      </c>
      <c r="Q47" s="31" t="s">
        <v>313</v>
      </c>
    </row>
    <row r="48" spans="1:17">
      <c r="A48">
        <v>45</v>
      </c>
      <c r="B48" s="15" t="s">
        <v>200</v>
      </c>
      <c r="C48" t="s">
        <v>2008</v>
      </c>
      <c r="D48" s="19" t="s">
        <v>118</v>
      </c>
      <c r="E48">
        <v>1</v>
      </c>
      <c r="F48" s="13">
        <v>26</v>
      </c>
      <c r="G48" s="11" t="s">
        <v>242</v>
      </c>
      <c r="H48" t="s">
        <v>205</v>
      </c>
      <c r="J48" t="s">
        <v>299</v>
      </c>
      <c r="N48" s="31">
        <v>3</v>
      </c>
      <c r="O48" s="31">
        <v>1</v>
      </c>
      <c r="P48" s="34">
        <f t="shared" si="0"/>
        <v>0.5</v>
      </c>
      <c r="Q48" s="31" t="s">
        <v>313</v>
      </c>
    </row>
    <row r="49" spans="1:17">
      <c r="A49">
        <v>46</v>
      </c>
      <c r="B49" s="15" t="s">
        <v>200</v>
      </c>
      <c r="C49" t="s">
        <v>2008</v>
      </c>
      <c r="D49" s="19" t="s">
        <v>123</v>
      </c>
      <c r="E49">
        <v>1</v>
      </c>
      <c r="F49" s="13">
        <v>26</v>
      </c>
      <c r="G49" s="11" t="s">
        <v>242</v>
      </c>
      <c r="H49" t="s">
        <v>205</v>
      </c>
      <c r="J49" t="s">
        <v>310</v>
      </c>
      <c r="N49" s="31">
        <v>3</v>
      </c>
      <c r="O49" s="31">
        <v>1</v>
      </c>
      <c r="P49" s="34">
        <f t="shared" si="0"/>
        <v>0.5</v>
      </c>
      <c r="Q49" s="31" t="s">
        <v>313</v>
      </c>
    </row>
    <row r="50" spans="1:17">
      <c r="A50">
        <v>47</v>
      </c>
      <c r="B50" s="15" t="s">
        <v>200</v>
      </c>
      <c r="C50" t="s">
        <v>2008</v>
      </c>
      <c r="D50" s="19" t="s">
        <v>124</v>
      </c>
      <c r="E50">
        <v>1</v>
      </c>
      <c r="F50" s="13">
        <v>26</v>
      </c>
      <c r="G50" s="11" t="s">
        <v>242</v>
      </c>
      <c r="H50" t="s">
        <v>205</v>
      </c>
      <c r="J50" t="s">
        <v>315</v>
      </c>
      <c r="N50" s="31">
        <v>3</v>
      </c>
      <c r="O50" s="31">
        <v>1</v>
      </c>
      <c r="P50" s="34">
        <f t="shared" si="0"/>
        <v>0.5</v>
      </c>
      <c r="Q50" s="31" t="s">
        <v>313</v>
      </c>
    </row>
    <row r="51" spans="1:17">
      <c r="A51">
        <v>48</v>
      </c>
      <c r="B51" s="15" t="s">
        <v>200</v>
      </c>
      <c r="C51" t="s">
        <v>2008</v>
      </c>
      <c r="D51" s="19" t="s">
        <v>125</v>
      </c>
      <c r="E51">
        <v>1</v>
      </c>
      <c r="F51" s="13">
        <v>26</v>
      </c>
      <c r="G51" s="11" t="s">
        <v>242</v>
      </c>
      <c r="H51" t="s">
        <v>205</v>
      </c>
      <c r="J51" t="s">
        <v>320</v>
      </c>
      <c r="N51" s="31">
        <v>3</v>
      </c>
      <c r="O51" s="31">
        <v>1</v>
      </c>
      <c r="P51" s="34">
        <f t="shared" si="0"/>
        <v>0.5</v>
      </c>
      <c r="Q51" s="31" t="s">
        <v>313</v>
      </c>
    </row>
    <row r="52" spans="1:17">
      <c r="A52">
        <v>49</v>
      </c>
      <c r="B52" s="15" t="s">
        <v>200</v>
      </c>
      <c r="C52" t="s">
        <v>2008</v>
      </c>
      <c r="D52" s="19" t="s">
        <v>132</v>
      </c>
      <c r="E52">
        <v>1</v>
      </c>
      <c r="F52" s="13">
        <v>26</v>
      </c>
      <c r="G52" s="11" t="s">
        <v>242</v>
      </c>
      <c r="H52" t="s">
        <v>205</v>
      </c>
      <c r="J52" s="21" t="s">
        <v>232</v>
      </c>
      <c r="N52" s="31">
        <v>3</v>
      </c>
      <c r="O52" s="31">
        <v>1</v>
      </c>
      <c r="P52" s="34">
        <f t="shared" si="0"/>
        <v>0.5</v>
      </c>
      <c r="Q52" s="31" t="s">
        <v>313</v>
      </c>
    </row>
    <row r="53" spans="1:17">
      <c r="A53">
        <v>50</v>
      </c>
      <c r="B53" s="15" t="s">
        <v>200</v>
      </c>
      <c r="C53" t="s">
        <v>2009</v>
      </c>
      <c r="D53" s="19" t="s">
        <v>123</v>
      </c>
      <c r="E53">
        <v>0</v>
      </c>
      <c r="F53" s="13">
        <v>27</v>
      </c>
      <c r="G53" s="11" t="s">
        <v>203</v>
      </c>
      <c r="H53" t="s">
        <v>205</v>
      </c>
      <c r="J53" t="s">
        <v>310</v>
      </c>
      <c r="K53" t="s">
        <v>2010</v>
      </c>
      <c r="N53" s="31">
        <v>3</v>
      </c>
      <c r="O53" s="31">
        <v>0</v>
      </c>
      <c r="P53" s="34">
        <f t="shared" si="0"/>
        <v>0</v>
      </c>
      <c r="Q53" s="31" t="s">
        <v>313</v>
      </c>
    </row>
    <row r="54" spans="1:17">
      <c r="A54">
        <v>51</v>
      </c>
      <c r="B54" s="15" t="s">
        <v>200</v>
      </c>
      <c r="C54" t="s">
        <v>2009</v>
      </c>
      <c r="D54" s="19" t="s">
        <v>124</v>
      </c>
      <c r="E54">
        <v>1</v>
      </c>
      <c r="F54" s="13">
        <v>27</v>
      </c>
      <c r="G54" s="11" t="s">
        <v>242</v>
      </c>
      <c r="H54" t="s">
        <v>205</v>
      </c>
      <c r="J54" t="s">
        <v>315</v>
      </c>
      <c r="N54" s="31">
        <v>3</v>
      </c>
      <c r="O54" s="31">
        <v>1</v>
      </c>
      <c r="P54" s="34">
        <f t="shared" si="0"/>
        <v>0.5</v>
      </c>
      <c r="Q54" s="31" t="s">
        <v>313</v>
      </c>
    </row>
    <row r="55" spans="1:17">
      <c r="A55">
        <v>52</v>
      </c>
      <c r="B55" s="15" t="s">
        <v>200</v>
      </c>
      <c r="C55" t="s">
        <v>2009</v>
      </c>
      <c r="D55" s="19" t="s">
        <v>125</v>
      </c>
      <c r="E55">
        <v>1</v>
      </c>
      <c r="F55" s="13">
        <v>27</v>
      </c>
      <c r="G55" s="11" t="s">
        <v>242</v>
      </c>
      <c r="H55" t="s">
        <v>205</v>
      </c>
      <c r="J55" t="s">
        <v>320</v>
      </c>
      <c r="N55" s="31">
        <v>3</v>
      </c>
      <c r="O55" s="31">
        <v>1</v>
      </c>
      <c r="P55" s="34">
        <f t="shared" si="0"/>
        <v>0.5</v>
      </c>
      <c r="Q55" s="31" t="s">
        <v>313</v>
      </c>
    </row>
    <row r="56" spans="1:17">
      <c r="A56">
        <v>53</v>
      </c>
      <c r="B56" s="15" t="s">
        <v>200</v>
      </c>
      <c r="C56" t="s">
        <v>2009</v>
      </c>
      <c r="D56" s="19" t="s">
        <v>2007</v>
      </c>
      <c r="E56">
        <v>1</v>
      </c>
      <c r="F56" s="13">
        <v>27</v>
      </c>
      <c r="G56" s="11" t="s">
        <v>242</v>
      </c>
      <c r="H56" t="s">
        <v>205</v>
      </c>
      <c r="J56" t="s">
        <v>324</v>
      </c>
      <c r="N56" s="31">
        <v>3</v>
      </c>
      <c r="O56" s="31">
        <v>1</v>
      </c>
      <c r="P56" s="34">
        <f t="shared" si="0"/>
        <v>0.5</v>
      </c>
      <c r="Q56" s="31" t="s">
        <v>313</v>
      </c>
    </row>
    <row r="57" spans="1:17">
      <c r="A57">
        <v>54</v>
      </c>
      <c r="B57" s="15" t="s">
        <v>200</v>
      </c>
      <c r="C57" t="s">
        <v>2009</v>
      </c>
      <c r="D57" s="19" t="s">
        <v>126</v>
      </c>
      <c r="E57">
        <v>1</v>
      </c>
      <c r="F57" s="13">
        <v>27</v>
      </c>
      <c r="G57" s="11" t="s">
        <v>46</v>
      </c>
      <c r="H57" t="s">
        <v>205</v>
      </c>
      <c r="J57" t="s">
        <v>327</v>
      </c>
      <c r="N57" s="31">
        <v>3</v>
      </c>
      <c r="O57" s="31">
        <v>2</v>
      </c>
      <c r="P57" s="34">
        <f t="shared" si="0"/>
        <v>1</v>
      </c>
      <c r="Q57" s="31" t="s">
        <v>222</v>
      </c>
    </row>
    <row r="58" spans="1:17">
      <c r="A58">
        <v>55</v>
      </c>
      <c r="B58" s="15" t="s">
        <v>200</v>
      </c>
      <c r="C58" t="s">
        <v>2009</v>
      </c>
      <c r="D58" s="19" t="s">
        <v>128</v>
      </c>
      <c r="E58">
        <v>1</v>
      </c>
      <c r="F58" s="13">
        <v>27</v>
      </c>
      <c r="G58" s="11" t="s">
        <v>242</v>
      </c>
      <c r="H58" t="s">
        <v>205</v>
      </c>
      <c r="J58" t="s">
        <v>330</v>
      </c>
      <c r="N58" s="31">
        <v>3</v>
      </c>
      <c r="O58" s="31">
        <v>1</v>
      </c>
      <c r="P58" s="34">
        <f t="shared" si="0"/>
        <v>0.5</v>
      </c>
      <c r="Q58" s="31" t="s">
        <v>222</v>
      </c>
    </row>
    <row r="59" spans="1:17">
      <c r="A59">
        <v>56</v>
      </c>
      <c r="B59" s="15" t="s">
        <v>200</v>
      </c>
      <c r="C59" t="s">
        <v>2009</v>
      </c>
      <c r="D59" s="19" t="s">
        <v>129</v>
      </c>
      <c r="E59">
        <v>1</v>
      </c>
      <c r="F59" s="13">
        <v>27</v>
      </c>
      <c r="G59" s="11" t="s">
        <v>902</v>
      </c>
      <c r="H59" t="s">
        <v>205</v>
      </c>
      <c r="J59" t="s">
        <v>333</v>
      </c>
      <c r="N59" s="31">
        <v>3</v>
      </c>
      <c r="O59" s="31">
        <v>2</v>
      </c>
      <c r="P59" s="34">
        <f t="shared" si="0"/>
        <v>1</v>
      </c>
      <c r="Q59" s="31" t="s">
        <v>222</v>
      </c>
    </row>
    <row r="60" spans="1:17">
      <c r="A60">
        <v>57</v>
      </c>
      <c r="B60" s="15" t="s">
        <v>200</v>
      </c>
      <c r="C60" t="s">
        <v>2009</v>
      </c>
      <c r="D60" s="19" t="s">
        <v>130</v>
      </c>
      <c r="E60">
        <v>1</v>
      </c>
      <c r="F60" s="13">
        <v>27</v>
      </c>
      <c r="G60" s="11" t="s">
        <v>242</v>
      </c>
      <c r="H60" t="s">
        <v>205</v>
      </c>
      <c r="J60" t="s">
        <v>336</v>
      </c>
      <c r="N60" s="31">
        <v>3</v>
      </c>
      <c r="O60" s="31">
        <v>1</v>
      </c>
      <c r="P60" s="34">
        <f t="shared" si="0"/>
        <v>0.5</v>
      </c>
      <c r="Q60" s="31" t="s">
        <v>222</v>
      </c>
    </row>
    <row r="61" spans="1:17">
      <c r="A61">
        <v>58</v>
      </c>
      <c r="B61" s="15" t="s">
        <v>200</v>
      </c>
      <c r="C61" t="s">
        <v>2009</v>
      </c>
      <c r="D61" s="19" t="s">
        <v>131</v>
      </c>
      <c r="E61">
        <v>1</v>
      </c>
      <c r="F61" s="13">
        <v>27</v>
      </c>
      <c r="G61" s="11" t="s">
        <v>46</v>
      </c>
      <c r="H61" t="s">
        <v>205</v>
      </c>
      <c r="J61" t="s">
        <v>338</v>
      </c>
      <c r="N61" s="31">
        <v>3</v>
      </c>
      <c r="O61" s="31">
        <v>2</v>
      </c>
      <c r="P61" s="34">
        <f t="shared" si="0"/>
        <v>1</v>
      </c>
      <c r="Q61" s="31" t="s">
        <v>222</v>
      </c>
    </row>
    <row r="62" spans="1:17">
      <c r="A62">
        <v>59</v>
      </c>
      <c r="B62" s="15" t="s">
        <v>200</v>
      </c>
      <c r="C62" t="s">
        <v>2009</v>
      </c>
      <c r="D62" s="19" t="s">
        <v>132</v>
      </c>
      <c r="E62">
        <v>1</v>
      </c>
      <c r="F62" s="13">
        <v>27</v>
      </c>
      <c r="G62" s="11" t="s">
        <v>242</v>
      </c>
      <c r="H62" t="s">
        <v>205</v>
      </c>
      <c r="J62" s="21" t="s">
        <v>232</v>
      </c>
      <c r="N62" s="31">
        <v>3</v>
      </c>
      <c r="O62" s="31">
        <v>1</v>
      </c>
      <c r="P62" s="34">
        <f t="shared" si="0"/>
        <v>0.5</v>
      </c>
      <c r="Q62" s="31" t="s">
        <v>222</v>
      </c>
    </row>
    <row r="63" spans="1:17">
      <c r="A63">
        <v>60</v>
      </c>
      <c r="B63" s="15" t="s">
        <v>200</v>
      </c>
      <c r="C63" t="s">
        <v>135</v>
      </c>
      <c r="D63" s="20" t="s">
        <v>347</v>
      </c>
      <c r="E63">
        <v>1</v>
      </c>
      <c r="F63" s="13">
        <v>28</v>
      </c>
      <c r="G63" s="11" t="s">
        <v>902</v>
      </c>
      <c r="H63" t="s">
        <v>205</v>
      </c>
      <c r="J63" t="s">
        <v>349</v>
      </c>
      <c r="N63" s="31">
        <v>3</v>
      </c>
      <c r="O63" s="31">
        <v>2</v>
      </c>
      <c r="P63" s="34">
        <f t="shared" si="0"/>
        <v>1</v>
      </c>
      <c r="Q63" s="31" t="s">
        <v>222</v>
      </c>
    </row>
    <row r="64" spans="1:17" ht="22.15">
      <c r="A64">
        <v>61</v>
      </c>
      <c r="B64" s="15" t="s">
        <v>200</v>
      </c>
      <c r="C64" t="s">
        <v>135</v>
      </c>
      <c r="D64" s="20" t="s">
        <v>137</v>
      </c>
      <c r="E64">
        <v>1</v>
      </c>
      <c r="F64" s="13">
        <v>28</v>
      </c>
      <c r="G64" s="11" t="s">
        <v>351</v>
      </c>
      <c r="H64" t="s">
        <v>205</v>
      </c>
      <c r="J64" t="s">
        <v>352</v>
      </c>
      <c r="N64" s="31">
        <v>3</v>
      </c>
      <c r="O64" s="31">
        <v>2</v>
      </c>
      <c r="P64" s="34">
        <f t="shared" si="0"/>
        <v>1</v>
      </c>
      <c r="Q64" s="31" t="s">
        <v>222</v>
      </c>
    </row>
    <row r="65" spans="1:17">
      <c r="A65">
        <v>62</v>
      </c>
      <c r="B65" s="15" t="s">
        <v>200</v>
      </c>
      <c r="C65" t="s">
        <v>145</v>
      </c>
      <c r="D65" s="19" t="s">
        <v>147</v>
      </c>
      <c r="E65">
        <v>1</v>
      </c>
      <c r="F65" s="13">
        <v>29</v>
      </c>
      <c r="G65" s="11" t="s">
        <v>46</v>
      </c>
      <c r="H65" t="s">
        <v>205</v>
      </c>
      <c r="J65" t="s">
        <v>355</v>
      </c>
      <c r="N65" s="31">
        <v>4</v>
      </c>
      <c r="O65" s="31">
        <v>2</v>
      </c>
      <c r="P65" s="34">
        <f t="shared" si="0"/>
        <v>1</v>
      </c>
      <c r="Q65" s="31" t="s">
        <v>222</v>
      </c>
    </row>
    <row r="66" spans="1:17">
      <c r="A66">
        <v>63</v>
      </c>
      <c r="B66" s="15" t="s">
        <v>200</v>
      </c>
      <c r="C66" t="s">
        <v>145</v>
      </c>
      <c r="D66" s="19" t="s">
        <v>148</v>
      </c>
      <c r="E66">
        <v>1</v>
      </c>
      <c r="F66" s="13">
        <v>29</v>
      </c>
      <c r="G66" s="11" t="s">
        <v>46</v>
      </c>
      <c r="H66" t="s">
        <v>205</v>
      </c>
      <c r="J66" t="s">
        <v>357</v>
      </c>
      <c r="N66" s="31">
        <v>4</v>
      </c>
      <c r="O66" s="31">
        <v>2</v>
      </c>
      <c r="P66" s="34">
        <f t="shared" si="0"/>
        <v>1</v>
      </c>
      <c r="Q66" s="31" t="s">
        <v>222</v>
      </c>
    </row>
    <row r="67" spans="1:17">
      <c r="A67">
        <v>64</v>
      </c>
      <c r="B67" s="15" t="s">
        <v>200</v>
      </c>
      <c r="C67" t="s">
        <v>145</v>
      </c>
      <c r="D67" s="19" t="s">
        <v>149</v>
      </c>
      <c r="E67">
        <v>1</v>
      </c>
      <c r="F67" s="13">
        <v>29</v>
      </c>
      <c r="G67" s="11" t="s">
        <v>46</v>
      </c>
      <c r="H67" t="s">
        <v>205</v>
      </c>
      <c r="J67" t="s">
        <v>358</v>
      </c>
      <c r="N67" s="31">
        <v>4</v>
      </c>
      <c r="O67" s="31">
        <v>2</v>
      </c>
      <c r="P67" s="34">
        <f t="shared" si="0"/>
        <v>1</v>
      </c>
      <c r="Q67" s="31" t="s">
        <v>222</v>
      </c>
    </row>
    <row r="68" spans="1:17">
      <c r="A68">
        <v>65</v>
      </c>
      <c r="B68" s="15" t="s">
        <v>200</v>
      </c>
      <c r="C68" t="s">
        <v>145</v>
      </c>
      <c r="D68" s="19" t="s">
        <v>150</v>
      </c>
      <c r="E68">
        <v>1</v>
      </c>
      <c r="F68" s="13">
        <v>29</v>
      </c>
      <c r="G68" s="11" t="s">
        <v>46</v>
      </c>
      <c r="H68" t="s">
        <v>205</v>
      </c>
      <c r="J68" t="s">
        <v>359</v>
      </c>
      <c r="N68" s="31">
        <v>4</v>
      </c>
      <c r="O68" s="31">
        <v>2</v>
      </c>
      <c r="P68" s="34">
        <f t="shared" ref="P68:P182" si="1">IF(ISNUMBER(O68),HLOOKUP(O68,$O$1:$S$2,2,FALSE)*E68,"")</f>
        <v>1</v>
      </c>
      <c r="Q68" s="31" t="s">
        <v>222</v>
      </c>
    </row>
    <row r="69" spans="1:17">
      <c r="A69">
        <v>66</v>
      </c>
      <c r="B69" s="15" t="s">
        <v>200</v>
      </c>
      <c r="C69" t="s">
        <v>145</v>
      </c>
      <c r="D69" s="19" t="s">
        <v>151</v>
      </c>
      <c r="E69">
        <v>1</v>
      </c>
      <c r="F69" s="13">
        <v>29</v>
      </c>
      <c r="G69" s="11" t="s">
        <v>46</v>
      </c>
      <c r="H69" t="s">
        <v>205</v>
      </c>
      <c r="J69" s="21" t="s">
        <v>232</v>
      </c>
      <c r="N69" s="31">
        <v>4</v>
      </c>
      <c r="O69" s="31">
        <v>2</v>
      </c>
      <c r="P69" s="34">
        <f t="shared" si="1"/>
        <v>1</v>
      </c>
      <c r="Q69" s="31" t="s">
        <v>222</v>
      </c>
    </row>
    <row r="70" spans="1:17">
      <c r="A70">
        <v>67</v>
      </c>
      <c r="B70" s="15" t="s">
        <v>200</v>
      </c>
      <c r="C70" t="s">
        <v>145</v>
      </c>
      <c r="D70" s="19" t="s">
        <v>146</v>
      </c>
      <c r="E70">
        <v>1</v>
      </c>
      <c r="F70" s="13">
        <v>29</v>
      </c>
      <c r="G70" s="11" t="s">
        <v>351</v>
      </c>
      <c r="H70" t="s">
        <v>205</v>
      </c>
      <c r="J70" s="21" t="s">
        <v>232</v>
      </c>
      <c r="N70" s="31">
        <v>4</v>
      </c>
      <c r="O70" s="31">
        <v>2</v>
      </c>
      <c r="P70" s="34">
        <f t="shared" si="1"/>
        <v>1</v>
      </c>
      <c r="Q70" s="31" t="s">
        <v>222</v>
      </c>
    </row>
    <row r="71" spans="1:17">
      <c r="A71">
        <v>68</v>
      </c>
      <c r="B71" s="21"/>
      <c r="C71" s="21" t="s">
        <v>145</v>
      </c>
      <c r="D71" s="22" t="s">
        <v>361</v>
      </c>
      <c r="E71" s="21">
        <v>1</v>
      </c>
      <c r="F71" s="23"/>
      <c r="G71" s="24" t="s">
        <v>242</v>
      </c>
      <c r="H71" s="21" t="s">
        <v>205</v>
      </c>
      <c r="I71" s="21"/>
      <c r="J71" s="21" t="s">
        <v>362</v>
      </c>
      <c r="K71" s="21" t="s">
        <v>2002</v>
      </c>
      <c r="L71" s="21"/>
      <c r="M71" s="21"/>
      <c r="N71" s="36">
        <v>4</v>
      </c>
      <c r="O71" s="36">
        <v>2</v>
      </c>
      <c r="P71" s="34">
        <f t="shared" si="1"/>
        <v>1</v>
      </c>
      <c r="Q71" s="31" t="s">
        <v>222</v>
      </c>
    </row>
    <row r="72" spans="1:17" ht="22.15">
      <c r="A72">
        <v>69</v>
      </c>
      <c r="B72" s="15" t="s">
        <v>200</v>
      </c>
      <c r="C72" t="s">
        <v>152</v>
      </c>
      <c r="D72" s="26" t="s">
        <v>154</v>
      </c>
      <c r="E72">
        <v>0</v>
      </c>
      <c r="F72" s="13">
        <v>29</v>
      </c>
      <c r="G72" s="11" t="s">
        <v>203</v>
      </c>
      <c r="H72" t="s">
        <v>205</v>
      </c>
      <c r="K72" s="20" t="s">
        <v>2011</v>
      </c>
      <c r="O72" s="31">
        <v>0</v>
      </c>
      <c r="P72" s="34">
        <f t="shared" si="1"/>
        <v>0</v>
      </c>
    </row>
    <row r="73" spans="1:17" ht="22.15">
      <c r="A73">
        <v>70</v>
      </c>
      <c r="B73" s="15" t="s">
        <v>200</v>
      </c>
      <c r="C73" t="s">
        <v>152</v>
      </c>
      <c r="D73" s="26" t="s">
        <v>155</v>
      </c>
      <c r="E73">
        <v>0</v>
      </c>
      <c r="F73" s="13">
        <v>29</v>
      </c>
      <c r="G73" s="11" t="s">
        <v>203</v>
      </c>
      <c r="H73" t="s">
        <v>205</v>
      </c>
      <c r="K73" s="20" t="s">
        <v>2011</v>
      </c>
      <c r="O73" s="31">
        <v>0</v>
      </c>
      <c r="P73" s="34">
        <f t="shared" si="1"/>
        <v>0</v>
      </c>
    </row>
    <row r="74" spans="1:17" ht="22.15">
      <c r="A74">
        <v>71</v>
      </c>
      <c r="B74" s="15" t="s">
        <v>200</v>
      </c>
      <c r="C74" t="s">
        <v>152</v>
      </c>
      <c r="D74" s="26" t="s">
        <v>156</v>
      </c>
      <c r="E74">
        <v>0</v>
      </c>
      <c r="F74" s="13">
        <v>29</v>
      </c>
      <c r="G74" s="11" t="s">
        <v>203</v>
      </c>
      <c r="H74" t="s">
        <v>205</v>
      </c>
      <c r="K74" s="20" t="s">
        <v>2011</v>
      </c>
      <c r="O74" s="31">
        <v>0</v>
      </c>
      <c r="P74" s="34">
        <f t="shared" si="1"/>
        <v>0</v>
      </c>
    </row>
    <row r="75" spans="1:17" ht="22.15">
      <c r="A75">
        <v>72</v>
      </c>
      <c r="B75" s="15" t="s">
        <v>200</v>
      </c>
      <c r="C75" t="s">
        <v>152</v>
      </c>
      <c r="D75" s="26" t="s">
        <v>157</v>
      </c>
      <c r="E75">
        <v>0</v>
      </c>
      <c r="F75" s="13">
        <v>29</v>
      </c>
      <c r="G75" s="11" t="s">
        <v>203</v>
      </c>
      <c r="H75" t="s">
        <v>205</v>
      </c>
      <c r="K75" s="20" t="s">
        <v>2011</v>
      </c>
      <c r="O75" s="31">
        <v>0</v>
      </c>
      <c r="P75" s="34">
        <f t="shared" si="1"/>
        <v>0</v>
      </c>
    </row>
    <row r="76" spans="1:17">
      <c r="A76">
        <v>73</v>
      </c>
      <c r="B76" s="15" t="s">
        <v>200</v>
      </c>
      <c r="C76" t="s">
        <v>158</v>
      </c>
      <c r="D76" s="19" t="s">
        <v>159</v>
      </c>
      <c r="E76">
        <v>1</v>
      </c>
      <c r="F76" s="13">
        <v>30</v>
      </c>
      <c r="G76" s="11" t="s">
        <v>46</v>
      </c>
      <c r="H76" t="s">
        <v>205</v>
      </c>
      <c r="J76" s="21" t="s">
        <v>2012</v>
      </c>
      <c r="K76" s="1"/>
      <c r="N76" s="31">
        <v>4</v>
      </c>
      <c r="O76" s="31">
        <v>2</v>
      </c>
      <c r="P76" s="34">
        <f t="shared" si="1"/>
        <v>1</v>
      </c>
      <c r="Q76" s="31" t="s">
        <v>222</v>
      </c>
    </row>
    <row r="77" spans="1:17">
      <c r="A77">
        <v>74</v>
      </c>
      <c r="B77" s="15" t="s">
        <v>200</v>
      </c>
      <c r="C77" t="s">
        <v>160</v>
      </c>
      <c r="D77" s="19" t="s">
        <v>161</v>
      </c>
      <c r="E77">
        <v>1</v>
      </c>
      <c r="F77" s="13">
        <v>30</v>
      </c>
      <c r="G77" s="11" t="s">
        <v>902</v>
      </c>
      <c r="H77" t="s">
        <v>205</v>
      </c>
      <c r="J77" t="s">
        <v>370</v>
      </c>
      <c r="L77" t="s">
        <v>2013</v>
      </c>
      <c r="N77" s="31">
        <v>4</v>
      </c>
      <c r="O77" s="31">
        <v>2</v>
      </c>
      <c r="P77" s="34">
        <f t="shared" si="1"/>
        <v>1</v>
      </c>
      <c r="Q77" s="31" t="s">
        <v>222</v>
      </c>
    </row>
    <row r="78" spans="1:17">
      <c r="A78">
        <v>75</v>
      </c>
      <c r="B78" s="15" t="s">
        <v>200</v>
      </c>
      <c r="C78" t="s">
        <v>160</v>
      </c>
      <c r="D78" s="19" t="s">
        <v>163</v>
      </c>
      <c r="E78">
        <v>0</v>
      </c>
      <c r="F78" s="43">
        <v>30</v>
      </c>
      <c r="G78" s="11" t="s">
        <v>46</v>
      </c>
      <c r="H78" t="s">
        <v>248</v>
      </c>
      <c r="O78" s="31">
        <v>0</v>
      </c>
      <c r="P78" s="34">
        <f t="shared" si="1"/>
        <v>0</v>
      </c>
    </row>
    <row r="79" spans="1:17" ht="28.9">
      <c r="A79">
        <v>76</v>
      </c>
      <c r="B79" s="15" t="s">
        <v>373</v>
      </c>
      <c r="C79" t="s">
        <v>374</v>
      </c>
      <c r="D79" s="19" t="s">
        <v>374</v>
      </c>
      <c r="E79">
        <v>1</v>
      </c>
      <c r="F79" s="13">
        <v>31</v>
      </c>
      <c r="G79" s="11" t="s">
        <v>375</v>
      </c>
      <c r="H79" t="s">
        <v>218</v>
      </c>
      <c r="K79" t="s">
        <v>376</v>
      </c>
      <c r="O79" s="31">
        <v>1</v>
      </c>
      <c r="P79" s="34">
        <f t="shared" si="1"/>
        <v>0.5</v>
      </c>
    </row>
    <row r="80" spans="1:17" ht="28.9">
      <c r="A80">
        <v>77</v>
      </c>
      <c r="B80" s="15" t="s">
        <v>373</v>
      </c>
      <c r="C80" t="s">
        <v>380</v>
      </c>
      <c r="D80" s="19" t="s">
        <v>381</v>
      </c>
      <c r="E80">
        <v>1</v>
      </c>
      <c r="F80" s="13" t="s">
        <v>382</v>
      </c>
      <c r="G80" s="11" t="s">
        <v>383</v>
      </c>
      <c r="H80" t="s">
        <v>218</v>
      </c>
      <c r="O80" s="31">
        <v>1</v>
      </c>
      <c r="P80" s="34">
        <f t="shared" ref="P80:P92" si="2">IF(ISNUMBER(O80),HLOOKUP(O80,$O$1:$S$2,2,FALSE)*E80,"")</f>
        <v>0.5</v>
      </c>
    </row>
    <row r="81" spans="1:16">
      <c r="A81">
        <v>78</v>
      </c>
      <c r="B81" s="15" t="s">
        <v>373</v>
      </c>
      <c r="C81" t="s">
        <v>216</v>
      </c>
      <c r="D81" s="19" t="s">
        <v>248</v>
      </c>
      <c r="E81">
        <v>1</v>
      </c>
      <c r="F81" s="13" t="s">
        <v>382</v>
      </c>
      <c r="G81" s="11" t="s">
        <v>217</v>
      </c>
      <c r="H81" t="s">
        <v>218</v>
      </c>
      <c r="O81" s="31">
        <v>1</v>
      </c>
      <c r="P81" s="34">
        <f t="shared" si="2"/>
        <v>0.5</v>
      </c>
    </row>
    <row r="82" spans="1:16">
      <c r="A82">
        <v>79</v>
      </c>
      <c r="B82" s="15" t="s">
        <v>373</v>
      </c>
      <c r="C82" t="s">
        <v>216</v>
      </c>
      <c r="D82" s="19" t="s">
        <v>384</v>
      </c>
      <c r="E82">
        <v>1</v>
      </c>
      <c r="F82" s="13" t="s">
        <v>382</v>
      </c>
      <c r="G82" s="11" t="s">
        <v>217</v>
      </c>
      <c r="H82" t="s">
        <v>218</v>
      </c>
      <c r="O82" s="31">
        <v>1</v>
      </c>
      <c r="P82" s="34">
        <f t="shared" si="2"/>
        <v>0.5</v>
      </c>
    </row>
    <row r="83" spans="1:16">
      <c r="A83">
        <v>80</v>
      </c>
      <c r="B83" s="15" t="s">
        <v>373</v>
      </c>
      <c r="C83" t="s">
        <v>216</v>
      </c>
      <c r="D83" s="19" t="s">
        <v>385</v>
      </c>
      <c r="E83">
        <v>1</v>
      </c>
      <c r="F83" s="13" t="s">
        <v>382</v>
      </c>
      <c r="G83" s="11" t="s">
        <v>217</v>
      </c>
      <c r="H83" t="s">
        <v>218</v>
      </c>
      <c r="O83" s="31">
        <v>1</v>
      </c>
      <c r="P83" s="34">
        <f t="shared" si="2"/>
        <v>0.5</v>
      </c>
    </row>
    <row r="84" spans="1:16">
      <c r="A84">
        <v>81</v>
      </c>
      <c r="B84" s="15" t="s">
        <v>373</v>
      </c>
      <c r="C84" t="s">
        <v>216</v>
      </c>
      <c r="D84" s="19" t="s">
        <v>386</v>
      </c>
      <c r="E84">
        <v>1</v>
      </c>
      <c r="F84" s="13" t="s">
        <v>382</v>
      </c>
      <c r="G84" s="11" t="s">
        <v>217</v>
      </c>
      <c r="H84" t="s">
        <v>218</v>
      </c>
      <c r="O84" s="31">
        <v>1</v>
      </c>
      <c r="P84" s="34">
        <f t="shared" si="2"/>
        <v>0.5</v>
      </c>
    </row>
    <row r="85" spans="1:16">
      <c r="A85">
        <v>82</v>
      </c>
      <c r="B85" s="15" t="s">
        <v>373</v>
      </c>
      <c r="C85" t="s">
        <v>216</v>
      </c>
      <c r="D85" s="19" t="s">
        <v>387</v>
      </c>
      <c r="E85">
        <v>1</v>
      </c>
      <c r="F85" s="13" t="s">
        <v>382</v>
      </c>
      <c r="G85" s="11" t="s">
        <v>217</v>
      </c>
      <c r="H85" t="s">
        <v>218</v>
      </c>
      <c r="O85" s="31">
        <v>1</v>
      </c>
      <c r="P85" s="34">
        <f t="shared" si="2"/>
        <v>0.5</v>
      </c>
    </row>
    <row r="86" spans="1:16">
      <c r="A86">
        <v>83</v>
      </c>
      <c r="B86" s="15" t="s">
        <v>373</v>
      </c>
      <c r="C86" t="s">
        <v>216</v>
      </c>
      <c r="D86" s="19" t="s">
        <v>388</v>
      </c>
      <c r="E86">
        <v>1</v>
      </c>
      <c r="F86" s="13" t="s">
        <v>382</v>
      </c>
      <c r="G86" s="11" t="s">
        <v>217</v>
      </c>
      <c r="H86" t="s">
        <v>218</v>
      </c>
      <c r="O86" s="31">
        <v>1</v>
      </c>
      <c r="P86" s="34">
        <f t="shared" si="2"/>
        <v>0.5</v>
      </c>
    </row>
    <row r="87" spans="1:16">
      <c r="A87">
        <v>84</v>
      </c>
      <c r="B87" s="15" t="s">
        <v>373</v>
      </c>
      <c r="C87" t="s">
        <v>216</v>
      </c>
      <c r="D87" s="19" t="s">
        <v>389</v>
      </c>
      <c r="E87">
        <v>1</v>
      </c>
      <c r="F87" s="13" t="s">
        <v>382</v>
      </c>
      <c r="G87" s="11" t="s">
        <v>217</v>
      </c>
      <c r="H87" t="s">
        <v>218</v>
      </c>
      <c r="O87" s="31">
        <v>1</v>
      </c>
      <c r="P87" s="34">
        <f t="shared" si="2"/>
        <v>0.5</v>
      </c>
    </row>
    <row r="88" spans="1:16">
      <c r="A88">
        <v>85</v>
      </c>
      <c r="B88" s="15" t="s">
        <v>373</v>
      </c>
      <c r="C88" t="s">
        <v>216</v>
      </c>
      <c r="D88" s="19" t="s">
        <v>390</v>
      </c>
      <c r="E88">
        <v>1</v>
      </c>
      <c r="F88" s="13" t="s">
        <v>382</v>
      </c>
      <c r="G88" s="11" t="s">
        <v>217</v>
      </c>
      <c r="H88" t="s">
        <v>218</v>
      </c>
      <c r="O88" s="31">
        <v>1</v>
      </c>
      <c r="P88" s="34">
        <f t="shared" si="2"/>
        <v>0.5</v>
      </c>
    </row>
    <row r="89" spans="1:16">
      <c r="A89">
        <v>86</v>
      </c>
      <c r="B89" s="15" t="s">
        <v>373</v>
      </c>
      <c r="C89" t="s">
        <v>216</v>
      </c>
      <c r="D89" s="19" t="s">
        <v>2014</v>
      </c>
      <c r="E89">
        <v>1</v>
      </c>
      <c r="F89" s="13" t="s">
        <v>382</v>
      </c>
      <c r="G89" s="11" t="s">
        <v>217</v>
      </c>
      <c r="H89" t="s">
        <v>218</v>
      </c>
      <c r="O89" s="31">
        <v>1</v>
      </c>
      <c r="P89" s="34">
        <f t="shared" si="2"/>
        <v>0.5</v>
      </c>
    </row>
    <row r="90" spans="1:16">
      <c r="A90">
        <v>87</v>
      </c>
      <c r="B90" s="15" t="s">
        <v>373</v>
      </c>
      <c r="C90" t="s">
        <v>216</v>
      </c>
      <c r="D90" s="19" t="s">
        <v>392</v>
      </c>
      <c r="E90">
        <v>1</v>
      </c>
      <c r="F90" s="13" t="s">
        <v>382</v>
      </c>
      <c r="G90" s="11" t="s">
        <v>217</v>
      </c>
      <c r="H90" t="s">
        <v>218</v>
      </c>
      <c r="O90" s="31">
        <v>1</v>
      </c>
      <c r="P90" s="34">
        <f t="shared" si="2"/>
        <v>0.5</v>
      </c>
    </row>
    <row r="91" spans="1:16">
      <c r="A91">
        <v>88</v>
      </c>
      <c r="B91" s="15" t="s">
        <v>373</v>
      </c>
      <c r="C91" t="s">
        <v>216</v>
      </c>
      <c r="D91" s="19" t="s">
        <v>2015</v>
      </c>
      <c r="E91">
        <v>1</v>
      </c>
      <c r="F91" s="13" t="s">
        <v>382</v>
      </c>
      <c r="G91" s="11" t="s">
        <v>217</v>
      </c>
      <c r="H91" t="s">
        <v>218</v>
      </c>
      <c r="O91" s="31">
        <v>1</v>
      </c>
      <c r="P91" s="34">
        <f t="shared" si="2"/>
        <v>0.5</v>
      </c>
    </row>
    <row r="92" spans="1:16">
      <c r="A92">
        <v>89</v>
      </c>
      <c r="B92" s="15" t="s">
        <v>373</v>
      </c>
      <c r="C92" t="s">
        <v>10</v>
      </c>
      <c r="D92" s="19" t="s">
        <v>2016</v>
      </c>
      <c r="E92">
        <v>1</v>
      </c>
      <c r="F92" s="13">
        <v>33</v>
      </c>
      <c r="G92" s="11" t="s">
        <v>242</v>
      </c>
      <c r="H92" t="s">
        <v>218</v>
      </c>
      <c r="O92" s="31">
        <v>2</v>
      </c>
      <c r="P92" s="34">
        <f t="shared" si="2"/>
        <v>1</v>
      </c>
    </row>
    <row r="93" spans="1:16">
      <c r="A93">
        <v>90</v>
      </c>
      <c r="B93" s="15" t="s">
        <v>400</v>
      </c>
      <c r="C93" t="s">
        <v>401</v>
      </c>
      <c r="D93" s="19" t="s">
        <v>2017</v>
      </c>
      <c r="E93">
        <v>5</v>
      </c>
      <c r="F93" s="13" t="s">
        <v>403</v>
      </c>
      <c r="G93" s="11" t="s">
        <v>404</v>
      </c>
      <c r="H93" t="s">
        <v>218</v>
      </c>
      <c r="K93" t="s">
        <v>405</v>
      </c>
      <c r="O93" s="31">
        <v>1</v>
      </c>
      <c r="P93" s="34">
        <f t="shared" si="1"/>
        <v>2.5</v>
      </c>
    </row>
    <row r="94" spans="1:16">
      <c r="A94">
        <v>91</v>
      </c>
      <c r="B94" s="15" t="s">
        <v>408</v>
      </c>
      <c r="C94" t="s">
        <v>409</v>
      </c>
      <c r="D94" s="19" t="s">
        <v>409</v>
      </c>
      <c r="E94">
        <v>1</v>
      </c>
      <c r="F94" s="13" t="s">
        <v>410</v>
      </c>
      <c r="G94" s="11" t="s">
        <v>46</v>
      </c>
      <c r="H94" t="s">
        <v>248</v>
      </c>
      <c r="O94" s="31">
        <v>1</v>
      </c>
      <c r="P94" s="34">
        <f t="shared" si="1"/>
        <v>0.5</v>
      </c>
    </row>
    <row r="95" spans="1:16">
      <c r="A95">
        <v>92</v>
      </c>
      <c r="B95" s="15" t="s">
        <v>408</v>
      </c>
      <c r="C95" t="s">
        <v>414</v>
      </c>
      <c r="D95" s="26" t="s">
        <v>154</v>
      </c>
      <c r="E95">
        <v>0</v>
      </c>
      <c r="F95" s="13" t="s">
        <v>416</v>
      </c>
      <c r="G95" s="11" t="s">
        <v>203</v>
      </c>
      <c r="H95" t="s">
        <v>248</v>
      </c>
      <c r="O95" s="31">
        <v>0</v>
      </c>
      <c r="P95" s="34">
        <f t="shared" si="1"/>
        <v>0</v>
      </c>
    </row>
    <row r="96" spans="1:16">
      <c r="A96">
        <v>93</v>
      </c>
      <c r="B96" s="15" t="s">
        <v>408</v>
      </c>
      <c r="C96" t="s">
        <v>414</v>
      </c>
      <c r="D96" s="26" t="s">
        <v>2018</v>
      </c>
      <c r="E96">
        <v>1</v>
      </c>
      <c r="F96" s="13" t="s">
        <v>416</v>
      </c>
      <c r="G96" s="11" t="s">
        <v>46</v>
      </c>
      <c r="H96" t="s">
        <v>248</v>
      </c>
      <c r="L96" t="s">
        <v>2019</v>
      </c>
      <c r="O96" s="31">
        <v>1</v>
      </c>
      <c r="P96" s="34">
        <f t="shared" si="1"/>
        <v>0.5</v>
      </c>
    </row>
    <row r="97" spans="1:16">
      <c r="A97">
        <v>94</v>
      </c>
      <c r="B97" s="15" t="s">
        <v>408</v>
      </c>
      <c r="C97" t="s">
        <v>414</v>
      </c>
      <c r="D97" s="26" t="s">
        <v>2020</v>
      </c>
      <c r="E97">
        <v>1</v>
      </c>
      <c r="F97" s="13" t="s">
        <v>416</v>
      </c>
      <c r="G97" s="11" t="s">
        <v>46</v>
      </c>
      <c r="H97" t="s">
        <v>248</v>
      </c>
      <c r="L97" t="s">
        <v>2019</v>
      </c>
      <c r="O97" s="31">
        <v>1</v>
      </c>
      <c r="P97" s="34">
        <f t="shared" si="1"/>
        <v>0.5</v>
      </c>
    </row>
    <row r="98" spans="1:16">
      <c r="A98">
        <v>95</v>
      </c>
      <c r="B98" s="15" t="s">
        <v>408</v>
      </c>
      <c r="C98" t="s">
        <v>414</v>
      </c>
      <c r="D98" s="26" t="s">
        <v>156</v>
      </c>
      <c r="E98">
        <v>0</v>
      </c>
      <c r="F98" s="13" t="s">
        <v>416</v>
      </c>
      <c r="G98" s="11" t="s">
        <v>203</v>
      </c>
      <c r="H98" t="s">
        <v>248</v>
      </c>
      <c r="O98" s="31">
        <v>0</v>
      </c>
      <c r="P98" s="34">
        <f t="shared" si="1"/>
        <v>0</v>
      </c>
    </row>
    <row r="99" spans="1:16">
      <c r="A99">
        <v>96</v>
      </c>
      <c r="B99" s="15" t="s">
        <v>408</v>
      </c>
      <c r="C99" t="s">
        <v>414</v>
      </c>
      <c r="D99" s="26" t="s">
        <v>2021</v>
      </c>
      <c r="E99">
        <v>0</v>
      </c>
      <c r="F99" s="13" t="s">
        <v>416</v>
      </c>
      <c r="G99" s="11" t="s">
        <v>203</v>
      </c>
      <c r="H99" t="s">
        <v>248</v>
      </c>
      <c r="O99" s="31">
        <v>0</v>
      </c>
      <c r="P99" s="34">
        <f t="shared" si="1"/>
        <v>0</v>
      </c>
    </row>
    <row r="100" spans="1:16">
      <c r="A100">
        <v>97</v>
      </c>
      <c r="B100" s="15" t="s">
        <v>408</v>
      </c>
      <c r="C100" t="s">
        <v>414</v>
      </c>
      <c r="D100" s="26" t="s">
        <v>424</v>
      </c>
      <c r="E100">
        <v>1</v>
      </c>
      <c r="F100" s="13" t="s">
        <v>416</v>
      </c>
      <c r="G100" s="11" t="s">
        <v>46</v>
      </c>
      <c r="H100" t="s">
        <v>248</v>
      </c>
      <c r="L100" t="s">
        <v>2019</v>
      </c>
      <c r="O100" s="31">
        <v>1</v>
      </c>
      <c r="P100" s="34">
        <f t="shared" si="1"/>
        <v>0.5</v>
      </c>
    </row>
    <row r="101" spans="1:16">
      <c r="A101">
        <v>98</v>
      </c>
      <c r="B101" s="15" t="s">
        <v>408</v>
      </c>
      <c r="C101" t="s">
        <v>414</v>
      </c>
      <c r="D101" s="26" t="s">
        <v>2022</v>
      </c>
      <c r="E101">
        <v>0</v>
      </c>
      <c r="F101" s="13" t="s">
        <v>416</v>
      </c>
      <c r="G101" s="11" t="s">
        <v>203</v>
      </c>
      <c r="H101" t="s">
        <v>248</v>
      </c>
      <c r="O101" s="31">
        <v>0</v>
      </c>
      <c r="P101" s="34">
        <f t="shared" si="1"/>
        <v>0</v>
      </c>
    </row>
    <row r="102" spans="1:16">
      <c r="A102">
        <v>99</v>
      </c>
      <c r="B102" s="15" t="s">
        <v>408</v>
      </c>
      <c r="C102" t="s">
        <v>414</v>
      </c>
      <c r="D102" s="26" t="s">
        <v>426</v>
      </c>
      <c r="E102">
        <v>0</v>
      </c>
      <c r="F102" s="13" t="s">
        <v>416</v>
      </c>
      <c r="G102" s="11" t="s">
        <v>203</v>
      </c>
      <c r="H102" t="s">
        <v>248</v>
      </c>
      <c r="O102" s="31">
        <v>0</v>
      </c>
      <c r="P102" s="34">
        <f t="shared" si="1"/>
        <v>0</v>
      </c>
    </row>
    <row r="103" spans="1:16">
      <c r="A103">
        <v>100</v>
      </c>
      <c r="B103" s="15" t="s">
        <v>408</v>
      </c>
      <c r="C103" t="s">
        <v>414</v>
      </c>
      <c r="D103" s="26" t="s">
        <v>2023</v>
      </c>
      <c r="E103">
        <v>0</v>
      </c>
      <c r="F103" s="13" t="s">
        <v>416</v>
      </c>
      <c r="G103" s="11" t="s">
        <v>203</v>
      </c>
      <c r="H103" t="s">
        <v>248</v>
      </c>
      <c r="O103" s="31">
        <v>0</v>
      </c>
      <c r="P103" s="34">
        <f t="shared" si="1"/>
        <v>0</v>
      </c>
    </row>
    <row r="104" spans="1:16">
      <c r="A104">
        <v>101</v>
      </c>
      <c r="B104" s="15" t="s">
        <v>408</v>
      </c>
      <c r="C104" t="s">
        <v>414</v>
      </c>
      <c r="D104" s="26" t="s">
        <v>161</v>
      </c>
      <c r="E104">
        <v>0</v>
      </c>
      <c r="F104" s="13" t="s">
        <v>416</v>
      </c>
      <c r="G104" s="11" t="s">
        <v>203</v>
      </c>
      <c r="H104" t="s">
        <v>248</v>
      </c>
      <c r="O104" s="31">
        <v>0</v>
      </c>
      <c r="P104" s="34">
        <f t="shared" si="1"/>
        <v>0</v>
      </c>
    </row>
    <row r="105" spans="1:16">
      <c r="A105">
        <v>102</v>
      </c>
      <c r="B105" s="15" t="s">
        <v>408</v>
      </c>
      <c r="C105" t="s">
        <v>414</v>
      </c>
      <c r="D105" s="19" t="s">
        <v>163</v>
      </c>
      <c r="E105">
        <v>1</v>
      </c>
      <c r="F105" s="13" t="s">
        <v>416</v>
      </c>
      <c r="G105" s="11" t="s">
        <v>46</v>
      </c>
      <c r="H105" t="s">
        <v>248</v>
      </c>
      <c r="L105" t="s">
        <v>2013</v>
      </c>
      <c r="O105" s="31">
        <v>1</v>
      </c>
      <c r="P105" s="34">
        <f t="shared" si="1"/>
        <v>0.5</v>
      </c>
    </row>
    <row r="106" spans="1:16">
      <c r="A106">
        <v>103</v>
      </c>
      <c r="B106" s="15" t="s">
        <v>430</v>
      </c>
      <c r="C106" t="s">
        <v>431</v>
      </c>
      <c r="D106" s="19" t="s">
        <v>432</v>
      </c>
      <c r="E106">
        <v>0</v>
      </c>
      <c r="F106" s="13">
        <v>51</v>
      </c>
      <c r="G106" s="11" t="s">
        <v>203</v>
      </c>
      <c r="H106" t="s">
        <v>218</v>
      </c>
      <c r="K106" t="s">
        <v>2024</v>
      </c>
      <c r="O106" s="31">
        <v>0</v>
      </c>
      <c r="P106" s="34">
        <f t="shared" si="1"/>
        <v>0</v>
      </c>
    </row>
    <row r="107" spans="1:16">
      <c r="A107">
        <v>104</v>
      </c>
      <c r="B107" s="15" t="s">
        <v>430</v>
      </c>
      <c r="C107" t="s">
        <v>431</v>
      </c>
      <c r="D107" s="26" t="s">
        <v>436</v>
      </c>
      <c r="E107">
        <v>1</v>
      </c>
      <c r="F107" s="13">
        <v>51</v>
      </c>
      <c r="G107" s="11" t="s">
        <v>902</v>
      </c>
      <c r="H107" t="s">
        <v>218</v>
      </c>
      <c r="O107" s="31">
        <v>2</v>
      </c>
      <c r="P107" s="34">
        <f t="shared" si="1"/>
        <v>1</v>
      </c>
    </row>
    <row r="108" spans="1:16">
      <c r="A108">
        <v>105</v>
      </c>
      <c r="B108" s="15" t="s">
        <v>430</v>
      </c>
      <c r="C108" t="s">
        <v>431</v>
      </c>
      <c r="D108" s="26" t="s">
        <v>440</v>
      </c>
      <c r="E108">
        <v>1</v>
      </c>
      <c r="F108" s="13">
        <v>51</v>
      </c>
      <c r="G108" s="11" t="s">
        <v>902</v>
      </c>
      <c r="H108" t="s">
        <v>218</v>
      </c>
      <c r="O108" s="31">
        <v>2</v>
      </c>
      <c r="P108" s="34">
        <f t="shared" si="1"/>
        <v>1</v>
      </c>
    </row>
    <row r="109" spans="1:16">
      <c r="A109">
        <v>106</v>
      </c>
      <c r="B109" s="15" t="s">
        <v>430</v>
      </c>
      <c r="C109" t="s">
        <v>431</v>
      </c>
      <c r="D109" s="26" t="s">
        <v>446</v>
      </c>
      <c r="E109">
        <v>1</v>
      </c>
      <c r="F109" s="13">
        <v>51</v>
      </c>
      <c r="G109" s="11" t="s">
        <v>46</v>
      </c>
      <c r="H109" t="s">
        <v>218</v>
      </c>
      <c r="O109" s="31">
        <v>1</v>
      </c>
      <c r="P109" s="34">
        <f t="shared" si="1"/>
        <v>0.5</v>
      </c>
    </row>
    <row r="110" spans="1:16">
      <c r="A110">
        <v>107</v>
      </c>
      <c r="B110" s="15" t="s">
        <v>430</v>
      </c>
      <c r="C110" t="s">
        <v>431</v>
      </c>
      <c r="D110" s="26" t="s">
        <v>455</v>
      </c>
      <c r="E110">
        <v>1</v>
      </c>
      <c r="F110" s="13">
        <v>51</v>
      </c>
      <c r="G110" s="11" t="s">
        <v>46</v>
      </c>
      <c r="H110" t="s">
        <v>218</v>
      </c>
      <c r="O110" s="31">
        <v>1</v>
      </c>
      <c r="P110" s="34">
        <f t="shared" si="1"/>
        <v>0.5</v>
      </c>
    </row>
    <row r="111" spans="1:16">
      <c r="A111">
        <v>108</v>
      </c>
      <c r="B111" s="15" t="s">
        <v>430</v>
      </c>
      <c r="C111" t="s">
        <v>431</v>
      </c>
      <c r="D111" s="19" t="s">
        <v>136</v>
      </c>
      <c r="E111">
        <v>0</v>
      </c>
      <c r="F111" s="13">
        <v>51</v>
      </c>
      <c r="G111" s="11" t="s">
        <v>203</v>
      </c>
      <c r="H111" t="s">
        <v>218</v>
      </c>
      <c r="K111" t="s">
        <v>459</v>
      </c>
      <c r="O111" s="31">
        <v>0</v>
      </c>
      <c r="P111" s="34">
        <f t="shared" si="1"/>
        <v>0</v>
      </c>
    </row>
    <row r="112" spans="1:16">
      <c r="A112">
        <v>109</v>
      </c>
      <c r="B112" s="15" t="s">
        <v>430</v>
      </c>
      <c r="C112" t="s">
        <v>431</v>
      </c>
      <c r="D112" s="26" t="s">
        <v>462</v>
      </c>
      <c r="E112">
        <v>1</v>
      </c>
      <c r="F112" s="13">
        <v>51</v>
      </c>
      <c r="G112" s="11" t="s">
        <v>902</v>
      </c>
      <c r="H112" t="s">
        <v>218</v>
      </c>
      <c r="O112" s="31">
        <v>2</v>
      </c>
      <c r="P112" s="34">
        <f t="shared" si="1"/>
        <v>1</v>
      </c>
    </row>
    <row r="113" spans="1:16">
      <c r="A113">
        <v>110</v>
      </c>
      <c r="B113" s="15" t="s">
        <v>430</v>
      </c>
      <c r="C113" t="s">
        <v>431</v>
      </c>
      <c r="D113" s="26" t="s">
        <v>465</v>
      </c>
      <c r="E113">
        <v>1</v>
      </c>
      <c r="F113" s="13">
        <v>51</v>
      </c>
      <c r="G113" s="11" t="s">
        <v>46</v>
      </c>
      <c r="H113" t="s">
        <v>218</v>
      </c>
      <c r="O113" s="31">
        <v>1</v>
      </c>
      <c r="P113" s="34">
        <f t="shared" si="1"/>
        <v>0.5</v>
      </c>
    </row>
    <row r="114" spans="1:16">
      <c r="A114">
        <v>111</v>
      </c>
      <c r="B114" s="15" t="s">
        <v>430</v>
      </c>
      <c r="C114" t="s">
        <v>431</v>
      </c>
      <c r="D114" s="26" t="s">
        <v>467</v>
      </c>
      <c r="E114">
        <v>1</v>
      </c>
      <c r="F114" s="13">
        <v>51</v>
      </c>
      <c r="G114" s="11" t="s">
        <v>46</v>
      </c>
      <c r="H114" t="s">
        <v>218</v>
      </c>
      <c r="O114" s="31">
        <v>1</v>
      </c>
      <c r="P114" s="34">
        <f t="shared" si="1"/>
        <v>0.5</v>
      </c>
    </row>
    <row r="115" spans="1:16">
      <c r="A115">
        <v>112</v>
      </c>
      <c r="B115" s="15" t="s">
        <v>430</v>
      </c>
      <c r="C115" t="s">
        <v>431</v>
      </c>
      <c r="D115" s="26" t="s">
        <v>469</v>
      </c>
      <c r="E115">
        <v>1</v>
      </c>
      <c r="F115" s="13">
        <v>51</v>
      </c>
      <c r="G115" s="11" t="s">
        <v>46</v>
      </c>
      <c r="H115" t="s">
        <v>218</v>
      </c>
      <c r="O115" s="31">
        <v>1</v>
      </c>
      <c r="P115" s="34">
        <f t="shared" si="1"/>
        <v>0.5</v>
      </c>
    </row>
    <row r="116" spans="1:16">
      <c r="A116">
        <v>113</v>
      </c>
      <c r="B116" s="15" t="s">
        <v>430</v>
      </c>
      <c r="C116" t="s">
        <v>431</v>
      </c>
      <c r="D116" s="19" t="s">
        <v>471</v>
      </c>
      <c r="E116">
        <v>1</v>
      </c>
      <c r="F116" s="13">
        <v>51</v>
      </c>
      <c r="G116" s="11" t="s">
        <v>902</v>
      </c>
      <c r="H116" t="s">
        <v>218</v>
      </c>
      <c r="L116" t="s">
        <v>2013</v>
      </c>
      <c r="O116" s="31">
        <v>2</v>
      </c>
      <c r="P116" s="34">
        <f t="shared" si="1"/>
        <v>1</v>
      </c>
    </row>
    <row r="117" spans="1:16">
      <c r="A117">
        <v>114</v>
      </c>
      <c r="B117" s="15" t="s">
        <v>430</v>
      </c>
      <c r="C117" t="s">
        <v>431</v>
      </c>
      <c r="D117" s="26" t="s">
        <v>476</v>
      </c>
      <c r="E117">
        <v>1</v>
      </c>
      <c r="F117" s="13">
        <v>51</v>
      </c>
      <c r="G117" s="11" t="s">
        <v>902</v>
      </c>
      <c r="H117" t="s">
        <v>218</v>
      </c>
      <c r="L117" t="s">
        <v>2013</v>
      </c>
      <c r="O117" s="31">
        <v>2</v>
      </c>
      <c r="P117" s="34">
        <f t="shared" si="1"/>
        <v>1</v>
      </c>
    </row>
    <row r="118" spans="1:16">
      <c r="A118">
        <v>115</v>
      </c>
      <c r="B118" s="15" t="s">
        <v>430</v>
      </c>
      <c r="C118" t="s">
        <v>431</v>
      </c>
      <c r="D118" s="26" t="s">
        <v>481</v>
      </c>
      <c r="E118">
        <v>0</v>
      </c>
      <c r="F118" s="13">
        <v>51</v>
      </c>
      <c r="G118" s="11" t="s">
        <v>203</v>
      </c>
      <c r="H118" t="s">
        <v>218</v>
      </c>
      <c r="L118" t="s">
        <v>2013</v>
      </c>
      <c r="O118" s="31">
        <v>0</v>
      </c>
      <c r="P118" s="34">
        <f t="shared" si="1"/>
        <v>0</v>
      </c>
    </row>
    <row r="119" spans="1:16">
      <c r="A119">
        <v>116</v>
      </c>
      <c r="B119" s="15" t="s">
        <v>430</v>
      </c>
      <c r="C119" t="s">
        <v>431</v>
      </c>
      <c r="D119" s="26" t="s">
        <v>2025</v>
      </c>
      <c r="E119">
        <v>1</v>
      </c>
      <c r="F119" s="13">
        <v>51</v>
      </c>
      <c r="G119" s="11" t="s">
        <v>484</v>
      </c>
      <c r="H119" t="s">
        <v>218</v>
      </c>
      <c r="L119" t="s">
        <v>2013</v>
      </c>
      <c r="O119" s="31">
        <v>1</v>
      </c>
      <c r="P119" s="34">
        <f t="shared" si="1"/>
        <v>0.5</v>
      </c>
    </row>
    <row r="120" spans="1:16" ht="28.9">
      <c r="A120">
        <v>117</v>
      </c>
      <c r="B120" s="15" t="s">
        <v>430</v>
      </c>
      <c r="C120" t="s">
        <v>431</v>
      </c>
      <c r="D120" s="26" t="s">
        <v>486</v>
      </c>
      <c r="E120">
        <v>1</v>
      </c>
      <c r="F120" s="13">
        <v>51</v>
      </c>
      <c r="G120" s="11" t="s">
        <v>487</v>
      </c>
      <c r="H120" t="s">
        <v>218</v>
      </c>
      <c r="L120" t="s">
        <v>2013</v>
      </c>
      <c r="O120" s="31">
        <v>1</v>
      </c>
      <c r="P120" s="34">
        <f t="shared" si="1"/>
        <v>0.5</v>
      </c>
    </row>
    <row r="121" spans="1:16">
      <c r="A121">
        <v>118</v>
      </c>
      <c r="B121" s="15" t="s">
        <v>430</v>
      </c>
      <c r="C121" t="s">
        <v>488</v>
      </c>
      <c r="D121" s="19" t="s">
        <v>489</v>
      </c>
      <c r="E121">
        <v>1</v>
      </c>
      <c r="F121" s="13">
        <v>51</v>
      </c>
      <c r="G121" s="11" t="s">
        <v>902</v>
      </c>
      <c r="H121" t="s">
        <v>218</v>
      </c>
      <c r="O121" s="31">
        <v>2</v>
      </c>
      <c r="P121" s="34">
        <f t="shared" si="1"/>
        <v>1</v>
      </c>
    </row>
    <row r="122" spans="1:16">
      <c r="A122">
        <v>119</v>
      </c>
      <c r="B122" s="15" t="s">
        <v>430</v>
      </c>
      <c r="C122" t="s">
        <v>488</v>
      </c>
      <c r="D122" s="26" t="s">
        <v>494</v>
      </c>
      <c r="E122">
        <v>1</v>
      </c>
      <c r="F122" s="13">
        <v>51</v>
      </c>
      <c r="G122" s="11" t="s">
        <v>902</v>
      </c>
      <c r="H122" t="s">
        <v>218</v>
      </c>
      <c r="O122" s="31">
        <v>2</v>
      </c>
      <c r="P122" s="34">
        <f t="shared" si="1"/>
        <v>1</v>
      </c>
    </row>
    <row r="123" spans="1:16">
      <c r="A123">
        <v>120</v>
      </c>
      <c r="B123" s="15" t="s">
        <v>430</v>
      </c>
      <c r="C123" t="s">
        <v>488</v>
      </c>
      <c r="D123" s="26" t="s">
        <v>500</v>
      </c>
      <c r="E123">
        <v>1</v>
      </c>
      <c r="F123" s="13">
        <v>51</v>
      </c>
      <c r="G123" s="11" t="s">
        <v>902</v>
      </c>
      <c r="H123" t="s">
        <v>218</v>
      </c>
      <c r="O123" s="31">
        <v>2</v>
      </c>
      <c r="P123" s="34">
        <f t="shared" si="1"/>
        <v>1</v>
      </c>
    </row>
    <row r="124" spans="1:16">
      <c r="A124">
        <v>121</v>
      </c>
      <c r="B124" s="15" t="s">
        <v>430</v>
      </c>
      <c r="C124" t="s">
        <v>503</v>
      </c>
      <c r="D124" s="26" t="s">
        <v>504</v>
      </c>
      <c r="E124">
        <v>0</v>
      </c>
      <c r="F124" s="13">
        <v>51</v>
      </c>
      <c r="G124" s="11" t="s">
        <v>203</v>
      </c>
      <c r="H124" t="s">
        <v>218</v>
      </c>
      <c r="K124" t="s">
        <v>506</v>
      </c>
      <c r="O124" s="31">
        <v>0</v>
      </c>
      <c r="P124" s="34">
        <f t="shared" si="1"/>
        <v>0</v>
      </c>
    </row>
    <row r="125" spans="1:16">
      <c r="A125">
        <v>122</v>
      </c>
      <c r="B125" s="15" t="s">
        <v>430</v>
      </c>
      <c r="C125" t="s">
        <v>503</v>
      </c>
      <c r="D125" s="26" t="s">
        <v>507</v>
      </c>
      <c r="E125">
        <v>0</v>
      </c>
      <c r="F125" s="13">
        <v>51</v>
      </c>
      <c r="G125" s="11" t="s">
        <v>203</v>
      </c>
      <c r="H125" t="s">
        <v>218</v>
      </c>
      <c r="K125" t="s">
        <v>506</v>
      </c>
      <c r="O125" s="31">
        <v>0</v>
      </c>
      <c r="P125" s="34">
        <f t="shared" si="1"/>
        <v>0</v>
      </c>
    </row>
    <row r="126" spans="1:16">
      <c r="A126">
        <v>123</v>
      </c>
      <c r="B126" s="15" t="s">
        <v>430</v>
      </c>
      <c r="C126" t="s">
        <v>503</v>
      </c>
      <c r="D126" s="19" t="s">
        <v>2026</v>
      </c>
      <c r="E126">
        <v>0</v>
      </c>
      <c r="F126" s="13">
        <v>51</v>
      </c>
      <c r="G126" s="11" t="s">
        <v>203</v>
      </c>
      <c r="H126" t="s">
        <v>218</v>
      </c>
      <c r="K126" t="s">
        <v>506</v>
      </c>
      <c r="O126" s="31">
        <v>0</v>
      </c>
      <c r="P126" s="34">
        <f t="shared" si="1"/>
        <v>0</v>
      </c>
    </row>
    <row r="127" spans="1:16">
      <c r="A127">
        <v>124</v>
      </c>
      <c r="B127" s="15" t="s">
        <v>430</v>
      </c>
      <c r="C127" t="s">
        <v>503</v>
      </c>
      <c r="D127" s="26" t="s">
        <v>511</v>
      </c>
      <c r="E127">
        <v>0</v>
      </c>
      <c r="F127" s="13">
        <v>51</v>
      </c>
      <c r="G127" s="11" t="s">
        <v>203</v>
      </c>
      <c r="H127" t="s">
        <v>218</v>
      </c>
      <c r="K127" t="s">
        <v>506</v>
      </c>
      <c r="O127" s="31">
        <v>0</v>
      </c>
      <c r="P127" s="34">
        <f t="shared" si="1"/>
        <v>0</v>
      </c>
    </row>
    <row r="128" spans="1:16">
      <c r="A128">
        <v>125</v>
      </c>
      <c r="B128" s="15" t="s">
        <v>430</v>
      </c>
      <c r="C128" t="s">
        <v>503</v>
      </c>
      <c r="D128" s="26" t="s">
        <v>512</v>
      </c>
      <c r="E128">
        <v>0</v>
      </c>
      <c r="F128" s="13">
        <v>51</v>
      </c>
      <c r="G128" s="11" t="s">
        <v>203</v>
      </c>
      <c r="H128" t="s">
        <v>218</v>
      </c>
      <c r="K128" t="s">
        <v>506</v>
      </c>
      <c r="O128" s="31">
        <v>0</v>
      </c>
      <c r="P128" s="34">
        <f t="shared" si="1"/>
        <v>0</v>
      </c>
    </row>
    <row r="129" spans="1:16">
      <c r="A129">
        <v>126</v>
      </c>
      <c r="B129" s="15" t="s">
        <v>430</v>
      </c>
      <c r="C129" t="s">
        <v>503</v>
      </c>
      <c r="D129" s="26" t="s">
        <v>514</v>
      </c>
      <c r="E129">
        <v>0</v>
      </c>
      <c r="F129" s="13">
        <v>51</v>
      </c>
      <c r="G129" s="11" t="s">
        <v>203</v>
      </c>
      <c r="H129" t="s">
        <v>218</v>
      </c>
      <c r="K129" t="s">
        <v>506</v>
      </c>
      <c r="O129" s="31">
        <v>0</v>
      </c>
      <c r="P129" s="34">
        <f t="shared" si="1"/>
        <v>0</v>
      </c>
    </row>
    <row r="130" spans="1:16">
      <c r="A130">
        <v>127</v>
      </c>
      <c r="B130" s="15" t="s">
        <v>430</v>
      </c>
      <c r="C130" t="s">
        <v>503</v>
      </c>
      <c r="D130" s="26" t="s">
        <v>515</v>
      </c>
      <c r="E130">
        <v>1</v>
      </c>
      <c r="F130" s="13">
        <v>51</v>
      </c>
      <c r="G130" s="11" t="s">
        <v>902</v>
      </c>
      <c r="H130" t="s">
        <v>218</v>
      </c>
      <c r="O130" s="31">
        <v>3</v>
      </c>
      <c r="P130" s="34">
        <f t="shared" si="1"/>
        <v>1.5</v>
      </c>
    </row>
    <row r="131" spans="1:16">
      <c r="A131">
        <v>128</v>
      </c>
      <c r="B131" s="15" t="s">
        <v>430</v>
      </c>
      <c r="C131" t="s">
        <v>503</v>
      </c>
      <c r="D131" s="19" t="s">
        <v>519</v>
      </c>
      <c r="E131">
        <v>0</v>
      </c>
      <c r="F131" s="13">
        <v>51</v>
      </c>
      <c r="G131" s="11" t="s">
        <v>203</v>
      </c>
      <c r="H131" t="s">
        <v>218</v>
      </c>
      <c r="K131" t="s">
        <v>506</v>
      </c>
      <c r="O131" s="31">
        <v>0</v>
      </c>
      <c r="P131" s="34">
        <f t="shared" si="1"/>
        <v>0</v>
      </c>
    </row>
    <row r="132" spans="1:16">
      <c r="A132">
        <v>129</v>
      </c>
      <c r="B132" s="15" t="s">
        <v>430</v>
      </c>
      <c r="C132" t="s">
        <v>503</v>
      </c>
      <c r="D132" s="26" t="s">
        <v>520</v>
      </c>
      <c r="E132">
        <v>1</v>
      </c>
      <c r="F132" s="13">
        <v>51</v>
      </c>
      <c r="G132" s="11" t="s">
        <v>902</v>
      </c>
      <c r="H132" t="s">
        <v>218</v>
      </c>
      <c r="O132" s="31">
        <v>3</v>
      </c>
      <c r="P132" s="34">
        <f t="shared" si="1"/>
        <v>1.5</v>
      </c>
    </row>
    <row r="133" spans="1:16">
      <c r="A133">
        <v>130</v>
      </c>
      <c r="B133" s="15" t="s">
        <v>430</v>
      </c>
      <c r="C133" t="s">
        <v>503</v>
      </c>
      <c r="D133" s="26" t="s">
        <v>523</v>
      </c>
      <c r="E133">
        <v>0</v>
      </c>
      <c r="F133" s="13">
        <v>51</v>
      </c>
      <c r="G133" s="11" t="s">
        <v>203</v>
      </c>
      <c r="H133" t="s">
        <v>218</v>
      </c>
      <c r="K133" t="s">
        <v>524</v>
      </c>
      <c r="O133" s="31">
        <v>0</v>
      </c>
      <c r="P133" s="34">
        <f t="shared" si="1"/>
        <v>0</v>
      </c>
    </row>
    <row r="134" spans="1:16">
      <c r="A134">
        <v>131</v>
      </c>
      <c r="B134" s="15" t="s">
        <v>430</v>
      </c>
      <c r="C134" t="s">
        <v>503</v>
      </c>
      <c r="D134" s="26" t="s">
        <v>525</v>
      </c>
      <c r="E134">
        <v>1</v>
      </c>
      <c r="F134" s="13">
        <v>51</v>
      </c>
      <c r="G134" s="11" t="s">
        <v>902</v>
      </c>
      <c r="H134" t="s">
        <v>218</v>
      </c>
      <c r="O134" s="31">
        <v>3</v>
      </c>
      <c r="P134" s="34">
        <f t="shared" si="1"/>
        <v>1.5</v>
      </c>
    </row>
    <row r="135" spans="1:16">
      <c r="A135">
        <v>132</v>
      </c>
      <c r="B135" s="15" t="s">
        <v>430</v>
      </c>
      <c r="C135" t="s">
        <v>503</v>
      </c>
      <c r="D135" s="26" t="s">
        <v>527</v>
      </c>
      <c r="E135">
        <v>0</v>
      </c>
      <c r="F135" s="13">
        <v>51</v>
      </c>
      <c r="G135" s="11" t="s">
        <v>203</v>
      </c>
      <c r="H135" t="s">
        <v>218</v>
      </c>
      <c r="K135" t="s">
        <v>459</v>
      </c>
      <c r="O135" s="31">
        <v>0</v>
      </c>
      <c r="P135" s="34">
        <f t="shared" si="1"/>
        <v>0</v>
      </c>
    </row>
    <row r="136" spans="1:16" ht="28.9">
      <c r="A136">
        <v>133</v>
      </c>
      <c r="B136" s="15" t="s">
        <v>430</v>
      </c>
      <c r="C136" t="s">
        <v>528</v>
      </c>
      <c r="D136" s="26" t="s">
        <v>529</v>
      </c>
      <c r="E136">
        <v>1</v>
      </c>
      <c r="F136" s="13">
        <v>52</v>
      </c>
      <c r="G136" s="11" t="s">
        <v>530</v>
      </c>
      <c r="H136" t="s">
        <v>218</v>
      </c>
      <c r="K136" t="s">
        <v>271</v>
      </c>
      <c r="O136" s="31">
        <v>1</v>
      </c>
      <c r="P136" s="34">
        <f t="shared" si="1"/>
        <v>0.5</v>
      </c>
    </row>
    <row r="137" spans="1:16">
      <c r="A137">
        <v>134</v>
      </c>
      <c r="B137" s="15" t="s">
        <v>430</v>
      </c>
      <c r="C137" t="s">
        <v>528</v>
      </c>
      <c r="D137" s="26" t="s">
        <v>533</v>
      </c>
      <c r="E137">
        <v>1</v>
      </c>
      <c r="F137" s="13">
        <v>52</v>
      </c>
      <c r="G137" s="11" t="s">
        <v>46</v>
      </c>
      <c r="H137" t="s">
        <v>218</v>
      </c>
      <c r="L137" t="s">
        <v>2019</v>
      </c>
      <c r="O137" s="31">
        <v>1</v>
      </c>
      <c r="P137" s="34">
        <f t="shared" si="1"/>
        <v>0.5</v>
      </c>
    </row>
    <row r="138" spans="1:16">
      <c r="A138">
        <v>135</v>
      </c>
      <c r="B138" s="15" t="s">
        <v>430</v>
      </c>
      <c r="C138" t="s">
        <v>528</v>
      </c>
      <c r="D138" s="26" t="s">
        <v>154</v>
      </c>
      <c r="E138">
        <v>0</v>
      </c>
      <c r="F138" s="13">
        <v>52</v>
      </c>
      <c r="G138" s="11" t="s">
        <v>203</v>
      </c>
      <c r="H138" t="s">
        <v>218</v>
      </c>
      <c r="O138" s="31">
        <v>0</v>
      </c>
      <c r="P138" s="34">
        <f t="shared" si="1"/>
        <v>0</v>
      </c>
    </row>
    <row r="139" spans="1:16">
      <c r="A139">
        <v>136</v>
      </c>
      <c r="B139" s="15" t="s">
        <v>430</v>
      </c>
      <c r="C139" t="s">
        <v>528</v>
      </c>
      <c r="D139" s="26" t="s">
        <v>539</v>
      </c>
      <c r="E139">
        <v>0</v>
      </c>
      <c r="F139" s="13">
        <v>52</v>
      </c>
      <c r="G139" s="11" t="s">
        <v>203</v>
      </c>
      <c r="H139" t="s">
        <v>218</v>
      </c>
      <c r="O139" s="31">
        <v>0</v>
      </c>
      <c r="P139" s="34">
        <f t="shared" si="1"/>
        <v>0</v>
      </c>
    </row>
    <row r="140" spans="1:16">
      <c r="A140">
        <v>137</v>
      </c>
      <c r="B140" s="15" t="s">
        <v>430</v>
      </c>
      <c r="C140" t="s">
        <v>528</v>
      </c>
      <c r="D140" s="26" t="s">
        <v>541</v>
      </c>
      <c r="E140">
        <v>1</v>
      </c>
      <c r="F140" s="13">
        <v>52</v>
      </c>
      <c r="G140" s="11" t="s">
        <v>46</v>
      </c>
      <c r="H140" t="s">
        <v>218</v>
      </c>
      <c r="L140" t="s">
        <v>2019</v>
      </c>
      <c r="O140" s="31">
        <v>1</v>
      </c>
      <c r="P140" s="34">
        <f t="shared" si="1"/>
        <v>0.5</v>
      </c>
    </row>
    <row r="141" spans="1:16">
      <c r="A141">
        <v>138</v>
      </c>
      <c r="B141" s="15" t="s">
        <v>430</v>
      </c>
      <c r="C141" t="s">
        <v>528</v>
      </c>
      <c r="D141" s="26" t="s">
        <v>155</v>
      </c>
      <c r="E141">
        <v>0</v>
      </c>
      <c r="F141" s="13">
        <v>52</v>
      </c>
      <c r="G141" s="11" t="s">
        <v>203</v>
      </c>
      <c r="H141" t="s">
        <v>218</v>
      </c>
      <c r="O141" s="31">
        <v>0</v>
      </c>
      <c r="P141" s="34">
        <f t="shared" si="1"/>
        <v>0</v>
      </c>
    </row>
    <row r="142" spans="1:16">
      <c r="A142">
        <v>139</v>
      </c>
      <c r="B142" s="15" t="s">
        <v>430</v>
      </c>
      <c r="C142" t="s">
        <v>528</v>
      </c>
      <c r="D142" s="26" t="s">
        <v>545</v>
      </c>
      <c r="E142">
        <v>1</v>
      </c>
      <c r="F142" s="13">
        <v>52</v>
      </c>
      <c r="G142" s="11" t="s">
        <v>46</v>
      </c>
      <c r="H142" t="s">
        <v>218</v>
      </c>
      <c r="L142" t="s">
        <v>2019</v>
      </c>
      <c r="O142" s="31">
        <v>1</v>
      </c>
      <c r="P142" s="34">
        <f t="shared" si="1"/>
        <v>0.5</v>
      </c>
    </row>
    <row r="143" spans="1:16">
      <c r="A143">
        <v>140</v>
      </c>
      <c r="B143" s="15" t="s">
        <v>430</v>
      </c>
      <c r="C143" t="s">
        <v>528</v>
      </c>
      <c r="D143" s="26" t="s">
        <v>547</v>
      </c>
      <c r="E143">
        <v>1</v>
      </c>
      <c r="F143" s="13">
        <v>52</v>
      </c>
      <c r="G143" s="11" t="s">
        <v>46</v>
      </c>
      <c r="H143" t="s">
        <v>218</v>
      </c>
      <c r="L143" t="s">
        <v>2019</v>
      </c>
      <c r="O143" s="31">
        <v>1</v>
      </c>
      <c r="P143" s="34">
        <f t="shared" si="1"/>
        <v>0.5</v>
      </c>
    </row>
    <row r="144" spans="1:16">
      <c r="A144">
        <v>141</v>
      </c>
      <c r="B144" s="15" t="s">
        <v>430</v>
      </c>
      <c r="C144" t="s">
        <v>528</v>
      </c>
      <c r="D144" s="26" t="s">
        <v>549</v>
      </c>
      <c r="E144">
        <v>1</v>
      </c>
      <c r="F144" s="13">
        <v>52</v>
      </c>
      <c r="G144" s="11" t="s">
        <v>46</v>
      </c>
      <c r="H144" t="s">
        <v>218</v>
      </c>
      <c r="L144" t="s">
        <v>2019</v>
      </c>
      <c r="O144" s="31">
        <v>1</v>
      </c>
      <c r="P144" s="34">
        <f t="shared" si="1"/>
        <v>0.5</v>
      </c>
    </row>
    <row r="145" spans="1:16">
      <c r="A145">
        <v>142</v>
      </c>
      <c r="B145" s="15" t="s">
        <v>430</v>
      </c>
      <c r="C145" t="s">
        <v>528</v>
      </c>
      <c r="D145" s="26" t="s">
        <v>551</v>
      </c>
      <c r="E145">
        <v>0</v>
      </c>
      <c r="F145" s="13">
        <v>52</v>
      </c>
      <c r="G145" s="11" t="s">
        <v>203</v>
      </c>
      <c r="H145" t="s">
        <v>218</v>
      </c>
      <c r="O145" s="31">
        <v>0</v>
      </c>
      <c r="P145" s="34">
        <f t="shared" si="1"/>
        <v>0</v>
      </c>
    </row>
    <row r="146" spans="1:16">
      <c r="A146">
        <v>143</v>
      </c>
      <c r="B146" s="15" t="s">
        <v>430</v>
      </c>
      <c r="C146" t="s">
        <v>528</v>
      </c>
      <c r="D146" s="26" t="s">
        <v>553</v>
      </c>
      <c r="E146">
        <v>0</v>
      </c>
      <c r="F146" s="13">
        <v>52</v>
      </c>
      <c r="G146" s="11" t="s">
        <v>203</v>
      </c>
      <c r="H146" t="s">
        <v>218</v>
      </c>
      <c r="O146" s="31">
        <v>0</v>
      </c>
      <c r="P146" s="34">
        <f t="shared" si="1"/>
        <v>0</v>
      </c>
    </row>
    <row r="147" spans="1:16">
      <c r="A147">
        <v>144</v>
      </c>
      <c r="B147" s="15" t="s">
        <v>430</v>
      </c>
      <c r="C147" t="s">
        <v>528</v>
      </c>
      <c r="D147" s="26" t="s">
        <v>555</v>
      </c>
      <c r="E147">
        <v>0</v>
      </c>
      <c r="F147" s="13">
        <v>52</v>
      </c>
      <c r="G147" s="11" t="s">
        <v>203</v>
      </c>
      <c r="H147" t="s">
        <v>218</v>
      </c>
      <c r="O147" s="31">
        <v>0</v>
      </c>
      <c r="P147" s="34">
        <f t="shared" si="1"/>
        <v>0</v>
      </c>
    </row>
    <row r="148" spans="1:16">
      <c r="A148">
        <v>145</v>
      </c>
      <c r="B148" s="15" t="s">
        <v>430</v>
      </c>
      <c r="C148" t="s">
        <v>528</v>
      </c>
      <c r="D148" s="26" t="s">
        <v>557</v>
      </c>
      <c r="E148">
        <v>1</v>
      </c>
      <c r="F148" s="13">
        <v>52</v>
      </c>
      <c r="G148" s="11" t="s">
        <v>46</v>
      </c>
      <c r="H148" t="s">
        <v>218</v>
      </c>
      <c r="L148" t="s">
        <v>2019</v>
      </c>
      <c r="O148" s="31">
        <v>1</v>
      </c>
      <c r="P148" s="34">
        <f t="shared" si="1"/>
        <v>0.5</v>
      </c>
    </row>
    <row r="149" spans="1:16">
      <c r="A149">
        <v>146</v>
      </c>
      <c r="B149" s="15" t="s">
        <v>430</v>
      </c>
      <c r="C149" t="s">
        <v>528</v>
      </c>
      <c r="D149" s="26" t="s">
        <v>559</v>
      </c>
      <c r="E149">
        <v>0</v>
      </c>
      <c r="F149" s="13">
        <v>52</v>
      </c>
      <c r="G149" s="11" t="s">
        <v>203</v>
      </c>
      <c r="H149" t="s">
        <v>218</v>
      </c>
      <c r="O149" s="31">
        <v>0</v>
      </c>
      <c r="P149" s="34">
        <f t="shared" si="1"/>
        <v>0</v>
      </c>
    </row>
    <row r="150" spans="1:16">
      <c r="A150">
        <v>147</v>
      </c>
      <c r="B150" s="15" t="s">
        <v>430</v>
      </c>
      <c r="C150" t="s">
        <v>561</v>
      </c>
      <c r="D150" s="26" t="s">
        <v>562</v>
      </c>
      <c r="E150">
        <v>0</v>
      </c>
      <c r="F150" s="13" t="s">
        <v>563</v>
      </c>
      <c r="G150" s="11" t="s">
        <v>203</v>
      </c>
      <c r="H150" t="s">
        <v>218</v>
      </c>
      <c r="O150" s="31">
        <v>0</v>
      </c>
      <c r="P150" s="34">
        <f t="shared" si="1"/>
        <v>0</v>
      </c>
    </row>
    <row r="151" spans="1:16">
      <c r="A151">
        <v>148</v>
      </c>
      <c r="B151" s="15" t="s">
        <v>430</v>
      </c>
      <c r="C151" t="s">
        <v>561</v>
      </c>
      <c r="D151" s="26" t="s">
        <v>566</v>
      </c>
      <c r="E151">
        <v>0</v>
      </c>
      <c r="F151" s="13" t="s">
        <v>563</v>
      </c>
      <c r="G151" s="11" t="s">
        <v>203</v>
      </c>
      <c r="H151" t="s">
        <v>218</v>
      </c>
      <c r="O151" s="31">
        <v>0</v>
      </c>
      <c r="P151" s="34">
        <f t="shared" si="1"/>
        <v>0</v>
      </c>
    </row>
    <row r="152" spans="1:16">
      <c r="A152">
        <v>149</v>
      </c>
      <c r="B152" s="15" t="s">
        <v>430</v>
      </c>
      <c r="C152" t="s">
        <v>561</v>
      </c>
      <c r="D152" s="26" t="s">
        <v>570</v>
      </c>
      <c r="E152">
        <v>0</v>
      </c>
      <c r="F152" s="13" t="s">
        <v>563</v>
      </c>
      <c r="G152" s="11" t="s">
        <v>203</v>
      </c>
      <c r="H152" t="s">
        <v>218</v>
      </c>
      <c r="O152" s="31">
        <v>0</v>
      </c>
      <c r="P152" s="34">
        <f t="shared" si="1"/>
        <v>0</v>
      </c>
    </row>
    <row r="153" spans="1:16">
      <c r="A153">
        <v>150</v>
      </c>
      <c r="B153" s="15" t="s">
        <v>430</v>
      </c>
      <c r="C153" t="s">
        <v>561</v>
      </c>
      <c r="D153" s="26" t="s">
        <v>571</v>
      </c>
      <c r="E153">
        <v>0</v>
      </c>
      <c r="F153" s="13">
        <v>52</v>
      </c>
      <c r="G153" s="11" t="s">
        <v>572</v>
      </c>
      <c r="H153" t="s">
        <v>218</v>
      </c>
      <c r="O153" s="31">
        <v>1</v>
      </c>
      <c r="P153" s="34">
        <f t="shared" si="1"/>
        <v>0</v>
      </c>
    </row>
    <row r="154" spans="1:16">
      <c r="A154">
        <v>151</v>
      </c>
      <c r="B154" s="15" t="s">
        <v>430</v>
      </c>
      <c r="C154" t="s">
        <v>561</v>
      </c>
      <c r="D154" s="26" t="s">
        <v>575</v>
      </c>
      <c r="E154">
        <v>1</v>
      </c>
      <c r="F154" s="13" t="s">
        <v>563</v>
      </c>
      <c r="G154" s="11" t="s">
        <v>46</v>
      </c>
      <c r="H154" t="s">
        <v>218</v>
      </c>
      <c r="O154" s="31">
        <v>2</v>
      </c>
      <c r="P154" s="34">
        <f t="shared" si="1"/>
        <v>1</v>
      </c>
    </row>
    <row r="155" spans="1:16">
      <c r="A155">
        <v>152</v>
      </c>
      <c r="B155" s="15" t="s">
        <v>430</v>
      </c>
      <c r="C155" t="s">
        <v>561</v>
      </c>
      <c r="D155" s="26" t="s">
        <v>545</v>
      </c>
      <c r="E155">
        <v>0</v>
      </c>
      <c r="F155" s="13" t="s">
        <v>563</v>
      </c>
      <c r="G155" s="11" t="s">
        <v>203</v>
      </c>
      <c r="H155" t="s">
        <v>218</v>
      </c>
      <c r="O155" s="31">
        <v>0</v>
      </c>
      <c r="P155" s="34">
        <f t="shared" si="1"/>
        <v>0</v>
      </c>
    </row>
    <row r="156" spans="1:16">
      <c r="A156">
        <v>153</v>
      </c>
      <c r="B156" s="15" t="s">
        <v>430</v>
      </c>
      <c r="C156" t="s">
        <v>580</v>
      </c>
      <c r="D156" s="26" t="s">
        <v>581</v>
      </c>
      <c r="E156">
        <v>1</v>
      </c>
      <c r="F156" s="13">
        <v>52</v>
      </c>
      <c r="G156" s="11" t="s">
        <v>902</v>
      </c>
      <c r="H156" t="s">
        <v>218</v>
      </c>
      <c r="O156" s="31">
        <v>1</v>
      </c>
      <c r="P156" s="34">
        <f t="shared" si="1"/>
        <v>0.5</v>
      </c>
    </row>
    <row r="157" spans="1:16">
      <c r="A157">
        <v>154</v>
      </c>
      <c r="B157" s="15" t="s">
        <v>430</v>
      </c>
      <c r="C157" t="s">
        <v>580</v>
      </c>
      <c r="D157" s="26" t="s">
        <v>586</v>
      </c>
      <c r="E157">
        <v>0</v>
      </c>
      <c r="F157" s="13">
        <v>52</v>
      </c>
      <c r="G157" s="11" t="s">
        <v>203</v>
      </c>
      <c r="H157" t="s">
        <v>218</v>
      </c>
      <c r="O157" s="31">
        <v>0</v>
      </c>
      <c r="P157" s="34">
        <f t="shared" si="1"/>
        <v>0</v>
      </c>
    </row>
    <row r="158" spans="1:16">
      <c r="A158">
        <v>155</v>
      </c>
      <c r="B158" s="15" t="s">
        <v>430</v>
      </c>
      <c r="C158" t="s">
        <v>580</v>
      </c>
      <c r="D158" s="26" t="s">
        <v>588</v>
      </c>
      <c r="E158">
        <v>1</v>
      </c>
      <c r="F158" s="13">
        <v>52</v>
      </c>
      <c r="G158" s="11" t="s">
        <v>902</v>
      </c>
      <c r="H158" t="s">
        <v>218</v>
      </c>
      <c r="O158" s="31">
        <v>1</v>
      </c>
      <c r="P158" s="34">
        <f t="shared" si="1"/>
        <v>0.5</v>
      </c>
    </row>
    <row r="159" spans="1:16">
      <c r="A159">
        <v>156</v>
      </c>
      <c r="B159" s="15" t="s">
        <v>592</v>
      </c>
      <c r="C159" t="s">
        <v>409</v>
      </c>
      <c r="D159" s="19" t="s">
        <v>2027</v>
      </c>
      <c r="E159">
        <v>0</v>
      </c>
      <c r="F159" s="13">
        <v>56</v>
      </c>
      <c r="H159" t="s">
        <v>248</v>
      </c>
      <c r="O159" s="31" t="s">
        <v>2028</v>
      </c>
      <c r="P159" s="34" t="str">
        <f t="shared" si="1"/>
        <v/>
      </c>
    </row>
    <row r="160" spans="1:16">
      <c r="A160">
        <v>157</v>
      </c>
      <c r="B160" s="15" t="s">
        <v>592</v>
      </c>
      <c r="C160" t="s">
        <v>414</v>
      </c>
      <c r="D160" s="19" t="s">
        <v>2027</v>
      </c>
      <c r="E160">
        <v>0</v>
      </c>
      <c r="F160" s="13">
        <v>57</v>
      </c>
      <c r="H160" t="s">
        <v>248</v>
      </c>
      <c r="O160" s="31" t="s">
        <v>2028</v>
      </c>
      <c r="P160" s="34" t="str">
        <f t="shared" si="1"/>
        <v/>
      </c>
    </row>
    <row r="161" spans="1:16">
      <c r="A161">
        <v>158</v>
      </c>
      <c r="B161" s="15" t="s">
        <v>592</v>
      </c>
      <c r="C161" t="s">
        <v>561</v>
      </c>
      <c r="D161" s="19" t="s">
        <v>2027</v>
      </c>
      <c r="E161">
        <v>0</v>
      </c>
      <c r="F161" s="13">
        <v>58</v>
      </c>
      <c r="H161" t="s">
        <v>248</v>
      </c>
      <c r="O161" s="31" t="s">
        <v>2028</v>
      </c>
      <c r="P161" s="34" t="str">
        <f t="shared" si="1"/>
        <v/>
      </c>
    </row>
    <row r="162" spans="1:16">
      <c r="A162">
        <v>159</v>
      </c>
      <c r="B162" s="15" t="s">
        <v>592</v>
      </c>
      <c r="C162" t="s">
        <v>593</v>
      </c>
      <c r="D162" s="19" t="s">
        <v>594</v>
      </c>
      <c r="E162">
        <v>0</v>
      </c>
      <c r="F162" s="13">
        <v>59</v>
      </c>
      <c r="G162" s="11" t="s">
        <v>572</v>
      </c>
      <c r="H162" t="s">
        <v>248</v>
      </c>
      <c r="K162" t="s">
        <v>595</v>
      </c>
      <c r="O162" s="31">
        <v>1</v>
      </c>
      <c r="P162" s="34">
        <f t="shared" si="1"/>
        <v>0</v>
      </c>
    </row>
    <row r="163" spans="1:16">
      <c r="A163">
        <v>160</v>
      </c>
      <c r="B163" s="15" t="s">
        <v>592</v>
      </c>
      <c r="C163" t="s">
        <v>593</v>
      </c>
      <c r="D163" s="19" t="s">
        <v>596</v>
      </c>
      <c r="E163">
        <v>0</v>
      </c>
      <c r="F163" s="13">
        <v>60</v>
      </c>
      <c r="G163" s="11" t="s">
        <v>597</v>
      </c>
      <c r="H163" t="s">
        <v>248</v>
      </c>
      <c r="O163" s="31">
        <v>1</v>
      </c>
      <c r="P163" s="34">
        <f t="shared" si="1"/>
        <v>0</v>
      </c>
    </row>
    <row r="164" spans="1:16">
      <c r="A164">
        <v>161</v>
      </c>
      <c r="B164" s="15" t="s">
        <v>598</v>
      </c>
      <c r="C164" t="s">
        <v>380</v>
      </c>
      <c r="D164" s="19" t="s">
        <v>2027</v>
      </c>
      <c r="E164">
        <v>0</v>
      </c>
      <c r="F164" s="13">
        <v>61</v>
      </c>
      <c r="H164" t="s">
        <v>218</v>
      </c>
      <c r="O164" s="31" t="s">
        <v>2028</v>
      </c>
      <c r="P164" s="34" t="str">
        <f t="shared" si="1"/>
        <v/>
      </c>
    </row>
    <row r="165" spans="1:16">
      <c r="A165">
        <v>162</v>
      </c>
      <c r="B165" s="15" t="s">
        <v>598</v>
      </c>
      <c r="C165" t="s">
        <v>216</v>
      </c>
      <c r="D165" s="19" t="s">
        <v>2027</v>
      </c>
      <c r="E165">
        <v>0</v>
      </c>
      <c r="F165" s="13">
        <v>61</v>
      </c>
      <c r="H165" t="s">
        <v>218</v>
      </c>
      <c r="O165" s="31" t="s">
        <v>2028</v>
      </c>
      <c r="P165" s="34" t="str">
        <f t="shared" si="1"/>
        <v/>
      </c>
    </row>
    <row r="166" spans="1:16" ht="43.15">
      <c r="A166">
        <v>163</v>
      </c>
      <c r="B166" s="15" t="s">
        <v>598</v>
      </c>
      <c r="C166" t="s">
        <v>10</v>
      </c>
      <c r="D166" s="19" t="s">
        <v>2029</v>
      </c>
      <c r="E166">
        <v>1</v>
      </c>
      <c r="F166" s="13">
        <v>62</v>
      </c>
      <c r="G166" s="11" t="s">
        <v>242</v>
      </c>
      <c r="H166" t="s">
        <v>218</v>
      </c>
      <c r="K166" s="11" t="s">
        <v>600</v>
      </c>
      <c r="O166" s="31">
        <v>2</v>
      </c>
      <c r="P166" s="34">
        <f t="shared" si="1"/>
        <v>1</v>
      </c>
    </row>
    <row r="167" spans="1:16">
      <c r="A167">
        <v>164</v>
      </c>
      <c r="B167" s="15" t="s">
        <v>604</v>
      </c>
      <c r="C167" t="s">
        <v>605</v>
      </c>
      <c r="D167" s="19" t="s">
        <v>606</v>
      </c>
      <c r="E167">
        <v>0</v>
      </c>
      <c r="F167" s="13">
        <v>64</v>
      </c>
      <c r="G167" s="11" t="s">
        <v>203</v>
      </c>
      <c r="H167" t="s">
        <v>218</v>
      </c>
      <c r="K167" t="s">
        <v>606</v>
      </c>
      <c r="O167" s="31">
        <v>0</v>
      </c>
      <c r="P167" s="34">
        <f t="shared" si="1"/>
        <v>0</v>
      </c>
    </row>
    <row r="168" spans="1:16">
      <c r="A168">
        <v>165</v>
      </c>
      <c r="B168" s="15" t="s">
        <v>604</v>
      </c>
      <c r="C168" t="s">
        <v>863</v>
      </c>
      <c r="D168" s="19" t="s">
        <v>2030</v>
      </c>
      <c r="E168">
        <v>1</v>
      </c>
      <c r="F168" s="13">
        <v>71</v>
      </c>
      <c r="G168" s="11" t="s">
        <v>217</v>
      </c>
      <c r="H168" t="s">
        <v>218</v>
      </c>
      <c r="K168" t="s">
        <v>866</v>
      </c>
      <c r="O168" s="31">
        <v>1</v>
      </c>
      <c r="P168" s="34">
        <f t="shared" si="1"/>
        <v>0.5</v>
      </c>
    </row>
    <row r="169" spans="1:16">
      <c r="A169">
        <v>166</v>
      </c>
      <c r="B169" s="15" t="s">
        <v>604</v>
      </c>
      <c r="C169" t="s">
        <v>863</v>
      </c>
      <c r="D169" s="19" t="s">
        <v>2031</v>
      </c>
      <c r="E169">
        <v>1</v>
      </c>
      <c r="F169" s="13">
        <v>71</v>
      </c>
      <c r="G169" s="11" t="s">
        <v>46</v>
      </c>
      <c r="H169" t="s">
        <v>218</v>
      </c>
      <c r="K169" t="s">
        <v>2032</v>
      </c>
      <c r="O169" s="31">
        <v>1</v>
      </c>
      <c r="P169" s="34">
        <f t="shared" si="1"/>
        <v>0.5</v>
      </c>
    </row>
    <row r="170" spans="1:16">
      <c r="A170">
        <v>167</v>
      </c>
      <c r="B170" s="15" t="s">
        <v>449</v>
      </c>
      <c r="C170" t="s">
        <v>10</v>
      </c>
      <c r="D170" s="19" t="s">
        <v>2027</v>
      </c>
      <c r="E170">
        <v>0</v>
      </c>
      <c r="F170" s="13">
        <v>73</v>
      </c>
      <c r="H170" t="s">
        <v>205</v>
      </c>
      <c r="O170" s="31" t="s">
        <v>2028</v>
      </c>
      <c r="P170" s="34" t="str">
        <f t="shared" si="1"/>
        <v/>
      </c>
    </row>
    <row r="171" spans="1:16">
      <c r="A171">
        <v>168</v>
      </c>
      <c r="B171" s="15" t="s">
        <v>449</v>
      </c>
      <c r="C171" t="s">
        <v>94</v>
      </c>
      <c r="D171" s="19" t="s">
        <v>2027</v>
      </c>
      <c r="E171">
        <v>0</v>
      </c>
      <c r="F171" s="13">
        <v>73</v>
      </c>
      <c r="H171" t="s">
        <v>205</v>
      </c>
      <c r="O171" s="31" t="s">
        <v>2028</v>
      </c>
      <c r="P171" s="34" t="str">
        <f t="shared" si="1"/>
        <v/>
      </c>
    </row>
    <row r="172" spans="1:16">
      <c r="A172">
        <v>169</v>
      </c>
      <c r="B172" s="15" t="s">
        <v>449</v>
      </c>
      <c r="C172" t="s">
        <v>450</v>
      </c>
      <c r="D172" s="19" t="s">
        <v>607</v>
      </c>
      <c r="E172">
        <v>1</v>
      </c>
      <c r="F172" s="13">
        <v>74</v>
      </c>
      <c r="G172" s="11" t="s">
        <v>46</v>
      </c>
      <c r="H172" t="s">
        <v>205</v>
      </c>
      <c r="N172" s="31">
        <v>5</v>
      </c>
      <c r="O172" s="31">
        <v>1</v>
      </c>
      <c r="P172" s="34">
        <f t="shared" si="1"/>
        <v>0.5</v>
      </c>
    </row>
    <row r="173" spans="1:16">
      <c r="A173">
        <v>170</v>
      </c>
      <c r="B173" s="15" t="s">
        <v>449</v>
      </c>
      <c r="C173" t="s">
        <v>450</v>
      </c>
      <c r="D173" s="19" t="s">
        <v>609</v>
      </c>
      <c r="E173">
        <v>1</v>
      </c>
      <c r="F173" s="13">
        <v>74</v>
      </c>
      <c r="G173" s="11" t="s">
        <v>902</v>
      </c>
      <c r="H173" t="s">
        <v>205</v>
      </c>
      <c r="N173" s="31">
        <v>5</v>
      </c>
      <c r="O173" s="31">
        <v>1</v>
      </c>
      <c r="P173" s="34">
        <f t="shared" si="1"/>
        <v>0.5</v>
      </c>
    </row>
    <row r="174" spans="1:16">
      <c r="A174">
        <v>171</v>
      </c>
      <c r="B174" s="15" t="s">
        <v>449</v>
      </c>
      <c r="C174" t="s">
        <v>450</v>
      </c>
      <c r="D174" s="19" t="s">
        <v>612</v>
      </c>
      <c r="E174">
        <v>1</v>
      </c>
      <c r="F174" s="13">
        <v>74</v>
      </c>
      <c r="G174" s="11" t="s">
        <v>902</v>
      </c>
      <c r="H174" t="s">
        <v>205</v>
      </c>
      <c r="N174" s="31">
        <v>5</v>
      </c>
      <c r="O174" s="31">
        <v>1</v>
      </c>
      <c r="P174" s="34">
        <f t="shared" si="1"/>
        <v>0.5</v>
      </c>
    </row>
    <row r="175" spans="1:16">
      <c r="A175">
        <v>172</v>
      </c>
      <c r="B175" s="15" t="s">
        <v>449</v>
      </c>
      <c r="C175" t="s">
        <v>450</v>
      </c>
      <c r="D175" s="19" t="s">
        <v>436</v>
      </c>
      <c r="E175">
        <v>1</v>
      </c>
      <c r="F175" s="13">
        <v>74</v>
      </c>
      <c r="G175" s="11" t="s">
        <v>902</v>
      </c>
      <c r="H175" t="s">
        <v>205</v>
      </c>
      <c r="N175" s="31">
        <v>5</v>
      </c>
      <c r="O175" s="31">
        <v>1</v>
      </c>
      <c r="P175" s="34">
        <f t="shared" si="1"/>
        <v>0.5</v>
      </c>
    </row>
    <row r="176" spans="1:16">
      <c r="A176">
        <v>173</v>
      </c>
      <c r="B176" s="15" t="s">
        <v>449</v>
      </c>
      <c r="C176" t="s">
        <v>450</v>
      </c>
      <c r="D176" s="19" t="s">
        <v>614</v>
      </c>
      <c r="E176">
        <v>0</v>
      </c>
      <c r="F176" s="13">
        <v>74</v>
      </c>
      <c r="G176" s="11" t="s">
        <v>203</v>
      </c>
      <c r="H176" t="s">
        <v>205</v>
      </c>
      <c r="N176" s="31">
        <v>5</v>
      </c>
      <c r="O176" s="31">
        <v>0</v>
      </c>
      <c r="P176" s="34">
        <f t="shared" si="1"/>
        <v>0</v>
      </c>
    </row>
    <row r="177" spans="1:16">
      <c r="A177">
        <v>174</v>
      </c>
      <c r="B177" s="15" t="s">
        <v>449</v>
      </c>
      <c r="C177" t="s">
        <v>450</v>
      </c>
      <c r="D177" s="19" t="s">
        <v>440</v>
      </c>
      <c r="E177">
        <v>1</v>
      </c>
      <c r="F177" s="13">
        <v>74</v>
      </c>
      <c r="G177" s="11" t="s">
        <v>902</v>
      </c>
      <c r="H177" t="s">
        <v>205</v>
      </c>
      <c r="N177" s="31">
        <v>5</v>
      </c>
      <c r="O177" s="31">
        <v>1</v>
      </c>
      <c r="P177" s="34">
        <f t="shared" si="1"/>
        <v>0.5</v>
      </c>
    </row>
    <row r="178" spans="1:16">
      <c r="A178">
        <v>175</v>
      </c>
      <c r="B178" s="15" t="s">
        <v>449</v>
      </c>
      <c r="C178" t="s">
        <v>450</v>
      </c>
      <c r="D178" s="19" t="s">
        <v>617</v>
      </c>
      <c r="E178">
        <v>1</v>
      </c>
      <c r="F178" s="13">
        <v>74</v>
      </c>
      <c r="G178" s="11" t="s">
        <v>618</v>
      </c>
      <c r="H178" t="s">
        <v>205</v>
      </c>
      <c r="K178" t="s">
        <v>619</v>
      </c>
      <c r="N178" s="31">
        <v>5</v>
      </c>
      <c r="O178" s="31">
        <v>1</v>
      </c>
      <c r="P178" s="34">
        <f t="shared" si="1"/>
        <v>0.5</v>
      </c>
    </row>
    <row r="179" spans="1:16">
      <c r="A179">
        <v>176</v>
      </c>
      <c r="B179" s="15" t="s">
        <v>449</v>
      </c>
      <c r="C179" t="s">
        <v>450</v>
      </c>
      <c r="D179" s="19" t="s">
        <v>621</v>
      </c>
      <c r="E179">
        <v>0</v>
      </c>
      <c r="F179" s="13">
        <v>74</v>
      </c>
      <c r="G179" s="11" t="s">
        <v>203</v>
      </c>
      <c r="H179" t="s">
        <v>205</v>
      </c>
      <c r="K179" t="s">
        <v>619</v>
      </c>
      <c r="N179" s="31">
        <v>5</v>
      </c>
      <c r="O179" s="31">
        <v>0</v>
      </c>
      <c r="P179" s="34">
        <f t="shared" si="1"/>
        <v>0</v>
      </c>
    </row>
    <row r="180" spans="1:16">
      <c r="A180">
        <v>177</v>
      </c>
      <c r="B180" s="15" t="s">
        <v>449</v>
      </c>
      <c r="C180" t="s">
        <v>450</v>
      </c>
      <c r="D180" s="19" t="s">
        <v>623</v>
      </c>
      <c r="E180">
        <v>1</v>
      </c>
      <c r="F180" s="13">
        <v>74</v>
      </c>
      <c r="G180" s="11" t="s">
        <v>618</v>
      </c>
      <c r="H180" t="s">
        <v>205</v>
      </c>
      <c r="N180" s="31">
        <v>5</v>
      </c>
      <c r="O180" s="31">
        <v>1</v>
      </c>
      <c r="P180" s="34">
        <f t="shared" si="1"/>
        <v>0.5</v>
      </c>
    </row>
    <row r="181" spans="1:16">
      <c r="A181">
        <v>178</v>
      </c>
      <c r="B181" s="15" t="s">
        <v>449</v>
      </c>
      <c r="C181" t="s">
        <v>450</v>
      </c>
      <c r="D181" s="19" t="s">
        <v>627</v>
      </c>
      <c r="E181">
        <v>0</v>
      </c>
      <c r="F181" s="13">
        <v>74</v>
      </c>
      <c r="G181" s="11" t="s">
        <v>203</v>
      </c>
      <c r="H181" t="s">
        <v>205</v>
      </c>
      <c r="N181" s="31">
        <v>5</v>
      </c>
      <c r="O181" s="31">
        <v>0</v>
      </c>
      <c r="P181" s="34">
        <f t="shared" si="1"/>
        <v>0</v>
      </c>
    </row>
    <row r="182" spans="1:16">
      <c r="A182">
        <v>179</v>
      </c>
      <c r="B182" s="15" t="s">
        <v>449</v>
      </c>
      <c r="C182" t="s">
        <v>450</v>
      </c>
      <c r="D182" s="19" t="s">
        <v>629</v>
      </c>
      <c r="E182">
        <v>1</v>
      </c>
      <c r="F182" s="13">
        <v>74</v>
      </c>
      <c r="G182" s="11" t="s">
        <v>902</v>
      </c>
      <c r="H182" t="s">
        <v>205</v>
      </c>
      <c r="N182" s="31">
        <v>5</v>
      </c>
      <c r="O182" s="31">
        <v>1</v>
      </c>
      <c r="P182" s="34">
        <f t="shared" si="1"/>
        <v>0.5</v>
      </c>
    </row>
    <row r="183" spans="1:16">
      <c r="A183">
        <v>180</v>
      </c>
      <c r="B183" s="15" t="s">
        <v>449</v>
      </c>
      <c r="C183" t="s">
        <v>450</v>
      </c>
      <c r="D183" s="19" t="s">
        <v>631</v>
      </c>
      <c r="E183">
        <v>0</v>
      </c>
      <c r="F183" s="13">
        <v>74</v>
      </c>
      <c r="G183" s="11" t="s">
        <v>203</v>
      </c>
      <c r="H183" t="s">
        <v>205</v>
      </c>
      <c r="N183" s="31">
        <v>5</v>
      </c>
      <c r="O183" s="31">
        <v>0</v>
      </c>
      <c r="P183" s="34">
        <f t="shared" ref="P183:P246" si="3">IF(ISNUMBER(O183),HLOOKUP(O183,$O$1:$S$2,2,FALSE)*E183,"")</f>
        <v>0</v>
      </c>
    </row>
    <row r="184" spans="1:16">
      <c r="A184">
        <v>181</v>
      </c>
      <c r="B184" s="15" t="s">
        <v>449</v>
      </c>
      <c r="C184" t="s">
        <v>450</v>
      </c>
      <c r="D184" s="19" t="s">
        <v>633</v>
      </c>
      <c r="E184">
        <v>1</v>
      </c>
      <c r="F184" s="13">
        <v>74</v>
      </c>
      <c r="G184" s="11" t="s">
        <v>902</v>
      </c>
      <c r="H184" t="s">
        <v>205</v>
      </c>
      <c r="N184" s="31">
        <v>5</v>
      </c>
      <c r="O184" s="31">
        <v>1</v>
      </c>
      <c r="P184" s="34">
        <f t="shared" si="3"/>
        <v>0.5</v>
      </c>
    </row>
    <row r="185" spans="1:16">
      <c r="A185">
        <v>182</v>
      </c>
      <c r="B185" s="15" t="s">
        <v>449</v>
      </c>
      <c r="C185" t="s">
        <v>450</v>
      </c>
      <c r="D185" s="19" t="s">
        <v>637</v>
      </c>
      <c r="E185">
        <v>1</v>
      </c>
      <c r="F185" s="13">
        <v>74</v>
      </c>
      <c r="G185" s="11" t="s">
        <v>902</v>
      </c>
      <c r="H185" t="s">
        <v>205</v>
      </c>
      <c r="N185" s="31">
        <v>5</v>
      </c>
      <c r="O185" s="31">
        <v>1</v>
      </c>
      <c r="P185" s="34">
        <f t="shared" si="3"/>
        <v>0.5</v>
      </c>
    </row>
    <row r="186" spans="1:16">
      <c r="A186">
        <v>183</v>
      </c>
      <c r="B186" s="15" t="s">
        <v>449</v>
      </c>
      <c r="C186" t="s">
        <v>450</v>
      </c>
      <c r="D186" s="19" t="s">
        <v>641</v>
      </c>
      <c r="E186">
        <v>1</v>
      </c>
      <c r="F186" s="13">
        <v>74</v>
      </c>
      <c r="G186" s="11" t="s">
        <v>902</v>
      </c>
      <c r="H186" t="s">
        <v>205</v>
      </c>
      <c r="N186" s="31">
        <v>5</v>
      </c>
      <c r="O186" s="31">
        <v>1</v>
      </c>
      <c r="P186" s="34">
        <f t="shared" si="3"/>
        <v>0.5</v>
      </c>
    </row>
    <row r="187" spans="1:16">
      <c r="A187">
        <v>184</v>
      </c>
      <c r="B187" s="15" t="s">
        <v>449</v>
      </c>
      <c r="C187" t="s">
        <v>450</v>
      </c>
      <c r="D187" s="19" t="s">
        <v>647</v>
      </c>
      <c r="E187">
        <v>1</v>
      </c>
      <c r="F187" s="13">
        <v>74</v>
      </c>
      <c r="G187" s="11" t="s">
        <v>618</v>
      </c>
      <c r="H187" t="s">
        <v>205</v>
      </c>
      <c r="K187" t="s">
        <v>648</v>
      </c>
      <c r="N187" s="31">
        <v>5</v>
      </c>
      <c r="O187" s="31">
        <v>1</v>
      </c>
      <c r="P187" s="34">
        <f t="shared" si="3"/>
        <v>0.5</v>
      </c>
    </row>
    <row r="188" spans="1:16">
      <c r="A188">
        <v>185</v>
      </c>
      <c r="B188" s="15" t="s">
        <v>449</v>
      </c>
      <c r="C188" t="s">
        <v>450</v>
      </c>
      <c r="D188" s="19" t="s">
        <v>650</v>
      </c>
      <c r="E188">
        <v>0</v>
      </c>
      <c r="F188" s="13">
        <v>74</v>
      </c>
      <c r="G188" s="11" t="s">
        <v>203</v>
      </c>
      <c r="H188" t="s">
        <v>205</v>
      </c>
      <c r="N188" s="31">
        <v>5</v>
      </c>
      <c r="O188" s="31">
        <v>0</v>
      </c>
      <c r="P188" s="34">
        <f t="shared" si="3"/>
        <v>0</v>
      </c>
    </row>
    <row r="189" spans="1:16">
      <c r="A189">
        <v>186</v>
      </c>
      <c r="B189" s="15" t="s">
        <v>449</v>
      </c>
      <c r="C189" t="s">
        <v>450</v>
      </c>
      <c r="D189" s="19" t="s">
        <v>451</v>
      </c>
      <c r="E189">
        <v>1</v>
      </c>
      <c r="F189" s="13">
        <v>74</v>
      </c>
      <c r="G189" s="11" t="s">
        <v>902</v>
      </c>
      <c r="H189" t="s">
        <v>205</v>
      </c>
      <c r="N189" s="31">
        <v>5</v>
      </c>
      <c r="O189" s="31">
        <v>1</v>
      </c>
      <c r="P189" s="34">
        <f t="shared" si="3"/>
        <v>0.5</v>
      </c>
    </row>
    <row r="190" spans="1:16">
      <c r="A190">
        <v>187</v>
      </c>
      <c r="B190" s="15" t="s">
        <v>449</v>
      </c>
      <c r="C190" t="s">
        <v>450</v>
      </c>
      <c r="D190" s="19" t="s">
        <v>2033</v>
      </c>
      <c r="E190">
        <v>1</v>
      </c>
      <c r="F190" s="13">
        <v>74</v>
      </c>
      <c r="G190" s="11" t="s">
        <v>242</v>
      </c>
      <c r="H190" t="s">
        <v>205</v>
      </c>
      <c r="N190" s="31">
        <v>5</v>
      </c>
      <c r="O190" s="31">
        <v>1</v>
      </c>
      <c r="P190" s="34">
        <f t="shared" si="3"/>
        <v>0.5</v>
      </c>
    </row>
    <row r="191" spans="1:16">
      <c r="A191">
        <v>188</v>
      </c>
      <c r="B191" s="15" t="s">
        <v>449</v>
      </c>
      <c r="C191" t="s">
        <v>450</v>
      </c>
      <c r="D191" s="19" t="s">
        <v>654</v>
      </c>
      <c r="E191">
        <v>1</v>
      </c>
      <c r="F191" s="13">
        <v>74</v>
      </c>
      <c r="G191" s="11" t="s">
        <v>46</v>
      </c>
      <c r="H191" t="s">
        <v>205</v>
      </c>
      <c r="K191" t="s">
        <v>655</v>
      </c>
      <c r="N191" s="31">
        <v>5</v>
      </c>
      <c r="O191" s="31">
        <v>1</v>
      </c>
      <c r="P191" s="34">
        <f t="shared" si="3"/>
        <v>0.5</v>
      </c>
    </row>
    <row r="192" spans="1:16">
      <c r="A192">
        <v>189</v>
      </c>
      <c r="B192" s="15" t="s">
        <v>449</v>
      </c>
      <c r="C192" t="s">
        <v>450</v>
      </c>
      <c r="D192" s="19" t="s">
        <v>656</v>
      </c>
      <c r="E192">
        <v>1</v>
      </c>
      <c r="F192" s="13">
        <v>74</v>
      </c>
      <c r="G192" s="11" t="s">
        <v>618</v>
      </c>
      <c r="H192" t="s">
        <v>205</v>
      </c>
      <c r="K192" t="s">
        <v>655</v>
      </c>
      <c r="N192" s="31">
        <v>5</v>
      </c>
      <c r="O192" s="31">
        <v>1</v>
      </c>
      <c r="P192" s="34">
        <f t="shared" si="3"/>
        <v>0.5</v>
      </c>
    </row>
    <row r="193" spans="1:16">
      <c r="A193">
        <v>190</v>
      </c>
      <c r="B193" s="15" t="s">
        <v>449</v>
      </c>
      <c r="C193" t="s">
        <v>450</v>
      </c>
      <c r="D193" s="19" t="s">
        <v>657</v>
      </c>
      <c r="E193">
        <v>1</v>
      </c>
      <c r="F193" s="13">
        <v>74</v>
      </c>
      <c r="G193" s="11" t="s">
        <v>902</v>
      </c>
      <c r="H193" t="s">
        <v>205</v>
      </c>
      <c r="N193" s="31">
        <v>5</v>
      </c>
      <c r="O193" s="31">
        <v>1</v>
      </c>
      <c r="P193" s="34">
        <f t="shared" si="3"/>
        <v>0.5</v>
      </c>
    </row>
    <row r="194" spans="1:16">
      <c r="A194">
        <v>191</v>
      </c>
      <c r="B194" s="15" t="s">
        <v>449</v>
      </c>
      <c r="C194" t="s">
        <v>450</v>
      </c>
      <c r="D194" s="19" t="s">
        <v>79</v>
      </c>
      <c r="E194">
        <v>1</v>
      </c>
      <c r="F194" s="13">
        <v>74</v>
      </c>
      <c r="G194" s="11" t="s">
        <v>242</v>
      </c>
      <c r="H194" t="s">
        <v>205</v>
      </c>
      <c r="N194" s="31">
        <v>5</v>
      </c>
      <c r="O194" s="31">
        <v>1</v>
      </c>
      <c r="P194" s="34">
        <f t="shared" si="3"/>
        <v>0.5</v>
      </c>
    </row>
    <row r="195" spans="1:16">
      <c r="A195">
        <v>192</v>
      </c>
      <c r="B195" s="15" t="s">
        <v>449</v>
      </c>
      <c r="C195" t="s">
        <v>450</v>
      </c>
      <c r="D195" s="19" t="s">
        <v>663</v>
      </c>
      <c r="E195">
        <v>1</v>
      </c>
      <c r="F195" s="13" t="s">
        <v>664</v>
      </c>
      <c r="G195" s="11" t="s">
        <v>46</v>
      </c>
      <c r="H195" t="s">
        <v>205</v>
      </c>
      <c r="I195" t="s">
        <v>387</v>
      </c>
      <c r="N195" s="31">
        <v>5</v>
      </c>
      <c r="O195" s="31">
        <v>1</v>
      </c>
      <c r="P195" s="34">
        <f t="shared" si="3"/>
        <v>0.5</v>
      </c>
    </row>
    <row r="196" spans="1:16">
      <c r="A196">
        <v>193</v>
      </c>
      <c r="B196" s="15" t="s">
        <v>449</v>
      </c>
      <c r="C196" t="s">
        <v>2034</v>
      </c>
      <c r="D196" s="19" t="s">
        <v>515</v>
      </c>
      <c r="E196">
        <v>1</v>
      </c>
      <c r="F196" s="13" t="s">
        <v>2035</v>
      </c>
      <c r="G196" s="11" t="s">
        <v>902</v>
      </c>
      <c r="H196" t="s">
        <v>205</v>
      </c>
      <c r="N196" s="31">
        <v>5</v>
      </c>
      <c r="O196" s="31">
        <v>3</v>
      </c>
      <c r="P196" s="34">
        <f t="shared" si="3"/>
        <v>1.5</v>
      </c>
    </row>
    <row r="197" spans="1:16">
      <c r="A197">
        <v>194</v>
      </c>
      <c r="B197" s="15" t="s">
        <v>449</v>
      </c>
      <c r="C197" t="s">
        <v>2034</v>
      </c>
      <c r="D197" s="19" t="s">
        <v>2036</v>
      </c>
      <c r="E197">
        <v>1</v>
      </c>
      <c r="F197" s="13" t="s">
        <v>2035</v>
      </c>
      <c r="G197" s="11" t="s">
        <v>242</v>
      </c>
      <c r="H197" t="s">
        <v>205</v>
      </c>
      <c r="N197" s="31">
        <v>5</v>
      </c>
      <c r="O197" s="31">
        <v>2</v>
      </c>
      <c r="P197" s="34">
        <f t="shared" si="3"/>
        <v>1</v>
      </c>
    </row>
    <row r="198" spans="1:16">
      <c r="A198">
        <v>195</v>
      </c>
      <c r="B198" s="15" t="s">
        <v>449</v>
      </c>
      <c r="C198" t="s">
        <v>670</v>
      </c>
      <c r="D198" s="19" t="s">
        <v>671</v>
      </c>
      <c r="E198">
        <v>0</v>
      </c>
      <c r="F198" s="13" t="s">
        <v>672</v>
      </c>
      <c r="G198" s="11" t="s">
        <v>203</v>
      </c>
      <c r="H198" t="s">
        <v>205</v>
      </c>
      <c r="N198" s="31">
        <v>5</v>
      </c>
      <c r="O198" s="31">
        <v>0</v>
      </c>
      <c r="P198" s="34">
        <f t="shared" si="3"/>
        <v>0</v>
      </c>
    </row>
    <row r="199" spans="1:16">
      <c r="A199">
        <v>196</v>
      </c>
      <c r="B199" s="15" t="s">
        <v>449</v>
      </c>
      <c r="C199" t="s">
        <v>670</v>
      </c>
      <c r="D199" s="19" t="s">
        <v>673</v>
      </c>
      <c r="E199">
        <v>0</v>
      </c>
      <c r="F199" s="13" t="s">
        <v>672</v>
      </c>
      <c r="G199" s="11" t="s">
        <v>203</v>
      </c>
      <c r="H199" t="s">
        <v>205</v>
      </c>
      <c r="N199" s="31">
        <v>5</v>
      </c>
      <c r="O199" s="31">
        <v>0</v>
      </c>
      <c r="P199" s="34">
        <f t="shared" si="3"/>
        <v>0</v>
      </c>
    </row>
    <row r="200" spans="1:16">
      <c r="A200">
        <v>197</v>
      </c>
      <c r="B200" s="15" t="s">
        <v>449</v>
      </c>
      <c r="C200" t="s">
        <v>670</v>
      </c>
      <c r="D200" s="19" t="s">
        <v>674</v>
      </c>
      <c r="E200">
        <v>0</v>
      </c>
      <c r="F200" s="13" t="s">
        <v>672</v>
      </c>
      <c r="G200" s="11" t="s">
        <v>203</v>
      </c>
      <c r="H200" t="s">
        <v>205</v>
      </c>
      <c r="N200" s="31">
        <v>5</v>
      </c>
      <c r="O200" s="31">
        <v>0</v>
      </c>
      <c r="P200" s="34">
        <f t="shared" si="3"/>
        <v>0</v>
      </c>
    </row>
    <row r="201" spans="1:16">
      <c r="A201">
        <v>198</v>
      </c>
      <c r="B201" s="15" t="s">
        <v>449</v>
      </c>
      <c r="C201" t="s">
        <v>675</v>
      </c>
      <c r="D201" s="19" t="s">
        <v>676</v>
      </c>
      <c r="E201">
        <v>1</v>
      </c>
      <c r="F201" s="13">
        <v>76</v>
      </c>
      <c r="G201" s="11" t="s">
        <v>902</v>
      </c>
      <c r="H201" t="s">
        <v>205</v>
      </c>
      <c r="L201" t="s">
        <v>2013</v>
      </c>
      <c r="N201" s="31">
        <v>6</v>
      </c>
      <c r="O201" s="31">
        <v>2</v>
      </c>
      <c r="P201" s="34">
        <f t="shared" si="3"/>
        <v>1</v>
      </c>
    </row>
    <row r="202" spans="1:16">
      <c r="A202">
        <v>199</v>
      </c>
      <c r="B202" s="15" t="s">
        <v>449</v>
      </c>
      <c r="C202" t="s">
        <v>675</v>
      </c>
      <c r="D202" s="19" t="s">
        <v>471</v>
      </c>
      <c r="E202">
        <v>1</v>
      </c>
      <c r="F202" s="13">
        <v>76</v>
      </c>
      <c r="G202" s="11" t="s">
        <v>902</v>
      </c>
      <c r="H202" t="s">
        <v>205</v>
      </c>
      <c r="L202" t="s">
        <v>2013</v>
      </c>
      <c r="N202" s="31">
        <v>6</v>
      </c>
      <c r="O202" s="31">
        <v>1</v>
      </c>
      <c r="P202" s="34">
        <f t="shared" si="3"/>
        <v>0.5</v>
      </c>
    </row>
    <row r="203" spans="1:16">
      <c r="A203">
        <v>200</v>
      </c>
      <c r="B203" s="15" t="s">
        <v>449</v>
      </c>
      <c r="C203" t="s">
        <v>679</v>
      </c>
      <c r="D203" s="19" t="s">
        <v>982</v>
      </c>
      <c r="E203">
        <v>1</v>
      </c>
      <c r="F203" s="13">
        <v>76</v>
      </c>
      <c r="G203" s="11" t="s">
        <v>902</v>
      </c>
      <c r="H203" t="s">
        <v>205</v>
      </c>
      <c r="N203" s="31">
        <v>6</v>
      </c>
      <c r="O203" s="31">
        <v>1</v>
      </c>
      <c r="P203" s="34">
        <f t="shared" si="3"/>
        <v>0.5</v>
      </c>
    </row>
    <row r="204" spans="1:16">
      <c r="A204">
        <v>201</v>
      </c>
      <c r="B204" s="15" t="s">
        <v>449</v>
      </c>
      <c r="C204" t="s">
        <v>679</v>
      </c>
      <c r="D204" s="19" t="s">
        <v>684</v>
      </c>
      <c r="E204">
        <v>0</v>
      </c>
      <c r="F204" s="13">
        <v>76</v>
      </c>
      <c r="G204" s="11" t="s">
        <v>203</v>
      </c>
      <c r="H204" t="s">
        <v>205</v>
      </c>
      <c r="N204" s="31">
        <v>6</v>
      </c>
      <c r="O204" s="31">
        <v>0</v>
      </c>
      <c r="P204" s="34">
        <f t="shared" si="3"/>
        <v>0</v>
      </c>
    </row>
    <row r="205" spans="1:16">
      <c r="A205">
        <v>202</v>
      </c>
      <c r="B205" s="15" t="s">
        <v>449</v>
      </c>
      <c r="C205" t="s">
        <v>679</v>
      </c>
      <c r="D205" s="19" t="s">
        <v>685</v>
      </c>
      <c r="E205">
        <v>0</v>
      </c>
      <c r="F205" s="13">
        <v>76</v>
      </c>
      <c r="G205" s="11" t="s">
        <v>203</v>
      </c>
      <c r="H205" t="s">
        <v>205</v>
      </c>
      <c r="N205" s="31">
        <v>6</v>
      </c>
      <c r="O205" s="31">
        <v>0</v>
      </c>
      <c r="P205" s="34">
        <f t="shared" si="3"/>
        <v>0</v>
      </c>
    </row>
    <row r="206" spans="1:16">
      <c r="A206">
        <v>203</v>
      </c>
      <c r="B206" s="15" t="s">
        <v>449</v>
      </c>
      <c r="C206" t="s">
        <v>679</v>
      </c>
      <c r="D206" s="19" t="s">
        <v>688</v>
      </c>
      <c r="E206">
        <v>1</v>
      </c>
      <c r="F206" s="13">
        <v>76</v>
      </c>
      <c r="G206" s="11" t="s">
        <v>902</v>
      </c>
      <c r="H206" t="s">
        <v>205</v>
      </c>
      <c r="N206" s="31">
        <v>6</v>
      </c>
      <c r="O206" s="31">
        <v>1</v>
      </c>
      <c r="P206" s="34">
        <f t="shared" si="3"/>
        <v>0.5</v>
      </c>
    </row>
    <row r="207" spans="1:16">
      <c r="A207">
        <v>204</v>
      </c>
      <c r="B207" s="15" t="s">
        <v>449</v>
      </c>
      <c r="C207" t="s">
        <v>679</v>
      </c>
      <c r="D207" s="19" t="s">
        <v>691</v>
      </c>
      <c r="E207">
        <v>0</v>
      </c>
      <c r="F207" s="13">
        <v>76</v>
      </c>
      <c r="G207" s="11" t="s">
        <v>203</v>
      </c>
      <c r="H207" t="s">
        <v>205</v>
      </c>
      <c r="N207" s="31">
        <v>6</v>
      </c>
      <c r="O207" s="31">
        <v>0</v>
      </c>
      <c r="P207" s="34">
        <f t="shared" si="3"/>
        <v>0</v>
      </c>
    </row>
    <row r="208" spans="1:16">
      <c r="A208">
        <v>205</v>
      </c>
      <c r="B208" s="15" t="s">
        <v>449</v>
      </c>
      <c r="C208" t="s">
        <v>679</v>
      </c>
      <c r="D208" s="19" t="s">
        <v>693</v>
      </c>
      <c r="E208">
        <v>0</v>
      </c>
      <c r="F208" s="13">
        <v>76</v>
      </c>
      <c r="G208" s="11" t="s">
        <v>203</v>
      </c>
      <c r="H208" t="s">
        <v>205</v>
      </c>
      <c r="N208" s="31">
        <v>6</v>
      </c>
      <c r="O208" s="31">
        <v>0</v>
      </c>
      <c r="P208" s="34">
        <f t="shared" si="3"/>
        <v>0</v>
      </c>
    </row>
    <row r="209" spans="1:16">
      <c r="A209">
        <v>206</v>
      </c>
      <c r="B209" s="15" t="s">
        <v>449</v>
      </c>
      <c r="C209" t="s">
        <v>694</v>
      </c>
      <c r="D209" s="19" t="s">
        <v>489</v>
      </c>
      <c r="E209">
        <v>1</v>
      </c>
      <c r="F209" s="13" t="s">
        <v>696</v>
      </c>
      <c r="G209" s="11" t="s">
        <v>902</v>
      </c>
      <c r="H209" t="s">
        <v>205</v>
      </c>
      <c r="N209" s="31">
        <v>6</v>
      </c>
      <c r="O209" s="31">
        <v>2</v>
      </c>
      <c r="P209" s="34">
        <f t="shared" si="3"/>
        <v>1</v>
      </c>
    </row>
    <row r="210" spans="1:16">
      <c r="A210">
        <v>207</v>
      </c>
      <c r="B210" s="15" t="s">
        <v>449</v>
      </c>
      <c r="C210" t="s">
        <v>694</v>
      </c>
      <c r="D210" s="19" t="s">
        <v>494</v>
      </c>
      <c r="E210">
        <v>1</v>
      </c>
      <c r="F210" s="13" t="s">
        <v>696</v>
      </c>
      <c r="G210" s="11" t="s">
        <v>902</v>
      </c>
      <c r="H210" t="s">
        <v>205</v>
      </c>
      <c r="N210" s="31">
        <v>6</v>
      </c>
      <c r="O210" s="31">
        <v>2</v>
      </c>
      <c r="P210" s="34">
        <f t="shared" si="3"/>
        <v>1</v>
      </c>
    </row>
    <row r="211" spans="1:16">
      <c r="A211">
        <v>208</v>
      </c>
      <c r="B211" s="15" t="s">
        <v>449</v>
      </c>
      <c r="C211" t="s">
        <v>694</v>
      </c>
      <c r="D211" s="19" t="s">
        <v>500</v>
      </c>
      <c r="E211">
        <v>1</v>
      </c>
      <c r="F211" s="13" t="s">
        <v>696</v>
      </c>
      <c r="G211" s="11" t="s">
        <v>902</v>
      </c>
      <c r="H211" t="s">
        <v>205</v>
      </c>
      <c r="N211" s="31">
        <v>6</v>
      </c>
      <c r="O211" s="31">
        <v>2</v>
      </c>
      <c r="P211" s="34">
        <f t="shared" si="3"/>
        <v>1</v>
      </c>
    </row>
    <row r="212" spans="1:16">
      <c r="A212">
        <v>209</v>
      </c>
      <c r="B212" s="15" t="s">
        <v>449</v>
      </c>
      <c r="C212" t="s">
        <v>694</v>
      </c>
      <c r="D212" s="19" t="s">
        <v>695</v>
      </c>
      <c r="E212">
        <v>1</v>
      </c>
      <c r="F212" s="13" t="s">
        <v>696</v>
      </c>
      <c r="G212" s="11" t="s">
        <v>46</v>
      </c>
      <c r="H212" t="s">
        <v>205</v>
      </c>
      <c r="N212" s="31">
        <v>6</v>
      </c>
      <c r="O212" s="31">
        <v>1</v>
      </c>
      <c r="P212" s="34">
        <f t="shared" si="3"/>
        <v>0.5</v>
      </c>
    </row>
    <row r="213" spans="1:16">
      <c r="A213">
        <v>210</v>
      </c>
      <c r="B213" s="15" t="s">
        <v>449</v>
      </c>
      <c r="C213" t="s">
        <v>694</v>
      </c>
      <c r="D213" s="19" t="s">
        <v>698</v>
      </c>
      <c r="E213">
        <v>1</v>
      </c>
      <c r="F213" s="13" t="s">
        <v>696</v>
      </c>
      <c r="G213" s="11" t="s">
        <v>902</v>
      </c>
      <c r="H213" t="s">
        <v>205</v>
      </c>
      <c r="N213" s="31">
        <v>6</v>
      </c>
      <c r="O213" s="31">
        <v>1</v>
      </c>
      <c r="P213" s="34">
        <f t="shared" si="3"/>
        <v>0.5</v>
      </c>
    </row>
    <row r="214" spans="1:16">
      <c r="A214">
        <v>211</v>
      </c>
      <c r="B214" s="15" t="s">
        <v>449</v>
      </c>
      <c r="C214" t="s">
        <v>694</v>
      </c>
      <c r="D214" s="19" t="s">
        <v>700</v>
      </c>
      <c r="E214">
        <v>1</v>
      </c>
      <c r="F214" s="13" t="s">
        <v>696</v>
      </c>
      <c r="G214" s="11" t="s">
        <v>46</v>
      </c>
      <c r="H214" t="s">
        <v>205</v>
      </c>
      <c r="N214" s="31">
        <v>6</v>
      </c>
      <c r="O214" s="31">
        <v>1</v>
      </c>
      <c r="P214" s="34">
        <f t="shared" si="3"/>
        <v>0.5</v>
      </c>
    </row>
    <row r="215" spans="1:16">
      <c r="A215">
        <v>212</v>
      </c>
      <c r="B215" s="15" t="s">
        <v>449</v>
      </c>
      <c r="C215" t="s">
        <v>2037</v>
      </c>
      <c r="D215" s="19" t="s">
        <v>409</v>
      </c>
      <c r="E215">
        <v>1</v>
      </c>
      <c r="F215" s="13" t="s">
        <v>704</v>
      </c>
      <c r="G215" s="11" t="s">
        <v>46</v>
      </c>
      <c r="H215" t="s">
        <v>205</v>
      </c>
      <c r="I215" t="s">
        <v>248</v>
      </c>
      <c r="L215" t="s">
        <v>2013</v>
      </c>
      <c r="N215" s="31">
        <v>7</v>
      </c>
      <c r="O215" s="31">
        <v>1</v>
      </c>
      <c r="P215" s="34">
        <f t="shared" si="3"/>
        <v>0.5</v>
      </c>
    </row>
    <row r="216" spans="1:16">
      <c r="A216">
        <v>213</v>
      </c>
      <c r="B216" s="15" t="s">
        <v>449</v>
      </c>
      <c r="C216" t="s">
        <v>2037</v>
      </c>
      <c r="D216" s="19" t="s">
        <v>566</v>
      </c>
      <c r="E216">
        <v>1</v>
      </c>
      <c r="F216" s="13" t="s">
        <v>704</v>
      </c>
      <c r="G216" s="11" t="s">
        <v>46</v>
      </c>
      <c r="H216" t="s">
        <v>205</v>
      </c>
      <c r="I216" t="s">
        <v>248</v>
      </c>
      <c r="L216" t="s">
        <v>2013</v>
      </c>
      <c r="N216" s="31">
        <v>7</v>
      </c>
      <c r="O216" s="31">
        <v>1</v>
      </c>
      <c r="P216" s="34">
        <f t="shared" si="3"/>
        <v>0.5</v>
      </c>
    </row>
    <row r="217" spans="1:16">
      <c r="A217">
        <v>214</v>
      </c>
      <c r="B217" s="15" t="s">
        <v>449</v>
      </c>
      <c r="C217" t="s">
        <v>2037</v>
      </c>
      <c r="D217" s="19" t="s">
        <v>707</v>
      </c>
      <c r="E217">
        <v>1</v>
      </c>
      <c r="F217" s="13" t="s">
        <v>704</v>
      </c>
      <c r="G217" s="11" t="s">
        <v>46</v>
      </c>
      <c r="H217" t="s">
        <v>205</v>
      </c>
      <c r="I217" t="s">
        <v>248</v>
      </c>
      <c r="L217" t="s">
        <v>2013</v>
      </c>
      <c r="N217" s="31">
        <v>7</v>
      </c>
      <c r="O217" s="31">
        <v>1</v>
      </c>
      <c r="P217" s="34">
        <f t="shared" si="3"/>
        <v>0.5</v>
      </c>
    </row>
    <row r="218" spans="1:16">
      <c r="A218">
        <v>215</v>
      </c>
      <c r="B218" s="15" t="s">
        <v>449</v>
      </c>
      <c r="C218" t="s">
        <v>2037</v>
      </c>
      <c r="D218" s="19" t="s">
        <v>708</v>
      </c>
      <c r="E218">
        <v>1</v>
      </c>
      <c r="F218" s="13" t="s">
        <v>704</v>
      </c>
      <c r="G218" s="11" t="s">
        <v>46</v>
      </c>
      <c r="H218" t="s">
        <v>205</v>
      </c>
      <c r="I218" t="s">
        <v>248</v>
      </c>
      <c r="L218" t="s">
        <v>2013</v>
      </c>
      <c r="N218" s="31">
        <v>7</v>
      </c>
      <c r="O218" s="31">
        <v>1</v>
      </c>
      <c r="P218" s="34">
        <f t="shared" si="3"/>
        <v>0.5</v>
      </c>
    </row>
    <row r="219" spans="1:16">
      <c r="A219">
        <v>216</v>
      </c>
      <c r="B219" s="15" t="s">
        <v>449</v>
      </c>
      <c r="C219" t="s">
        <v>2037</v>
      </c>
      <c r="D219" s="19" t="s">
        <v>709</v>
      </c>
      <c r="E219">
        <v>1</v>
      </c>
      <c r="F219" s="13" t="s">
        <v>704</v>
      </c>
      <c r="G219" s="11" t="s">
        <v>46</v>
      </c>
      <c r="H219" t="s">
        <v>205</v>
      </c>
      <c r="I219" t="s">
        <v>248</v>
      </c>
      <c r="L219" t="s">
        <v>2013</v>
      </c>
      <c r="N219" s="31">
        <v>7</v>
      </c>
      <c r="O219" s="31">
        <v>1</v>
      </c>
      <c r="P219" s="34">
        <f t="shared" si="3"/>
        <v>0.5</v>
      </c>
    </row>
    <row r="220" spans="1:16">
      <c r="A220">
        <v>217</v>
      </c>
      <c r="B220" s="15" t="s">
        <v>449</v>
      </c>
      <c r="C220" t="s">
        <v>2037</v>
      </c>
      <c r="D220" s="19" t="s">
        <v>710</v>
      </c>
      <c r="E220">
        <v>1</v>
      </c>
      <c r="F220" s="13" t="s">
        <v>704</v>
      </c>
      <c r="G220" s="11" t="s">
        <v>902</v>
      </c>
      <c r="H220" t="s">
        <v>205</v>
      </c>
      <c r="I220" t="s">
        <v>248</v>
      </c>
      <c r="L220" t="s">
        <v>2013</v>
      </c>
      <c r="N220" s="31">
        <v>7</v>
      </c>
      <c r="O220" s="31">
        <v>1</v>
      </c>
      <c r="P220" s="34">
        <f t="shared" si="3"/>
        <v>0.5</v>
      </c>
    </row>
    <row r="221" spans="1:16">
      <c r="A221">
        <v>218</v>
      </c>
      <c r="B221" s="15" t="s">
        <v>449</v>
      </c>
      <c r="C221" t="s">
        <v>2037</v>
      </c>
      <c r="D221" s="19" t="s">
        <v>712</v>
      </c>
      <c r="E221">
        <v>1</v>
      </c>
      <c r="F221" s="13" t="s">
        <v>704</v>
      </c>
      <c r="G221" s="11" t="s">
        <v>46</v>
      </c>
      <c r="H221" t="s">
        <v>205</v>
      </c>
      <c r="I221" t="s">
        <v>248</v>
      </c>
      <c r="L221" t="s">
        <v>2013</v>
      </c>
      <c r="N221" s="31">
        <v>7</v>
      </c>
      <c r="O221" s="31">
        <v>1</v>
      </c>
      <c r="P221" s="34">
        <f t="shared" si="3"/>
        <v>0.5</v>
      </c>
    </row>
    <row r="222" spans="1:16">
      <c r="A222">
        <v>219</v>
      </c>
      <c r="B222" s="15" t="s">
        <v>449</v>
      </c>
      <c r="C222" t="s">
        <v>2037</v>
      </c>
      <c r="D222" s="19" t="s">
        <v>713</v>
      </c>
      <c r="E222">
        <v>1</v>
      </c>
      <c r="F222" s="13" t="s">
        <v>704</v>
      </c>
      <c r="G222" s="11" t="s">
        <v>902</v>
      </c>
      <c r="H222" t="s">
        <v>205</v>
      </c>
      <c r="I222" t="s">
        <v>248</v>
      </c>
      <c r="L222" t="s">
        <v>2013</v>
      </c>
      <c r="N222" s="31">
        <v>7</v>
      </c>
      <c r="O222" s="31">
        <v>1</v>
      </c>
      <c r="P222" s="34">
        <f t="shared" si="3"/>
        <v>0.5</v>
      </c>
    </row>
    <row r="223" spans="1:16">
      <c r="A223">
        <v>220</v>
      </c>
      <c r="B223" s="15" t="s">
        <v>449</v>
      </c>
      <c r="C223" t="s">
        <v>2037</v>
      </c>
      <c r="D223" s="19" t="s">
        <v>714</v>
      </c>
      <c r="E223">
        <v>1</v>
      </c>
      <c r="F223" s="13" t="s">
        <v>704</v>
      </c>
      <c r="G223" s="11" t="s">
        <v>46</v>
      </c>
      <c r="H223" t="s">
        <v>205</v>
      </c>
      <c r="I223" t="s">
        <v>248</v>
      </c>
      <c r="L223" t="s">
        <v>2013</v>
      </c>
      <c r="N223" s="31">
        <v>7</v>
      </c>
      <c r="O223" s="31">
        <v>1</v>
      </c>
      <c r="P223" s="34">
        <f t="shared" si="3"/>
        <v>0.5</v>
      </c>
    </row>
    <row r="224" spans="1:16">
      <c r="A224">
        <v>221</v>
      </c>
      <c r="B224" s="15" t="s">
        <v>449</v>
      </c>
      <c r="C224" t="s">
        <v>2037</v>
      </c>
      <c r="D224" s="19" t="s">
        <v>715</v>
      </c>
      <c r="E224">
        <v>1</v>
      </c>
      <c r="F224" s="13" t="s">
        <v>704</v>
      </c>
      <c r="G224" s="11" t="s">
        <v>46</v>
      </c>
      <c r="H224" t="s">
        <v>205</v>
      </c>
      <c r="I224" t="s">
        <v>248</v>
      </c>
      <c r="L224" t="s">
        <v>2013</v>
      </c>
      <c r="N224" s="31">
        <v>7</v>
      </c>
      <c r="O224" s="31">
        <v>1</v>
      </c>
      <c r="P224" s="34">
        <f t="shared" si="3"/>
        <v>0.5</v>
      </c>
    </row>
    <row r="225" spans="1:16">
      <c r="A225">
        <v>222</v>
      </c>
      <c r="B225" s="15" t="s">
        <v>449</v>
      </c>
      <c r="C225" t="s">
        <v>2037</v>
      </c>
      <c r="D225" s="19" t="s">
        <v>716</v>
      </c>
      <c r="E225">
        <v>1</v>
      </c>
      <c r="F225" s="13" t="s">
        <v>704</v>
      </c>
      <c r="G225" s="11" t="s">
        <v>46</v>
      </c>
      <c r="H225" t="s">
        <v>205</v>
      </c>
      <c r="I225" t="s">
        <v>248</v>
      </c>
      <c r="L225" t="s">
        <v>2013</v>
      </c>
      <c r="N225" s="31">
        <v>7</v>
      </c>
      <c r="O225" s="31">
        <v>1</v>
      </c>
      <c r="P225" s="34">
        <f t="shared" si="3"/>
        <v>0.5</v>
      </c>
    </row>
    <row r="226" spans="1:16">
      <c r="A226">
        <v>223</v>
      </c>
      <c r="B226" s="15" t="s">
        <v>449</v>
      </c>
      <c r="C226" t="s">
        <v>2037</v>
      </c>
      <c r="D226" s="19" t="s">
        <v>2038</v>
      </c>
      <c r="E226">
        <v>1</v>
      </c>
      <c r="F226" s="13" t="s">
        <v>704</v>
      </c>
      <c r="G226" s="11" t="s">
        <v>242</v>
      </c>
      <c r="H226" t="s">
        <v>205</v>
      </c>
      <c r="I226" t="s">
        <v>248</v>
      </c>
      <c r="L226" t="s">
        <v>2013</v>
      </c>
      <c r="N226" s="31">
        <v>7</v>
      </c>
      <c r="O226" s="31">
        <v>1</v>
      </c>
      <c r="P226" s="34">
        <f t="shared" si="3"/>
        <v>0.5</v>
      </c>
    </row>
    <row r="227" spans="1:16">
      <c r="A227">
        <v>224</v>
      </c>
      <c r="B227" s="15" t="s">
        <v>449</v>
      </c>
      <c r="C227" t="s">
        <v>719</v>
      </c>
      <c r="D227" s="19" t="s">
        <v>984</v>
      </c>
      <c r="E227">
        <v>1</v>
      </c>
      <c r="F227" s="13" t="s">
        <v>704</v>
      </c>
      <c r="G227" s="11" t="s">
        <v>46</v>
      </c>
      <c r="H227" t="s">
        <v>205</v>
      </c>
      <c r="I227" t="s">
        <v>248</v>
      </c>
      <c r="L227" t="s">
        <v>2013</v>
      </c>
      <c r="N227" s="31">
        <v>7</v>
      </c>
      <c r="O227" s="31">
        <v>1</v>
      </c>
      <c r="P227" s="34">
        <f t="shared" si="3"/>
        <v>0.5</v>
      </c>
    </row>
    <row r="228" spans="1:16">
      <c r="A228">
        <v>225</v>
      </c>
      <c r="B228" s="15" t="s">
        <v>449</v>
      </c>
      <c r="C228" t="s">
        <v>719</v>
      </c>
      <c r="D228" s="19" t="s">
        <v>981</v>
      </c>
      <c r="E228">
        <v>1</v>
      </c>
      <c r="F228" s="13" t="s">
        <v>704</v>
      </c>
      <c r="G228" s="11" t="s">
        <v>46</v>
      </c>
      <c r="H228" t="s">
        <v>205</v>
      </c>
      <c r="I228" t="s">
        <v>248</v>
      </c>
      <c r="L228" t="s">
        <v>2013</v>
      </c>
      <c r="N228" s="31">
        <v>7</v>
      </c>
      <c r="O228" s="31">
        <v>1</v>
      </c>
      <c r="P228" s="34">
        <f t="shared" si="3"/>
        <v>0.5</v>
      </c>
    </row>
    <row r="229" spans="1:16">
      <c r="A229">
        <v>226</v>
      </c>
      <c r="B229" s="15" t="s">
        <v>449</v>
      </c>
      <c r="C229" t="s">
        <v>719</v>
      </c>
      <c r="D229" s="19" t="s">
        <v>980</v>
      </c>
      <c r="E229">
        <v>1</v>
      </c>
      <c r="F229" s="13" t="s">
        <v>704</v>
      </c>
      <c r="G229" s="11" t="s">
        <v>46</v>
      </c>
      <c r="H229" t="s">
        <v>205</v>
      </c>
      <c r="I229" t="s">
        <v>248</v>
      </c>
      <c r="L229" t="s">
        <v>2013</v>
      </c>
      <c r="N229" s="31">
        <v>7</v>
      </c>
      <c r="O229" s="31">
        <v>1</v>
      </c>
      <c r="P229" s="34">
        <f t="shared" si="3"/>
        <v>0.5</v>
      </c>
    </row>
    <row r="230" spans="1:16">
      <c r="A230">
        <v>227</v>
      </c>
      <c r="B230" s="15" t="s">
        <v>449</v>
      </c>
      <c r="C230" t="s">
        <v>719</v>
      </c>
      <c r="D230" s="19" t="s">
        <v>983</v>
      </c>
      <c r="E230">
        <v>1</v>
      </c>
      <c r="F230" s="13" t="s">
        <v>704</v>
      </c>
      <c r="G230" s="11" t="s">
        <v>46</v>
      </c>
      <c r="H230" t="s">
        <v>205</v>
      </c>
      <c r="I230" t="s">
        <v>248</v>
      </c>
      <c r="L230" t="s">
        <v>2013</v>
      </c>
      <c r="N230" s="31">
        <v>7</v>
      </c>
      <c r="O230" s="31">
        <v>1</v>
      </c>
      <c r="P230" s="34">
        <f t="shared" si="3"/>
        <v>0.5</v>
      </c>
    </row>
    <row r="231" spans="1:16">
      <c r="A231">
        <v>228</v>
      </c>
      <c r="B231" s="15" t="s">
        <v>449</v>
      </c>
      <c r="C231" t="s">
        <v>719</v>
      </c>
      <c r="D231" s="19" t="s">
        <v>725</v>
      </c>
      <c r="E231">
        <v>1</v>
      </c>
      <c r="F231" s="13" t="s">
        <v>704</v>
      </c>
      <c r="G231" s="11" t="s">
        <v>46</v>
      </c>
      <c r="H231" t="s">
        <v>205</v>
      </c>
      <c r="I231" t="s">
        <v>248</v>
      </c>
      <c r="L231" t="s">
        <v>2013</v>
      </c>
      <c r="N231" s="31">
        <v>7</v>
      </c>
      <c r="O231" s="31">
        <v>1</v>
      </c>
      <c r="P231" s="34">
        <f t="shared" si="3"/>
        <v>0.5</v>
      </c>
    </row>
    <row r="232" spans="1:16">
      <c r="A232">
        <v>229</v>
      </c>
      <c r="B232" s="15" t="s">
        <v>726</v>
      </c>
      <c r="C232" t="s">
        <v>727</v>
      </c>
      <c r="D232" s="19" t="s">
        <v>728</v>
      </c>
      <c r="E232">
        <v>1</v>
      </c>
      <c r="F232" s="13">
        <v>80</v>
      </c>
      <c r="G232" s="11" t="s">
        <v>902</v>
      </c>
      <c r="H232" t="s">
        <v>218</v>
      </c>
      <c r="K232" t="s">
        <v>2039</v>
      </c>
      <c r="O232" s="31">
        <v>1</v>
      </c>
      <c r="P232" s="34">
        <f t="shared" si="3"/>
        <v>0.5</v>
      </c>
    </row>
    <row r="233" spans="1:16">
      <c r="A233">
        <v>230</v>
      </c>
      <c r="B233" s="15" t="s">
        <v>726</v>
      </c>
      <c r="C233" t="s">
        <v>727</v>
      </c>
      <c r="D233" s="19" t="s">
        <v>734</v>
      </c>
      <c r="E233">
        <v>1</v>
      </c>
      <c r="F233" s="13">
        <v>80</v>
      </c>
      <c r="G233" s="11" t="s">
        <v>902</v>
      </c>
      <c r="H233" t="s">
        <v>218</v>
      </c>
      <c r="O233" s="31">
        <v>1</v>
      </c>
      <c r="P233" s="34">
        <f t="shared" si="3"/>
        <v>0.5</v>
      </c>
    </row>
    <row r="234" spans="1:16">
      <c r="A234">
        <v>231</v>
      </c>
      <c r="B234" s="15" t="s">
        <v>726</v>
      </c>
      <c r="C234" t="s">
        <v>727</v>
      </c>
      <c r="D234" s="19" t="s">
        <v>462</v>
      </c>
      <c r="E234">
        <v>1</v>
      </c>
      <c r="F234" s="13">
        <v>80</v>
      </c>
      <c r="G234" s="11" t="s">
        <v>902</v>
      </c>
      <c r="H234" t="s">
        <v>218</v>
      </c>
      <c r="O234" s="31">
        <v>1</v>
      </c>
      <c r="P234" s="34">
        <f t="shared" si="3"/>
        <v>0.5</v>
      </c>
    </row>
    <row r="235" spans="1:16">
      <c r="A235">
        <v>232</v>
      </c>
      <c r="B235" s="15" t="s">
        <v>726</v>
      </c>
      <c r="C235" t="s">
        <v>727</v>
      </c>
      <c r="D235" s="19" t="s">
        <v>985</v>
      </c>
      <c r="E235">
        <v>1</v>
      </c>
      <c r="F235" s="13">
        <v>80</v>
      </c>
      <c r="G235" s="11" t="s">
        <v>242</v>
      </c>
      <c r="H235" t="s">
        <v>218</v>
      </c>
      <c r="O235" s="31">
        <v>1</v>
      </c>
      <c r="P235" s="34">
        <f t="shared" si="3"/>
        <v>0.5</v>
      </c>
    </row>
    <row r="236" spans="1:16">
      <c r="A236">
        <v>233</v>
      </c>
      <c r="B236" s="15" t="s">
        <v>726</v>
      </c>
      <c r="C236" t="s">
        <v>727</v>
      </c>
      <c r="D236" s="19" t="s">
        <v>633</v>
      </c>
      <c r="E236">
        <v>0</v>
      </c>
      <c r="F236" s="13">
        <v>80</v>
      </c>
      <c r="G236" s="11" t="s">
        <v>203</v>
      </c>
      <c r="H236" t="s">
        <v>218</v>
      </c>
      <c r="O236" s="31">
        <v>0</v>
      </c>
      <c r="P236" s="34">
        <f t="shared" si="3"/>
        <v>0</v>
      </c>
    </row>
    <row r="237" spans="1:16">
      <c r="A237">
        <v>234</v>
      </c>
      <c r="B237" s="15" t="s">
        <v>726</v>
      </c>
      <c r="C237" t="s">
        <v>727</v>
      </c>
      <c r="D237" s="19" t="s">
        <v>737</v>
      </c>
      <c r="E237">
        <v>0</v>
      </c>
      <c r="F237" s="13">
        <v>80</v>
      </c>
      <c r="G237" s="11" t="s">
        <v>203</v>
      </c>
      <c r="H237" t="s">
        <v>218</v>
      </c>
      <c r="O237" s="31">
        <v>0</v>
      </c>
      <c r="P237" s="34">
        <f t="shared" si="3"/>
        <v>0</v>
      </c>
    </row>
    <row r="238" spans="1:16">
      <c r="A238">
        <v>235</v>
      </c>
      <c r="B238" s="15" t="s">
        <v>726</v>
      </c>
      <c r="C238" t="s">
        <v>727</v>
      </c>
      <c r="D238" s="19" t="s">
        <v>738</v>
      </c>
      <c r="E238">
        <v>0</v>
      </c>
      <c r="F238" s="13">
        <v>80</v>
      </c>
      <c r="G238" s="11" t="s">
        <v>203</v>
      </c>
      <c r="H238" t="s">
        <v>218</v>
      </c>
      <c r="O238" s="31">
        <v>0</v>
      </c>
      <c r="P238" s="34">
        <f t="shared" si="3"/>
        <v>0</v>
      </c>
    </row>
    <row r="239" spans="1:16">
      <c r="A239">
        <v>236</v>
      </c>
      <c r="B239" s="15" t="s">
        <v>726</v>
      </c>
      <c r="C239" t="s">
        <v>727</v>
      </c>
      <c r="D239" s="19" t="s">
        <v>739</v>
      </c>
      <c r="E239">
        <v>0</v>
      </c>
      <c r="F239" s="13">
        <v>80</v>
      </c>
      <c r="G239" s="11" t="s">
        <v>203</v>
      </c>
      <c r="H239" t="s">
        <v>218</v>
      </c>
      <c r="O239" s="31">
        <v>0</v>
      </c>
      <c r="P239" s="34">
        <f t="shared" si="3"/>
        <v>0</v>
      </c>
    </row>
    <row r="240" spans="1:16">
      <c r="A240">
        <v>237</v>
      </c>
      <c r="B240" s="15" t="s">
        <v>726</v>
      </c>
      <c r="C240" t="s">
        <v>727</v>
      </c>
      <c r="D240" s="19" t="s">
        <v>740</v>
      </c>
      <c r="E240">
        <v>0</v>
      </c>
      <c r="F240" s="13">
        <v>80</v>
      </c>
      <c r="G240" s="11" t="s">
        <v>203</v>
      </c>
      <c r="H240" t="s">
        <v>218</v>
      </c>
      <c r="O240" s="31">
        <v>0</v>
      </c>
      <c r="P240" s="34">
        <f t="shared" si="3"/>
        <v>0</v>
      </c>
    </row>
    <row r="241" spans="1:16">
      <c r="A241">
        <v>238</v>
      </c>
      <c r="B241" s="15" t="s">
        <v>726</v>
      </c>
      <c r="C241" t="s">
        <v>727</v>
      </c>
      <c r="D241" s="19" t="s">
        <v>741</v>
      </c>
      <c r="E241">
        <v>1</v>
      </c>
      <c r="F241" s="13">
        <v>80</v>
      </c>
      <c r="G241" s="11" t="s">
        <v>902</v>
      </c>
      <c r="H241" t="s">
        <v>218</v>
      </c>
      <c r="O241" s="31">
        <v>1</v>
      </c>
      <c r="P241" s="34">
        <f t="shared" si="3"/>
        <v>0.5</v>
      </c>
    </row>
    <row r="242" spans="1:16">
      <c r="A242">
        <v>239</v>
      </c>
      <c r="B242" s="15" t="s">
        <v>726</v>
      </c>
      <c r="C242" t="s">
        <v>727</v>
      </c>
      <c r="D242" s="19" t="s">
        <v>623</v>
      </c>
      <c r="E242">
        <v>0</v>
      </c>
      <c r="F242" s="13">
        <v>80</v>
      </c>
      <c r="G242" s="11" t="s">
        <v>203</v>
      </c>
      <c r="H242" t="s">
        <v>218</v>
      </c>
      <c r="O242" s="31">
        <v>0</v>
      </c>
      <c r="P242" s="34">
        <f t="shared" si="3"/>
        <v>0</v>
      </c>
    </row>
    <row r="243" spans="1:16">
      <c r="A243">
        <v>240</v>
      </c>
      <c r="B243" s="15" t="s">
        <v>726</v>
      </c>
      <c r="C243" t="s">
        <v>727</v>
      </c>
      <c r="D243" s="19" t="s">
        <v>641</v>
      </c>
      <c r="E243">
        <v>0</v>
      </c>
      <c r="F243" s="13">
        <v>80</v>
      </c>
      <c r="G243" s="11" t="s">
        <v>203</v>
      </c>
      <c r="H243" t="s">
        <v>218</v>
      </c>
      <c r="O243" s="31">
        <v>0</v>
      </c>
      <c r="P243" s="34">
        <f t="shared" si="3"/>
        <v>0</v>
      </c>
    </row>
    <row r="244" spans="1:16">
      <c r="A244">
        <v>241</v>
      </c>
      <c r="B244" s="15" t="s">
        <v>726</v>
      </c>
      <c r="C244" t="s">
        <v>694</v>
      </c>
      <c r="D244" s="19" t="s">
        <v>2040</v>
      </c>
      <c r="E244">
        <v>1</v>
      </c>
      <c r="F244" s="13">
        <v>81</v>
      </c>
      <c r="G244" s="11" t="s">
        <v>46</v>
      </c>
      <c r="H244" t="s">
        <v>218</v>
      </c>
      <c r="O244" s="31">
        <v>1</v>
      </c>
      <c r="P244" s="34">
        <f t="shared" si="3"/>
        <v>0.5</v>
      </c>
    </row>
    <row r="245" spans="1:16">
      <c r="A245">
        <v>242</v>
      </c>
      <c r="B245" s="15" t="s">
        <v>726</v>
      </c>
      <c r="C245" t="s">
        <v>743</v>
      </c>
      <c r="D245" s="19" t="s">
        <v>2041</v>
      </c>
      <c r="E245">
        <v>1</v>
      </c>
      <c r="F245" s="13">
        <v>81</v>
      </c>
      <c r="G245" s="11" t="s">
        <v>242</v>
      </c>
      <c r="H245" t="s">
        <v>218</v>
      </c>
      <c r="O245" s="31">
        <v>1</v>
      </c>
      <c r="P245" s="34">
        <f t="shared" si="3"/>
        <v>0.5</v>
      </c>
    </row>
    <row r="246" spans="1:16">
      <c r="A246">
        <v>243</v>
      </c>
      <c r="B246" s="15" t="s">
        <v>726</v>
      </c>
      <c r="C246" t="s">
        <v>743</v>
      </c>
      <c r="D246" s="19" t="s">
        <v>476</v>
      </c>
      <c r="E246">
        <v>1</v>
      </c>
      <c r="F246" s="13">
        <v>81</v>
      </c>
      <c r="G246" s="11" t="s">
        <v>902</v>
      </c>
      <c r="H246" t="s">
        <v>218</v>
      </c>
      <c r="L246" t="s">
        <v>2013</v>
      </c>
      <c r="O246" s="31">
        <v>2</v>
      </c>
      <c r="P246" s="34">
        <f t="shared" si="3"/>
        <v>1</v>
      </c>
    </row>
    <row r="247" spans="1:16">
      <c r="A247">
        <v>244</v>
      </c>
      <c r="B247" s="15" t="s">
        <v>726</v>
      </c>
      <c r="C247" t="s">
        <v>743</v>
      </c>
      <c r="D247" s="19" t="s">
        <v>481</v>
      </c>
      <c r="E247">
        <v>0</v>
      </c>
      <c r="F247" s="13">
        <v>81</v>
      </c>
      <c r="G247" s="11" t="s">
        <v>203</v>
      </c>
      <c r="H247" t="s">
        <v>218</v>
      </c>
      <c r="L247" t="s">
        <v>2013</v>
      </c>
      <c r="O247" s="31">
        <v>0</v>
      </c>
      <c r="P247" s="34">
        <f t="shared" ref="P247:P310" si="4">IF(ISNUMBER(O247),HLOOKUP(O247,$O$1:$S$2,2,FALSE)*E247,"")</f>
        <v>0</v>
      </c>
    </row>
    <row r="248" spans="1:16">
      <c r="A248">
        <v>245</v>
      </c>
      <c r="B248" s="15" t="s">
        <v>726</v>
      </c>
      <c r="C248" t="s">
        <v>743</v>
      </c>
      <c r="D248" s="19" t="s">
        <v>2025</v>
      </c>
      <c r="E248">
        <v>1</v>
      </c>
      <c r="F248" s="13">
        <v>81</v>
      </c>
      <c r="G248" s="11" t="s">
        <v>484</v>
      </c>
      <c r="H248" t="s">
        <v>218</v>
      </c>
      <c r="L248" t="s">
        <v>2013</v>
      </c>
      <c r="O248" s="31">
        <v>1</v>
      </c>
      <c r="P248" s="34">
        <f t="shared" si="4"/>
        <v>0.5</v>
      </c>
    </row>
    <row r="249" spans="1:16" ht="28.9">
      <c r="A249">
        <v>246</v>
      </c>
      <c r="B249" s="15" t="s">
        <v>726</v>
      </c>
      <c r="C249" t="s">
        <v>743</v>
      </c>
      <c r="D249" s="19" t="s">
        <v>486</v>
      </c>
      <c r="E249">
        <v>1</v>
      </c>
      <c r="F249" s="13">
        <v>81</v>
      </c>
      <c r="G249" s="11" t="s">
        <v>487</v>
      </c>
      <c r="H249" t="s">
        <v>218</v>
      </c>
      <c r="L249" t="s">
        <v>2013</v>
      </c>
      <c r="O249" s="31">
        <v>1</v>
      </c>
      <c r="P249" s="34">
        <f t="shared" si="4"/>
        <v>0.5</v>
      </c>
    </row>
    <row r="250" spans="1:16">
      <c r="A250">
        <v>247</v>
      </c>
      <c r="B250" s="15" t="s">
        <v>726</v>
      </c>
      <c r="C250" t="s">
        <v>743</v>
      </c>
      <c r="D250" s="19" t="s">
        <v>747</v>
      </c>
      <c r="E250">
        <v>1</v>
      </c>
      <c r="F250" s="13">
        <v>82</v>
      </c>
      <c r="G250" s="11" t="s">
        <v>902</v>
      </c>
      <c r="H250" t="s">
        <v>218</v>
      </c>
      <c r="K250" t="s">
        <v>749</v>
      </c>
      <c r="O250" s="31">
        <v>2</v>
      </c>
      <c r="P250" s="34">
        <f t="shared" si="4"/>
        <v>1</v>
      </c>
    </row>
    <row r="251" spans="1:16">
      <c r="A251">
        <v>248</v>
      </c>
      <c r="B251" s="15" t="s">
        <v>726</v>
      </c>
      <c r="C251" t="s">
        <v>743</v>
      </c>
      <c r="D251" s="19" t="s">
        <v>2041</v>
      </c>
      <c r="E251">
        <v>1</v>
      </c>
      <c r="F251" s="13">
        <v>82</v>
      </c>
      <c r="G251" s="11" t="s">
        <v>902</v>
      </c>
      <c r="H251" t="s">
        <v>218</v>
      </c>
      <c r="K251" t="s">
        <v>749</v>
      </c>
      <c r="O251" s="31">
        <v>2</v>
      </c>
      <c r="P251" s="34">
        <f t="shared" si="4"/>
        <v>1</v>
      </c>
    </row>
    <row r="252" spans="1:16">
      <c r="A252">
        <v>249</v>
      </c>
      <c r="B252" s="15" t="s">
        <v>754</v>
      </c>
      <c r="C252" t="s">
        <v>750</v>
      </c>
      <c r="D252" s="19" t="s">
        <v>751</v>
      </c>
      <c r="E252">
        <v>1</v>
      </c>
      <c r="F252" s="13">
        <v>84</v>
      </c>
      <c r="G252" s="11" t="s">
        <v>902</v>
      </c>
      <c r="H252" t="s">
        <v>384</v>
      </c>
      <c r="O252" s="31">
        <v>1</v>
      </c>
      <c r="P252" s="34">
        <f t="shared" si="4"/>
        <v>0.5</v>
      </c>
    </row>
    <row r="253" spans="1:16">
      <c r="A253">
        <v>250</v>
      </c>
      <c r="B253" s="15" t="s">
        <v>757</v>
      </c>
      <c r="C253" t="s">
        <v>758</v>
      </c>
      <c r="D253" s="19" t="s">
        <v>2042</v>
      </c>
      <c r="E253">
        <v>0</v>
      </c>
      <c r="F253" s="13">
        <v>86</v>
      </c>
      <c r="G253" s="11" t="s">
        <v>572</v>
      </c>
      <c r="H253" t="s">
        <v>385</v>
      </c>
      <c r="O253" s="31">
        <v>0</v>
      </c>
      <c r="P253" s="34">
        <f t="shared" si="4"/>
        <v>0</v>
      </c>
    </row>
    <row r="254" spans="1:16">
      <c r="A254">
        <v>251</v>
      </c>
      <c r="B254" s="15" t="s">
        <v>760</v>
      </c>
      <c r="C254" t="s">
        <v>450</v>
      </c>
      <c r="D254" s="19" t="s">
        <v>761</v>
      </c>
      <c r="E254">
        <v>1</v>
      </c>
      <c r="F254" s="13">
        <v>88</v>
      </c>
      <c r="G254" s="11" t="s">
        <v>46</v>
      </c>
      <c r="H254" t="s">
        <v>387</v>
      </c>
      <c r="O254" s="31">
        <v>1</v>
      </c>
      <c r="P254" s="34">
        <f t="shared" si="4"/>
        <v>0.5</v>
      </c>
    </row>
    <row r="255" spans="1:16">
      <c r="A255">
        <v>252</v>
      </c>
      <c r="B255" s="15" t="s">
        <v>760</v>
      </c>
      <c r="C255" t="s">
        <v>450</v>
      </c>
      <c r="D255" s="19" t="s">
        <v>663</v>
      </c>
      <c r="E255">
        <v>1</v>
      </c>
      <c r="F255" s="13" t="s">
        <v>664</v>
      </c>
      <c r="G255" s="11" t="s">
        <v>46</v>
      </c>
      <c r="H255" t="s">
        <v>387</v>
      </c>
      <c r="O255" s="31">
        <v>1</v>
      </c>
      <c r="P255" s="34">
        <f t="shared" si="4"/>
        <v>0.5</v>
      </c>
    </row>
    <row r="256" spans="1:16">
      <c r="A256">
        <v>253</v>
      </c>
      <c r="B256" s="15" t="s">
        <v>760</v>
      </c>
      <c r="C256" t="s">
        <v>762</v>
      </c>
      <c r="D256" s="19" t="s">
        <v>763</v>
      </c>
      <c r="E256">
        <v>1</v>
      </c>
      <c r="F256" s="13">
        <v>89</v>
      </c>
      <c r="G256" s="11" t="s">
        <v>242</v>
      </c>
      <c r="H256" t="s">
        <v>387</v>
      </c>
      <c r="O256" s="31">
        <v>1</v>
      </c>
      <c r="P256" s="34">
        <f t="shared" si="4"/>
        <v>0.5</v>
      </c>
    </row>
    <row r="257" spans="1:16">
      <c r="A257">
        <v>254</v>
      </c>
      <c r="B257" s="15" t="s">
        <v>760</v>
      </c>
      <c r="C257" t="s">
        <v>762</v>
      </c>
      <c r="D257" s="19" t="s">
        <v>764</v>
      </c>
      <c r="E257">
        <v>1</v>
      </c>
      <c r="F257" s="13">
        <v>89</v>
      </c>
      <c r="G257" s="11" t="s">
        <v>902</v>
      </c>
      <c r="H257" t="s">
        <v>387</v>
      </c>
      <c r="O257" s="31">
        <v>1</v>
      </c>
      <c r="P257" s="34">
        <f t="shared" si="4"/>
        <v>0.5</v>
      </c>
    </row>
    <row r="258" spans="1:16">
      <c r="A258">
        <v>255</v>
      </c>
      <c r="B258" s="15" t="s">
        <v>760</v>
      </c>
      <c r="C258" t="s">
        <v>762</v>
      </c>
      <c r="D258" s="19" t="s">
        <v>766</v>
      </c>
      <c r="E258">
        <v>1</v>
      </c>
      <c r="F258" s="13">
        <v>89</v>
      </c>
      <c r="G258" s="11" t="s">
        <v>242</v>
      </c>
      <c r="H258" t="s">
        <v>387</v>
      </c>
      <c r="O258" s="31">
        <v>1</v>
      </c>
      <c r="P258" s="34">
        <f t="shared" si="4"/>
        <v>0.5</v>
      </c>
    </row>
    <row r="259" spans="1:16">
      <c r="A259">
        <v>256</v>
      </c>
      <c r="B259" s="15" t="s">
        <v>767</v>
      </c>
      <c r="C259" t="s">
        <v>768</v>
      </c>
      <c r="D259" s="19" t="s">
        <v>769</v>
      </c>
      <c r="E259">
        <v>1</v>
      </c>
      <c r="F259" s="13">
        <v>94</v>
      </c>
      <c r="G259" s="11" t="s">
        <v>46</v>
      </c>
      <c r="H259" t="s">
        <v>388</v>
      </c>
      <c r="O259" s="31">
        <v>1</v>
      </c>
      <c r="P259" s="34">
        <f t="shared" si="4"/>
        <v>0.5</v>
      </c>
    </row>
    <row r="260" spans="1:16">
      <c r="A260">
        <v>257</v>
      </c>
      <c r="B260" s="15" t="s">
        <v>767</v>
      </c>
      <c r="C260" t="s">
        <v>768</v>
      </c>
      <c r="D260" s="19" t="s">
        <v>770</v>
      </c>
      <c r="E260">
        <v>1</v>
      </c>
      <c r="F260" s="13">
        <v>94</v>
      </c>
      <c r="G260" s="11" t="s">
        <v>771</v>
      </c>
      <c r="H260" t="s">
        <v>388</v>
      </c>
      <c r="O260" s="31">
        <v>1</v>
      </c>
      <c r="P260" s="34">
        <f t="shared" si="4"/>
        <v>0.5</v>
      </c>
    </row>
    <row r="261" spans="1:16">
      <c r="A261">
        <v>258</v>
      </c>
      <c r="B261" s="15" t="s">
        <v>767</v>
      </c>
      <c r="C261" t="s">
        <v>768</v>
      </c>
      <c r="D261" s="19" t="s">
        <v>772</v>
      </c>
      <c r="E261">
        <v>1</v>
      </c>
      <c r="F261" s="13">
        <v>94</v>
      </c>
      <c r="G261" s="11" t="s">
        <v>46</v>
      </c>
      <c r="H261" t="s">
        <v>388</v>
      </c>
      <c r="K261" t="s">
        <v>773</v>
      </c>
      <c r="O261" s="31">
        <v>1</v>
      </c>
      <c r="P261" s="34">
        <f t="shared" si="4"/>
        <v>0.5</v>
      </c>
    </row>
    <row r="262" spans="1:16">
      <c r="A262">
        <v>259</v>
      </c>
      <c r="B262" s="15" t="s">
        <v>767</v>
      </c>
      <c r="C262" t="s">
        <v>768</v>
      </c>
      <c r="D262" s="19" t="s">
        <v>775</v>
      </c>
      <c r="E262">
        <v>0</v>
      </c>
      <c r="F262" s="13">
        <v>94</v>
      </c>
      <c r="G262" s="11" t="s">
        <v>203</v>
      </c>
      <c r="H262" t="s">
        <v>388</v>
      </c>
      <c r="K262" t="s">
        <v>773</v>
      </c>
      <c r="O262" s="31">
        <v>1</v>
      </c>
      <c r="P262" s="34">
        <f t="shared" si="4"/>
        <v>0</v>
      </c>
    </row>
    <row r="263" spans="1:16">
      <c r="A263">
        <v>260</v>
      </c>
      <c r="B263" s="15" t="s">
        <v>767</v>
      </c>
      <c r="C263" t="s">
        <v>768</v>
      </c>
      <c r="D263" s="19" t="s">
        <v>777</v>
      </c>
      <c r="E263">
        <v>1</v>
      </c>
      <c r="F263" s="13">
        <v>94</v>
      </c>
      <c r="G263" s="11" t="s">
        <v>46</v>
      </c>
      <c r="H263" t="s">
        <v>388</v>
      </c>
      <c r="K263" t="s">
        <v>773</v>
      </c>
      <c r="O263" s="31">
        <v>1</v>
      </c>
      <c r="P263" s="34">
        <f t="shared" si="4"/>
        <v>0.5</v>
      </c>
    </row>
    <row r="264" spans="1:16">
      <c r="A264">
        <v>261</v>
      </c>
      <c r="B264" s="15" t="s">
        <v>767</v>
      </c>
      <c r="C264" t="s">
        <v>768</v>
      </c>
      <c r="D264" s="19" t="s">
        <v>779</v>
      </c>
      <c r="E264">
        <v>0</v>
      </c>
      <c r="F264" s="13">
        <v>94</v>
      </c>
      <c r="G264" s="11" t="s">
        <v>203</v>
      </c>
      <c r="H264" t="s">
        <v>388</v>
      </c>
      <c r="K264" t="s">
        <v>773</v>
      </c>
      <c r="O264" s="31">
        <v>1</v>
      </c>
      <c r="P264" s="34">
        <f t="shared" si="4"/>
        <v>0</v>
      </c>
    </row>
    <row r="265" spans="1:16">
      <c r="A265">
        <v>262</v>
      </c>
      <c r="B265" s="15" t="s">
        <v>767</v>
      </c>
      <c r="C265" t="s">
        <v>768</v>
      </c>
      <c r="D265" s="19" t="s">
        <v>2043</v>
      </c>
      <c r="E265">
        <v>1</v>
      </c>
      <c r="F265" s="13">
        <v>94</v>
      </c>
      <c r="G265" s="11" t="s">
        <v>46</v>
      </c>
      <c r="H265" t="s">
        <v>388</v>
      </c>
      <c r="K265" t="s">
        <v>773</v>
      </c>
      <c r="O265" s="31">
        <v>1</v>
      </c>
      <c r="P265" s="34">
        <f t="shared" si="4"/>
        <v>0.5</v>
      </c>
    </row>
    <row r="266" spans="1:16">
      <c r="A266">
        <v>263</v>
      </c>
      <c r="B266" s="15" t="s">
        <v>767</v>
      </c>
      <c r="C266" t="s">
        <v>768</v>
      </c>
      <c r="D266" s="19" t="s">
        <v>783</v>
      </c>
      <c r="E266">
        <v>1</v>
      </c>
      <c r="F266" s="13">
        <v>94</v>
      </c>
      <c r="G266" s="11" t="s">
        <v>46</v>
      </c>
      <c r="H266" t="s">
        <v>388</v>
      </c>
      <c r="K266" t="s">
        <v>784</v>
      </c>
      <c r="O266" s="31">
        <v>1</v>
      </c>
      <c r="P266" s="34">
        <f t="shared" si="4"/>
        <v>0.5</v>
      </c>
    </row>
    <row r="267" spans="1:16">
      <c r="A267">
        <v>264</v>
      </c>
      <c r="B267" s="15" t="s">
        <v>767</v>
      </c>
      <c r="C267" t="s">
        <v>768</v>
      </c>
      <c r="D267" s="19" t="s">
        <v>786</v>
      </c>
      <c r="E267">
        <v>0</v>
      </c>
      <c r="F267" s="13">
        <v>94</v>
      </c>
      <c r="G267" s="11" t="s">
        <v>203</v>
      </c>
      <c r="H267" t="s">
        <v>388</v>
      </c>
      <c r="K267" t="s">
        <v>784</v>
      </c>
      <c r="O267" s="31">
        <v>1</v>
      </c>
      <c r="P267" s="34">
        <f t="shared" si="4"/>
        <v>0</v>
      </c>
    </row>
    <row r="268" spans="1:16">
      <c r="A268">
        <v>265</v>
      </c>
      <c r="B268" s="15" t="s">
        <v>767</v>
      </c>
      <c r="C268" t="s">
        <v>768</v>
      </c>
      <c r="D268" s="19" t="s">
        <v>2044</v>
      </c>
      <c r="E268">
        <v>1</v>
      </c>
      <c r="F268" s="13">
        <v>94</v>
      </c>
      <c r="G268" s="11" t="s">
        <v>46</v>
      </c>
      <c r="H268" t="s">
        <v>388</v>
      </c>
      <c r="K268" t="s">
        <v>784</v>
      </c>
      <c r="O268" s="31">
        <v>1</v>
      </c>
      <c r="P268" s="34">
        <f t="shared" si="4"/>
        <v>0.5</v>
      </c>
    </row>
    <row r="269" spans="1:16">
      <c r="A269">
        <v>266</v>
      </c>
      <c r="B269" s="15" t="s">
        <v>767</v>
      </c>
      <c r="C269" t="s">
        <v>768</v>
      </c>
      <c r="D269" s="19" t="s">
        <v>790</v>
      </c>
      <c r="E269">
        <v>1</v>
      </c>
      <c r="F269" s="13">
        <v>94</v>
      </c>
      <c r="G269" s="11" t="s">
        <v>902</v>
      </c>
      <c r="H269" t="s">
        <v>388</v>
      </c>
      <c r="K269" t="s">
        <v>784</v>
      </c>
      <c r="O269" s="31">
        <v>1</v>
      </c>
      <c r="P269" s="34">
        <f t="shared" si="4"/>
        <v>0.5</v>
      </c>
    </row>
    <row r="270" spans="1:16">
      <c r="A270">
        <v>267</v>
      </c>
      <c r="B270" s="15" t="s">
        <v>767</v>
      </c>
      <c r="C270" t="s">
        <v>768</v>
      </c>
      <c r="D270" s="19" t="s">
        <v>2043</v>
      </c>
      <c r="E270">
        <v>1</v>
      </c>
      <c r="F270" s="13">
        <v>94</v>
      </c>
      <c r="G270" s="11" t="s">
        <v>46</v>
      </c>
      <c r="H270" t="s">
        <v>388</v>
      </c>
      <c r="K270" t="s">
        <v>784</v>
      </c>
      <c r="O270" s="31">
        <v>1</v>
      </c>
      <c r="P270" s="34">
        <f t="shared" si="4"/>
        <v>0.5</v>
      </c>
    </row>
    <row r="271" spans="1:16">
      <c r="A271">
        <v>268</v>
      </c>
      <c r="B271" s="15" t="s">
        <v>767</v>
      </c>
      <c r="C271" t="s">
        <v>795</v>
      </c>
      <c r="D271" s="19" t="s">
        <v>796</v>
      </c>
      <c r="E271">
        <v>1</v>
      </c>
      <c r="F271" s="13">
        <v>94</v>
      </c>
      <c r="G271" s="11" t="s">
        <v>797</v>
      </c>
      <c r="H271" t="s">
        <v>388</v>
      </c>
      <c r="L271" t="s">
        <v>798</v>
      </c>
      <c r="O271" s="31">
        <v>3</v>
      </c>
      <c r="P271" s="34">
        <f t="shared" si="4"/>
        <v>1.5</v>
      </c>
    </row>
    <row r="272" spans="1:16">
      <c r="A272">
        <v>269</v>
      </c>
      <c r="B272" s="15" t="s">
        <v>767</v>
      </c>
      <c r="C272" t="s">
        <v>795</v>
      </c>
      <c r="D272" s="19" t="s">
        <v>800</v>
      </c>
      <c r="E272">
        <v>1</v>
      </c>
      <c r="F272" s="13">
        <v>94</v>
      </c>
      <c r="G272" s="11" t="s">
        <v>797</v>
      </c>
      <c r="H272" t="s">
        <v>388</v>
      </c>
      <c r="L272" t="s">
        <v>798</v>
      </c>
      <c r="O272" s="31">
        <v>3</v>
      </c>
      <c r="P272" s="34">
        <f t="shared" si="4"/>
        <v>1.5</v>
      </c>
    </row>
    <row r="273" spans="1:16">
      <c r="A273">
        <v>270</v>
      </c>
      <c r="B273" s="15" t="s">
        <v>767</v>
      </c>
      <c r="C273" t="s">
        <v>795</v>
      </c>
      <c r="D273" s="19" t="s">
        <v>802</v>
      </c>
      <c r="E273">
        <v>1</v>
      </c>
      <c r="F273" s="13">
        <v>94</v>
      </c>
      <c r="G273" s="11" t="s">
        <v>797</v>
      </c>
      <c r="H273" t="s">
        <v>388</v>
      </c>
      <c r="L273" t="s">
        <v>798</v>
      </c>
      <c r="O273" s="31">
        <v>3</v>
      </c>
      <c r="P273" s="34">
        <f t="shared" si="4"/>
        <v>1.5</v>
      </c>
    </row>
    <row r="274" spans="1:16">
      <c r="A274">
        <v>271</v>
      </c>
      <c r="B274" s="15" t="s">
        <v>767</v>
      </c>
      <c r="C274" t="s">
        <v>795</v>
      </c>
      <c r="D274" s="19" t="s">
        <v>804</v>
      </c>
      <c r="E274">
        <v>1</v>
      </c>
      <c r="F274" s="13">
        <v>94</v>
      </c>
      <c r="G274" s="11" t="s">
        <v>797</v>
      </c>
      <c r="H274" t="s">
        <v>388</v>
      </c>
      <c r="L274" t="s">
        <v>798</v>
      </c>
      <c r="O274" s="31">
        <v>3</v>
      </c>
      <c r="P274" s="34">
        <f t="shared" si="4"/>
        <v>1.5</v>
      </c>
    </row>
    <row r="275" spans="1:16">
      <c r="A275">
        <v>272</v>
      </c>
      <c r="B275" s="15" t="s">
        <v>767</v>
      </c>
      <c r="C275" t="s">
        <v>806</v>
      </c>
      <c r="D275" s="19" t="s">
        <v>807</v>
      </c>
      <c r="E275">
        <v>1</v>
      </c>
      <c r="F275" s="13">
        <v>94</v>
      </c>
      <c r="G275" s="11" t="s">
        <v>46</v>
      </c>
      <c r="H275" t="s">
        <v>388</v>
      </c>
      <c r="K275" t="s">
        <v>2045</v>
      </c>
      <c r="O275" s="31">
        <v>1</v>
      </c>
      <c r="P275" s="34">
        <f t="shared" si="4"/>
        <v>0.5</v>
      </c>
    </row>
    <row r="276" spans="1:16">
      <c r="A276">
        <v>273</v>
      </c>
      <c r="B276" s="15" t="s">
        <v>767</v>
      </c>
      <c r="C276" t="s">
        <v>806</v>
      </c>
      <c r="D276" s="19" t="s">
        <v>810</v>
      </c>
      <c r="E276">
        <v>1</v>
      </c>
      <c r="F276" s="13">
        <v>94</v>
      </c>
      <c r="G276" s="11" t="s">
        <v>46</v>
      </c>
      <c r="H276" t="s">
        <v>388</v>
      </c>
      <c r="K276" t="s">
        <v>2045</v>
      </c>
      <c r="O276" s="31">
        <v>1</v>
      </c>
      <c r="P276" s="34">
        <f t="shared" si="4"/>
        <v>0.5</v>
      </c>
    </row>
    <row r="277" spans="1:16">
      <c r="A277">
        <v>274</v>
      </c>
      <c r="B277" s="15" t="s">
        <v>767</v>
      </c>
      <c r="C277" t="s">
        <v>806</v>
      </c>
      <c r="D277" s="19" t="s">
        <v>812</v>
      </c>
      <c r="E277">
        <v>1</v>
      </c>
      <c r="F277" s="13">
        <v>94</v>
      </c>
      <c r="G277" s="11" t="s">
        <v>46</v>
      </c>
      <c r="H277" t="s">
        <v>388</v>
      </c>
      <c r="K277" t="s">
        <v>2045</v>
      </c>
      <c r="O277" s="31">
        <v>1</v>
      </c>
      <c r="P277" s="34">
        <f t="shared" si="4"/>
        <v>0.5</v>
      </c>
    </row>
    <row r="278" spans="1:16">
      <c r="A278">
        <v>275</v>
      </c>
      <c r="B278" s="15" t="s">
        <v>767</v>
      </c>
      <c r="C278" t="s">
        <v>814</v>
      </c>
      <c r="D278" s="19" t="s">
        <v>2046</v>
      </c>
      <c r="E278">
        <v>1</v>
      </c>
      <c r="F278" s="13">
        <v>94</v>
      </c>
      <c r="G278" s="11" t="s">
        <v>816</v>
      </c>
      <c r="H278" t="s">
        <v>388</v>
      </c>
      <c r="K278" t="s">
        <v>817</v>
      </c>
      <c r="O278" s="31">
        <v>1</v>
      </c>
      <c r="P278" s="34">
        <f t="shared" si="4"/>
        <v>0.5</v>
      </c>
    </row>
    <row r="279" spans="1:16">
      <c r="A279">
        <v>276</v>
      </c>
      <c r="B279" s="15" t="s">
        <v>767</v>
      </c>
      <c r="C279" t="s">
        <v>814</v>
      </c>
      <c r="D279" s="19" t="s">
        <v>494</v>
      </c>
      <c r="E279">
        <v>0</v>
      </c>
      <c r="F279" s="13">
        <v>94</v>
      </c>
      <c r="G279" s="11" t="s">
        <v>203</v>
      </c>
      <c r="H279" t="s">
        <v>388</v>
      </c>
      <c r="K279" t="s">
        <v>817</v>
      </c>
      <c r="O279" s="31">
        <v>1</v>
      </c>
      <c r="P279" s="34">
        <f t="shared" si="4"/>
        <v>0</v>
      </c>
    </row>
    <row r="280" spans="1:16">
      <c r="A280">
        <v>277</v>
      </c>
      <c r="B280" s="15" t="s">
        <v>767</v>
      </c>
      <c r="C280" t="s">
        <v>818</v>
      </c>
      <c r="D280" s="19" t="s">
        <v>141</v>
      </c>
      <c r="E280">
        <v>1</v>
      </c>
      <c r="F280" s="13">
        <v>94</v>
      </c>
      <c r="G280" s="11" t="s">
        <v>46</v>
      </c>
      <c r="H280" t="s">
        <v>388</v>
      </c>
      <c r="O280" s="31">
        <v>1</v>
      </c>
      <c r="P280" s="34">
        <f t="shared" si="4"/>
        <v>0.5</v>
      </c>
    </row>
    <row r="281" spans="1:16">
      <c r="A281">
        <v>278</v>
      </c>
      <c r="B281" s="15" t="s">
        <v>767</v>
      </c>
      <c r="C281" t="s">
        <v>818</v>
      </c>
      <c r="D281" s="19" t="s">
        <v>99</v>
      </c>
      <c r="E281">
        <v>1</v>
      </c>
      <c r="F281" s="13">
        <v>94</v>
      </c>
      <c r="G281" s="11" t="s">
        <v>46</v>
      </c>
      <c r="H281" t="s">
        <v>388</v>
      </c>
      <c r="O281" s="31">
        <v>1</v>
      </c>
      <c r="P281" s="34">
        <f t="shared" si="4"/>
        <v>0.5</v>
      </c>
    </row>
    <row r="282" spans="1:16">
      <c r="A282">
        <v>279</v>
      </c>
      <c r="B282" s="15" t="s">
        <v>767</v>
      </c>
      <c r="C282" t="s">
        <v>818</v>
      </c>
      <c r="D282" s="19" t="s">
        <v>20</v>
      </c>
      <c r="E282">
        <v>1</v>
      </c>
      <c r="F282" s="13">
        <v>94</v>
      </c>
      <c r="G282" s="11" t="s">
        <v>46</v>
      </c>
      <c r="H282" t="s">
        <v>388</v>
      </c>
      <c r="O282" s="31">
        <v>1</v>
      </c>
      <c r="P282" s="34">
        <f t="shared" si="4"/>
        <v>0.5</v>
      </c>
    </row>
    <row r="283" spans="1:16">
      <c r="A283">
        <v>280</v>
      </c>
      <c r="B283" s="15" t="s">
        <v>767</v>
      </c>
      <c r="C283" t="s">
        <v>818</v>
      </c>
      <c r="D283" s="19" t="s">
        <v>2042</v>
      </c>
      <c r="E283">
        <v>1</v>
      </c>
      <c r="F283" s="13">
        <v>94</v>
      </c>
      <c r="G283" s="11" t="s">
        <v>572</v>
      </c>
      <c r="H283" t="s">
        <v>388</v>
      </c>
      <c r="O283" s="31">
        <v>1</v>
      </c>
      <c r="P283" s="34">
        <f t="shared" si="4"/>
        <v>0.5</v>
      </c>
    </row>
    <row r="284" spans="1:16">
      <c r="A284">
        <v>281</v>
      </c>
      <c r="B284" s="15" t="s">
        <v>820</v>
      </c>
      <c r="C284" t="s">
        <v>821</v>
      </c>
      <c r="D284" s="19" t="s">
        <v>822</v>
      </c>
      <c r="E284">
        <v>0</v>
      </c>
      <c r="F284" s="13">
        <v>97</v>
      </c>
      <c r="G284" s="11" t="s">
        <v>203</v>
      </c>
      <c r="H284" t="s">
        <v>535</v>
      </c>
      <c r="O284" s="31">
        <v>0</v>
      </c>
      <c r="P284" s="34">
        <f t="shared" si="4"/>
        <v>0</v>
      </c>
    </row>
    <row r="285" spans="1:16">
      <c r="A285">
        <v>282</v>
      </c>
      <c r="B285" s="15" t="s">
        <v>820</v>
      </c>
      <c r="C285" t="s">
        <v>821</v>
      </c>
      <c r="D285" s="19" t="s">
        <v>825</v>
      </c>
      <c r="E285">
        <v>1</v>
      </c>
      <c r="F285" s="13">
        <v>97</v>
      </c>
      <c r="G285" s="11" t="s">
        <v>902</v>
      </c>
      <c r="H285" t="s">
        <v>535</v>
      </c>
      <c r="O285" s="31">
        <v>1</v>
      </c>
      <c r="P285" s="34">
        <f t="shared" si="4"/>
        <v>0.5</v>
      </c>
    </row>
    <row r="286" spans="1:16">
      <c r="A286">
        <v>283</v>
      </c>
      <c r="B286" s="15" t="s">
        <v>820</v>
      </c>
      <c r="C286" t="s">
        <v>821</v>
      </c>
      <c r="D286" s="19" t="s">
        <v>827</v>
      </c>
      <c r="E286">
        <v>1</v>
      </c>
      <c r="F286" s="13">
        <v>97</v>
      </c>
      <c r="G286" s="11" t="s">
        <v>902</v>
      </c>
      <c r="H286" t="s">
        <v>535</v>
      </c>
      <c r="O286" s="31">
        <v>1</v>
      </c>
      <c r="P286" s="34">
        <f t="shared" si="4"/>
        <v>0.5</v>
      </c>
    </row>
    <row r="287" spans="1:16">
      <c r="A287">
        <v>284</v>
      </c>
      <c r="B287" s="15" t="s">
        <v>820</v>
      </c>
      <c r="C287" t="s">
        <v>821</v>
      </c>
      <c r="D287" s="19" t="s">
        <v>829</v>
      </c>
      <c r="E287">
        <v>1</v>
      </c>
      <c r="F287" s="13">
        <v>97</v>
      </c>
      <c r="G287" s="11" t="s">
        <v>902</v>
      </c>
      <c r="H287" t="s">
        <v>535</v>
      </c>
      <c r="O287" s="31">
        <v>1</v>
      </c>
      <c r="P287" s="34">
        <f t="shared" si="4"/>
        <v>0.5</v>
      </c>
    </row>
    <row r="288" spans="1:16">
      <c r="A288">
        <v>285</v>
      </c>
      <c r="B288" s="15" t="s">
        <v>820</v>
      </c>
      <c r="C288" t="s">
        <v>821</v>
      </c>
      <c r="D288" s="19" t="s">
        <v>831</v>
      </c>
      <c r="E288">
        <v>1</v>
      </c>
      <c r="F288" s="13">
        <v>97</v>
      </c>
      <c r="G288" s="11" t="s">
        <v>902</v>
      </c>
      <c r="H288" t="s">
        <v>535</v>
      </c>
      <c r="O288" s="31">
        <v>1</v>
      </c>
      <c r="P288" s="34">
        <f t="shared" si="4"/>
        <v>0.5</v>
      </c>
    </row>
    <row r="289" spans="1:16">
      <c r="A289">
        <v>286</v>
      </c>
      <c r="B289" s="15" t="s">
        <v>820</v>
      </c>
      <c r="C289" t="s">
        <v>821</v>
      </c>
      <c r="D289" s="19" t="s">
        <v>834</v>
      </c>
      <c r="E289">
        <v>1</v>
      </c>
      <c r="F289" s="13">
        <v>97</v>
      </c>
      <c r="G289" s="11" t="s">
        <v>902</v>
      </c>
      <c r="H289" t="s">
        <v>535</v>
      </c>
      <c r="O289" s="31">
        <v>1</v>
      </c>
      <c r="P289" s="34">
        <f t="shared" si="4"/>
        <v>0.5</v>
      </c>
    </row>
    <row r="290" spans="1:16">
      <c r="A290">
        <v>287</v>
      </c>
      <c r="B290" s="15" t="s">
        <v>820</v>
      </c>
      <c r="C290" t="s">
        <v>528</v>
      </c>
      <c r="D290" s="26" t="s">
        <v>533</v>
      </c>
      <c r="E290">
        <v>1</v>
      </c>
      <c r="F290" s="13">
        <v>98</v>
      </c>
      <c r="G290" s="11" t="s">
        <v>46</v>
      </c>
      <c r="H290" t="s">
        <v>535</v>
      </c>
      <c r="L290" t="s">
        <v>2019</v>
      </c>
      <c r="O290" s="31">
        <v>1</v>
      </c>
      <c r="P290" s="34">
        <f t="shared" si="4"/>
        <v>0.5</v>
      </c>
    </row>
    <row r="291" spans="1:16">
      <c r="A291">
        <v>288</v>
      </c>
      <c r="B291" s="15" t="s">
        <v>820</v>
      </c>
      <c r="C291" t="s">
        <v>528</v>
      </c>
      <c r="D291" s="26" t="s">
        <v>154</v>
      </c>
      <c r="E291">
        <v>0</v>
      </c>
      <c r="F291" s="13">
        <v>98</v>
      </c>
      <c r="G291" s="11" t="s">
        <v>203</v>
      </c>
      <c r="H291" t="s">
        <v>535</v>
      </c>
      <c r="O291" s="31">
        <v>0</v>
      </c>
      <c r="P291" s="34">
        <f t="shared" si="4"/>
        <v>0</v>
      </c>
    </row>
    <row r="292" spans="1:16">
      <c r="A292">
        <v>289</v>
      </c>
      <c r="B292" s="15" t="s">
        <v>820</v>
      </c>
      <c r="C292" t="s">
        <v>528</v>
      </c>
      <c r="D292" s="26" t="s">
        <v>539</v>
      </c>
      <c r="E292">
        <v>0</v>
      </c>
      <c r="F292" s="13">
        <v>98</v>
      </c>
      <c r="G292" s="11" t="s">
        <v>203</v>
      </c>
      <c r="H292" t="s">
        <v>535</v>
      </c>
      <c r="O292" s="31">
        <v>0</v>
      </c>
      <c r="P292" s="34">
        <f t="shared" si="4"/>
        <v>0</v>
      </c>
    </row>
    <row r="293" spans="1:16">
      <c r="A293">
        <v>290</v>
      </c>
      <c r="B293" s="15" t="s">
        <v>820</v>
      </c>
      <c r="C293" t="s">
        <v>528</v>
      </c>
      <c r="D293" s="26" t="s">
        <v>541</v>
      </c>
      <c r="E293">
        <v>1</v>
      </c>
      <c r="F293" s="13">
        <v>98</v>
      </c>
      <c r="G293" s="11" t="s">
        <v>46</v>
      </c>
      <c r="H293" t="s">
        <v>535</v>
      </c>
      <c r="L293" t="s">
        <v>2019</v>
      </c>
      <c r="O293" s="31">
        <v>1</v>
      </c>
      <c r="P293" s="34">
        <f t="shared" si="4"/>
        <v>0.5</v>
      </c>
    </row>
    <row r="294" spans="1:16">
      <c r="A294">
        <v>291</v>
      </c>
      <c r="B294" s="15" t="s">
        <v>820</v>
      </c>
      <c r="C294" t="s">
        <v>528</v>
      </c>
      <c r="D294" s="26" t="s">
        <v>155</v>
      </c>
      <c r="E294">
        <v>0</v>
      </c>
      <c r="F294" s="13">
        <v>98</v>
      </c>
      <c r="G294" s="11" t="s">
        <v>203</v>
      </c>
      <c r="H294" t="s">
        <v>535</v>
      </c>
      <c r="O294" s="31">
        <v>0</v>
      </c>
      <c r="P294" s="34">
        <f t="shared" si="4"/>
        <v>0</v>
      </c>
    </row>
    <row r="295" spans="1:16">
      <c r="A295">
        <v>292</v>
      </c>
      <c r="B295" s="15" t="s">
        <v>820</v>
      </c>
      <c r="C295" t="s">
        <v>528</v>
      </c>
      <c r="D295" s="26" t="s">
        <v>545</v>
      </c>
      <c r="E295">
        <v>1</v>
      </c>
      <c r="F295" s="13">
        <v>98</v>
      </c>
      <c r="G295" s="11" t="s">
        <v>46</v>
      </c>
      <c r="H295" t="s">
        <v>535</v>
      </c>
      <c r="L295" t="s">
        <v>2019</v>
      </c>
      <c r="O295" s="31">
        <v>1</v>
      </c>
      <c r="P295" s="34">
        <f t="shared" si="4"/>
        <v>0.5</v>
      </c>
    </row>
    <row r="296" spans="1:16">
      <c r="A296">
        <v>293</v>
      </c>
      <c r="B296" s="15" t="s">
        <v>820</v>
      </c>
      <c r="C296" t="s">
        <v>528</v>
      </c>
      <c r="D296" s="26" t="s">
        <v>547</v>
      </c>
      <c r="E296">
        <v>1</v>
      </c>
      <c r="F296" s="13">
        <v>98</v>
      </c>
      <c r="G296" s="11" t="s">
        <v>46</v>
      </c>
      <c r="H296" t="s">
        <v>535</v>
      </c>
      <c r="L296" t="s">
        <v>2019</v>
      </c>
      <c r="O296" s="31">
        <v>1</v>
      </c>
      <c r="P296" s="34">
        <f t="shared" si="4"/>
        <v>0.5</v>
      </c>
    </row>
    <row r="297" spans="1:16">
      <c r="A297">
        <v>294</v>
      </c>
      <c r="B297" s="15" t="s">
        <v>820</v>
      </c>
      <c r="C297" t="s">
        <v>528</v>
      </c>
      <c r="D297" s="26" t="s">
        <v>549</v>
      </c>
      <c r="E297">
        <v>1</v>
      </c>
      <c r="F297" s="13">
        <v>98</v>
      </c>
      <c r="G297" s="11" t="s">
        <v>46</v>
      </c>
      <c r="H297" t="s">
        <v>535</v>
      </c>
      <c r="L297" t="s">
        <v>2019</v>
      </c>
      <c r="O297" s="31">
        <v>1</v>
      </c>
      <c r="P297" s="34">
        <f t="shared" si="4"/>
        <v>0.5</v>
      </c>
    </row>
    <row r="298" spans="1:16">
      <c r="A298">
        <v>295</v>
      </c>
      <c r="B298" s="15" t="s">
        <v>820</v>
      </c>
      <c r="C298" t="s">
        <v>528</v>
      </c>
      <c r="D298" s="26" t="s">
        <v>551</v>
      </c>
      <c r="E298">
        <v>0</v>
      </c>
      <c r="F298" s="13">
        <v>98</v>
      </c>
      <c r="G298" s="11" t="s">
        <v>203</v>
      </c>
      <c r="H298" t="s">
        <v>535</v>
      </c>
      <c r="O298" s="31">
        <v>0</v>
      </c>
      <c r="P298" s="34">
        <f t="shared" si="4"/>
        <v>0</v>
      </c>
    </row>
    <row r="299" spans="1:16">
      <c r="A299">
        <v>296</v>
      </c>
      <c r="B299" s="15" t="s">
        <v>820</v>
      </c>
      <c r="C299" t="s">
        <v>528</v>
      </c>
      <c r="D299" s="26" t="s">
        <v>553</v>
      </c>
      <c r="E299">
        <v>0</v>
      </c>
      <c r="F299" s="13">
        <v>98</v>
      </c>
      <c r="G299" s="11" t="s">
        <v>203</v>
      </c>
      <c r="H299" t="s">
        <v>535</v>
      </c>
      <c r="O299" s="31">
        <v>0</v>
      </c>
      <c r="P299" s="34">
        <f t="shared" si="4"/>
        <v>0</v>
      </c>
    </row>
    <row r="300" spans="1:16">
      <c r="A300">
        <v>297</v>
      </c>
      <c r="B300" s="15" t="s">
        <v>820</v>
      </c>
      <c r="C300" t="s">
        <v>528</v>
      </c>
      <c r="D300" s="26" t="s">
        <v>555</v>
      </c>
      <c r="E300">
        <v>0</v>
      </c>
      <c r="F300" s="13">
        <v>98</v>
      </c>
      <c r="G300" s="11" t="s">
        <v>203</v>
      </c>
      <c r="H300" t="s">
        <v>535</v>
      </c>
      <c r="O300" s="31">
        <v>0</v>
      </c>
      <c r="P300" s="34">
        <f t="shared" si="4"/>
        <v>0</v>
      </c>
    </row>
    <row r="301" spans="1:16">
      <c r="A301">
        <v>298</v>
      </c>
      <c r="B301" s="15" t="s">
        <v>820</v>
      </c>
      <c r="C301" t="s">
        <v>528</v>
      </c>
      <c r="D301" s="26" t="s">
        <v>557</v>
      </c>
      <c r="E301">
        <v>1</v>
      </c>
      <c r="F301" s="13">
        <v>98</v>
      </c>
      <c r="G301" s="11" t="s">
        <v>46</v>
      </c>
      <c r="H301" t="s">
        <v>535</v>
      </c>
      <c r="L301" t="s">
        <v>2019</v>
      </c>
      <c r="O301" s="31">
        <v>1</v>
      </c>
      <c r="P301" s="34">
        <f t="shared" si="4"/>
        <v>0.5</v>
      </c>
    </row>
    <row r="302" spans="1:16">
      <c r="A302">
        <v>299</v>
      </c>
      <c r="B302" s="15" t="s">
        <v>820</v>
      </c>
      <c r="C302" t="s">
        <v>528</v>
      </c>
      <c r="D302" s="26" t="s">
        <v>559</v>
      </c>
      <c r="E302">
        <v>0</v>
      </c>
      <c r="F302" s="13">
        <v>98</v>
      </c>
      <c r="G302" s="11" t="s">
        <v>203</v>
      </c>
      <c r="H302" t="s">
        <v>535</v>
      </c>
      <c r="O302" s="31">
        <v>0</v>
      </c>
      <c r="P302" s="34">
        <f t="shared" si="4"/>
        <v>0</v>
      </c>
    </row>
    <row r="303" spans="1:16">
      <c r="A303">
        <v>300</v>
      </c>
      <c r="B303" s="15" t="s">
        <v>820</v>
      </c>
      <c r="C303" t="s">
        <v>528</v>
      </c>
      <c r="D303" s="19" t="s">
        <v>836</v>
      </c>
      <c r="E303">
        <v>0</v>
      </c>
      <c r="F303" s="13">
        <v>98</v>
      </c>
      <c r="G303" s="11" t="s">
        <v>203</v>
      </c>
      <c r="H303" t="s">
        <v>535</v>
      </c>
      <c r="O303" s="31">
        <v>0</v>
      </c>
      <c r="P303" s="34">
        <f t="shared" si="4"/>
        <v>0</v>
      </c>
    </row>
    <row r="304" spans="1:16">
      <c r="A304">
        <v>301</v>
      </c>
      <c r="B304" s="15" t="s">
        <v>820</v>
      </c>
      <c r="C304" t="s">
        <v>528</v>
      </c>
      <c r="D304" s="19" t="s">
        <v>837</v>
      </c>
      <c r="E304">
        <v>0</v>
      </c>
      <c r="F304" s="13">
        <v>98</v>
      </c>
      <c r="G304" s="11" t="s">
        <v>203</v>
      </c>
      <c r="H304" t="s">
        <v>535</v>
      </c>
      <c r="O304" s="31">
        <v>0</v>
      </c>
      <c r="P304" s="34">
        <f t="shared" si="4"/>
        <v>0</v>
      </c>
    </row>
    <row r="305" spans="1:16">
      <c r="A305">
        <v>302</v>
      </c>
      <c r="B305" s="15" t="s">
        <v>820</v>
      </c>
      <c r="C305" t="s">
        <v>528</v>
      </c>
      <c r="D305" s="19" t="s">
        <v>838</v>
      </c>
      <c r="E305">
        <v>0</v>
      </c>
      <c r="F305" s="13">
        <v>98</v>
      </c>
      <c r="G305" s="11" t="s">
        <v>203</v>
      </c>
      <c r="H305" t="s">
        <v>535</v>
      </c>
      <c r="O305" s="31">
        <v>0</v>
      </c>
      <c r="P305" s="34">
        <f t="shared" si="4"/>
        <v>0</v>
      </c>
    </row>
    <row r="306" spans="1:16">
      <c r="A306">
        <v>303</v>
      </c>
      <c r="B306" s="15" t="s">
        <v>820</v>
      </c>
      <c r="C306" t="s">
        <v>839</v>
      </c>
      <c r="D306" s="19" t="s">
        <v>2047</v>
      </c>
      <c r="E306">
        <v>1</v>
      </c>
      <c r="F306" s="13" t="s">
        <v>841</v>
      </c>
      <c r="G306" s="11" t="s">
        <v>46</v>
      </c>
      <c r="H306" t="s">
        <v>535</v>
      </c>
      <c r="I306" t="s">
        <v>248</v>
      </c>
      <c r="O306" s="31">
        <v>1</v>
      </c>
      <c r="P306" s="34">
        <f t="shared" si="4"/>
        <v>0.5</v>
      </c>
    </row>
    <row r="307" spans="1:16">
      <c r="A307">
        <v>304</v>
      </c>
      <c r="B307" s="15" t="s">
        <v>820</v>
      </c>
      <c r="C307" t="s">
        <v>839</v>
      </c>
      <c r="D307" s="19" t="s">
        <v>842</v>
      </c>
      <c r="E307">
        <v>1</v>
      </c>
      <c r="F307" s="13" t="s">
        <v>841</v>
      </c>
      <c r="G307" s="11" t="s">
        <v>46</v>
      </c>
      <c r="H307" t="s">
        <v>535</v>
      </c>
      <c r="I307" t="s">
        <v>248</v>
      </c>
      <c r="O307" s="31">
        <v>1</v>
      </c>
      <c r="P307" s="34">
        <f t="shared" si="4"/>
        <v>0.5</v>
      </c>
    </row>
    <row r="308" spans="1:16">
      <c r="A308">
        <v>305</v>
      </c>
      <c r="B308" s="15" t="s">
        <v>820</v>
      </c>
      <c r="C308" t="s">
        <v>839</v>
      </c>
      <c r="D308" s="19" t="s">
        <v>843</v>
      </c>
      <c r="E308">
        <v>1</v>
      </c>
      <c r="F308" s="13" t="s">
        <v>841</v>
      </c>
      <c r="G308" s="11" t="s">
        <v>902</v>
      </c>
      <c r="H308" t="s">
        <v>535</v>
      </c>
      <c r="I308" t="s">
        <v>248</v>
      </c>
      <c r="O308" s="31">
        <v>1</v>
      </c>
      <c r="P308" s="34">
        <f t="shared" si="4"/>
        <v>0.5</v>
      </c>
    </row>
    <row r="309" spans="1:16">
      <c r="A309">
        <v>306</v>
      </c>
      <c r="B309" s="15" t="s">
        <v>820</v>
      </c>
      <c r="C309" t="s">
        <v>839</v>
      </c>
      <c r="D309" s="19" t="s">
        <v>845</v>
      </c>
      <c r="E309">
        <v>1</v>
      </c>
      <c r="F309" s="13" t="s">
        <v>841</v>
      </c>
      <c r="G309" s="11" t="s">
        <v>46</v>
      </c>
      <c r="H309" t="s">
        <v>535</v>
      </c>
      <c r="I309" t="s">
        <v>248</v>
      </c>
      <c r="O309" s="31">
        <v>1</v>
      </c>
      <c r="P309" s="34">
        <f t="shared" si="4"/>
        <v>0.5</v>
      </c>
    </row>
    <row r="310" spans="1:16">
      <c r="A310">
        <v>307</v>
      </c>
      <c r="B310" s="15" t="s">
        <v>820</v>
      </c>
      <c r="C310" t="s">
        <v>839</v>
      </c>
      <c r="D310" s="19" t="s">
        <v>846</v>
      </c>
      <c r="E310">
        <v>1</v>
      </c>
      <c r="F310" s="13" t="s">
        <v>841</v>
      </c>
      <c r="G310" s="11" t="s">
        <v>46</v>
      </c>
      <c r="H310" t="s">
        <v>535</v>
      </c>
      <c r="I310" t="s">
        <v>248</v>
      </c>
      <c r="O310" s="31">
        <v>1</v>
      </c>
      <c r="P310" s="34">
        <f t="shared" si="4"/>
        <v>0.5</v>
      </c>
    </row>
    <row r="311" spans="1:16">
      <c r="A311">
        <v>308</v>
      </c>
      <c r="B311" s="15" t="s">
        <v>820</v>
      </c>
      <c r="C311" t="s">
        <v>839</v>
      </c>
      <c r="D311" s="19" t="s">
        <v>847</v>
      </c>
      <c r="E311">
        <v>1</v>
      </c>
      <c r="F311" s="13" t="s">
        <v>841</v>
      </c>
      <c r="G311" s="11" t="s">
        <v>46</v>
      </c>
      <c r="H311" t="s">
        <v>535</v>
      </c>
      <c r="I311" t="s">
        <v>248</v>
      </c>
      <c r="O311" s="31">
        <v>1</v>
      </c>
      <c r="P311" s="34">
        <f t="shared" ref="P311:P510" si="5">IF(ISNUMBER(O311),HLOOKUP(O311,$O$1:$S$2,2,FALSE)*E311,"")</f>
        <v>0.5</v>
      </c>
    </row>
    <row r="312" spans="1:16">
      <c r="A312">
        <v>309</v>
      </c>
      <c r="B312" s="15" t="s">
        <v>820</v>
      </c>
      <c r="C312" t="s">
        <v>839</v>
      </c>
      <c r="D312" s="19" t="s">
        <v>2048</v>
      </c>
      <c r="E312">
        <v>1</v>
      </c>
      <c r="F312" s="13" t="s">
        <v>841</v>
      </c>
      <c r="G312" s="11" t="s">
        <v>242</v>
      </c>
      <c r="H312" t="s">
        <v>535</v>
      </c>
      <c r="I312" t="s">
        <v>248</v>
      </c>
      <c r="O312" s="31">
        <v>1</v>
      </c>
      <c r="P312" s="34">
        <f t="shared" si="5"/>
        <v>0.5</v>
      </c>
    </row>
    <row r="313" spans="1:16">
      <c r="A313">
        <v>310</v>
      </c>
      <c r="B313" s="15" t="s">
        <v>820</v>
      </c>
      <c r="C313" t="s">
        <v>839</v>
      </c>
      <c r="D313" s="19" t="s">
        <v>2049</v>
      </c>
      <c r="E313">
        <v>1</v>
      </c>
      <c r="F313" s="13" t="s">
        <v>841</v>
      </c>
      <c r="G313" s="11" t="s">
        <v>242</v>
      </c>
      <c r="H313" t="s">
        <v>535</v>
      </c>
      <c r="I313" t="s">
        <v>248</v>
      </c>
      <c r="O313" s="31">
        <v>1</v>
      </c>
      <c r="P313" s="34">
        <f t="shared" si="5"/>
        <v>0.5</v>
      </c>
    </row>
    <row r="314" spans="1:16">
      <c r="A314">
        <v>311</v>
      </c>
      <c r="B314" s="15" t="s">
        <v>820</v>
      </c>
      <c r="C314" t="s">
        <v>850</v>
      </c>
      <c r="D314" s="19" t="s">
        <v>102</v>
      </c>
      <c r="E314">
        <v>1</v>
      </c>
      <c r="F314" s="13">
        <v>99</v>
      </c>
      <c r="G314" s="11" t="s">
        <v>46</v>
      </c>
      <c r="H314" t="s">
        <v>535</v>
      </c>
      <c r="O314" s="31">
        <v>1</v>
      </c>
      <c r="P314" s="34">
        <f t="shared" si="5"/>
        <v>0.5</v>
      </c>
    </row>
    <row r="315" spans="1:16">
      <c r="A315">
        <v>312</v>
      </c>
      <c r="B315" s="15" t="s">
        <v>820</v>
      </c>
      <c r="C315" t="s">
        <v>850</v>
      </c>
      <c r="D315" s="19" t="s">
        <v>851</v>
      </c>
      <c r="E315">
        <v>1</v>
      </c>
      <c r="F315" s="13">
        <v>99</v>
      </c>
      <c r="G315" s="11" t="s">
        <v>46</v>
      </c>
      <c r="H315" t="s">
        <v>535</v>
      </c>
      <c r="O315" s="31">
        <v>1</v>
      </c>
      <c r="P315" s="34">
        <f t="shared" si="5"/>
        <v>0.5</v>
      </c>
    </row>
    <row r="316" spans="1:16">
      <c r="A316">
        <v>313</v>
      </c>
      <c r="B316" s="15" t="s">
        <v>820</v>
      </c>
      <c r="C316" t="s">
        <v>850</v>
      </c>
      <c r="D316" s="19" t="s">
        <v>2042</v>
      </c>
      <c r="E316">
        <v>1</v>
      </c>
      <c r="F316" s="13">
        <v>99</v>
      </c>
      <c r="G316" s="11" t="s">
        <v>572</v>
      </c>
      <c r="H316" t="s">
        <v>535</v>
      </c>
      <c r="O316" s="31">
        <v>1</v>
      </c>
      <c r="P316" s="34">
        <f t="shared" si="5"/>
        <v>0.5</v>
      </c>
    </row>
    <row r="317" spans="1:16">
      <c r="A317">
        <v>314</v>
      </c>
      <c r="B317" s="15" t="s">
        <v>583</v>
      </c>
      <c r="C317" t="s">
        <v>853</v>
      </c>
      <c r="D317" s="19" t="s">
        <v>440</v>
      </c>
      <c r="E317">
        <v>1</v>
      </c>
      <c r="F317" s="13">
        <v>105</v>
      </c>
      <c r="G317" s="11" t="s">
        <v>902</v>
      </c>
      <c r="H317" t="s">
        <v>583</v>
      </c>
      <c r="O317" s="31">
        <v>1</v>
      </c>
      <c r="P317" s="34">
        <f t="shared" si="5"/>
        <v>0.5</v>
      </c>
    </row>
    <row r="318" spans="1:16">
      <c r="A318">
        <v>315</v>
      </c>
      <c r="B318" s="15" t="s">
        <v>583</v>
      </c>
      <c r="C318" t="s">
        <v>853</v>
      </c>
      <c r="D318" s="19" t="s">
        <v>854</v>
      </c>
      <c r="E318">
        <v>1</v>
      </c>
      <c r="F318" s="13">
        <v>105</v>
      </c>
      <c r="G318" s="11" t="s">
        <v>902</v>
      </c>
      <c r="H318" t="s">
        <v>583</v>
      </c>
      <c r="O318" s="31">
        <v>1</v>
      </c>
      <c r="P318" s="34">
        <f t="shared" si="5"/>
        <v>0.5</v>
      </c>
    </row>
    <row r="319" spans="1:16">
      <c r="A319">
        <v>316</v>
      </c>
      <c r="B319" s="15" t="s">
        <v>583</v>
      </c>
      <c r="C319" t="s">
        <v>853</v>
      </c>
      <c r="D319" s="19" t="s">
        <v>581</v>
      </c>
      <c r="E319">
        <v>0</v>
      </c>
      <c r="F319" s="13">
        <v>105</v>
      </c>
      <c r="G319" s="11" t="s">
        <v>203</v>
      </c>
      <c r="H319" t="s">
        <v>583</v>
      </c>
      <c r="O319" s="31">
        <v>0</v>
      </c>
      <c r="P319" s="34">
        <f t="shared" si="5"/>
        <v>0</v>
      </c>
    </row>
    <row r="320" spans="1:16">
      <c r="A320">
        <v>317</v>
      </c>
      <c r="B320" s="15" t="s">
        <v>583</v>
      </c>
      <c r="C320" t="s">
        <v>853</v>
      </c>
      <c r="D320" s="19" t="s">
        <v>586</v>
      </c>
      <c r="E320">
        <v>0</v>
      </c>
      <c r="F320" s="13">
        <v>105</v>
      </c>
      <c r="G320" s="11" t="s">
        <v>203</v>
      </c>
      <c r="H320" t="s">
        <v>583</v>
      </c>
      <c r="O320" s="31">
        <v>0</v>
      </c>
      <c r="P320" s="34">
        <f t="shared" si="5"/>
        <v>0</v>
      </c>
    </row>
    <row r="321" spans="1:16">
      <c r="A321">
        <v>318</v>
      </c>
      <c r="B321" s="15" t="s">
        <v>583</v>
      </c>
      <c r="C321" t="s">
        <v>853</v>
      </c>
      <c r="D321" s="19" t="s">
        <v>588</v>
      </c>
      <c r="E321">
        <v>1</v>
      </c>
      <c r="F321" s="13">
        <v>105</v>
      </c>
      <c r="G321" s="11" t="s">
        <v>902</v>
      </c>
      <c r="H321" t="s">
        <v>583</v>
      </c>
      <c r="O321" s="31">
        <v>1</v>
      </c>
      <c r="P321" s="34">
        <f t="shared" si="5"/>
        <v>0.5</v>
      </c>
    </row>
    <row r="322" spans="1:16">
      <c r="A322">
        <v>319</v>
      </c>
      <c r="B322" s="15" t="s">
        <v>583</v>
      </c>
      <c r="C322" t="s">
        <v>853</v>
      </c>
      <c r="D322" s="19" t="s">
        <v>2050</v>
      </c>
      <c r="E322">
        <v>1</v>
      </c>
      <c r="F322" s="13">
        <v>105</v>
      </c>
      <c r="G322" s="11" t="s">
        <v>217</v>
      </c>
      <c r="H322" t="s">
        <v>583</v>
      </c>
      <c r="O322" s="31">
        <v>1</v>
      </c>
      <c r="P322" s="34">
        <f t="shared" si="5"/>
        <v>0.5</v>
      </c>
    </row>
    <row r="323" spans="1:16">
      <c r="A323">
        <v>320</v>
      </c>
      <c r="B323" s="15" t="s">
        <v>857</v>
      </c>
      <c r="C323" t="s">
        <v>858</v>
      </c>
      <c r="D323" s="19" t="s">
        <v>859</v>
      </c>
      <c r="E323">
        <v>1</v>
      </c>
      <c r="F323" s="13">
        <v>107</v>
      </c>
      <c r="G323" s="11" t="s">
        <v>46</v>
      </c>
      <c r="H323" t="s">
        <v>390</v>
      </c>
      <c r="O323" s="31">
        <v>1</v>
      </c>
      <c r="P323" s="34">
        <f t="shared" si="5"/>
        <v>0.5</v>
      </c>
    </row>
    <row r="324" spans="1:16">
      <c r="A324">
        <v>321</v>
      </c>
      <c r="B324" s="15" t="s">
        <v>857</v>
      </c>
      <c r="C324" t="s">
        <v>858</v>
      </c>
      <c r="D324" s="19" t="s">
        <v>2051</v>
      </c>
      <c r="E324">
        <v>1</v>
      </c>
      <c r="F324" s="13">
        <v>107</v>
      </c>
      <c r="G324" s="11" t="s">
        <v>46</v>
      </c>
      <c r="H324" t="s">
        <v>390</v>
      </c>
      <c r="O324" s="31">
        <v>1</v>
      </c>
      <c r="P324" s="34">
        <f t="shared" si="5"/>
        <v>0.5</v>
      </c>
    </row>
    <row r="325" spans="1:16">
      <c r="A325">
        <v>322</v>
      </c>
      <c r="B325" s="15" t="s">
        <v>2052</v>
      </c>
      <c r="C325" t="s">
        <v>2053</v>
      </c>
      <c r="D325" s="19" t="s">
        <v>520</v>
      </c>
      <c r="E325">
        <v>1</v>
      </c>
      <c r="F325" s="13">
        <v>110</v>
      </c>
      <c r="G325" s="11" t="s">
        <v>902</v>
      </c>
      <c r="H325" t="s">
        <v>385</v>
      </c>
      <c r="O325" s="31">
        <v>3</v>
      </c>
      <c r="P325" s="34">
        <f t="shared" si="5"/>
        <v>1.5</v>
      </c>
    </row>
    <row r="326" spans="1:16">
      <c r="A326">
        <v>323</v>
      </c>
      <c r="B326" s="15" t="s">
        <v>2052</v>
      </c>
      <c r="C326" t="s">
        <v>2053</v>
      </c>
      <c r="D326" s="19" t="s">
        <v>525</v>
      </c>
      <c r="E326">
        <v>1</v>
      </c>
      <c r="F326" s="13">
        <v>110</v>
      </c>
      <c r="G326" s="11" t="s">
        <v>902</v>
      </c>
      <c r="H326" t="s">
        <v>385</v>
      </c>
      <c r="O326" s="31">
        <v>3</v>
      </c>
      <c r="P326" s="34">
        <f t="shared" si="5"/>
        <v>1.5</v>
      </c>
    </row>
    <row r="327" spans="1:16">
      <c r="A327">
        <v>324</v>
      </c>
      <c r="B327" s="15" t="s">
        <v>862</v>
      </c>
      <c r="C327" t="s">
        <v>863</v>
      </c>
      <c r="D327" s="19" t="s">
        <v>2030</v>
      </c>
      <c r="E327">
        <v>1</v>
      </c>
      <c r="F327" s="13">
        <v>111</v>
      </c>
      <c r="G327" s="11" t="s">
        <v>217</v>
      </c>
      <c r="H327" t="s">
        <v>218</v>
      </c>
      <c r="O327" s="31">
        <v>1</v>
      </c>
      <c r="P327" s="34">
        <f t="shared" si="5"/>
        <v>0.5</v>
      </c>
    </row>
    <row r="328" spans="1:16">
      <c r="A328">
        <v>325</v>
      </c>
      <c r="B328" s="15" t="s">
        <v>862</v>
      </c>
      <c r="C328" t="s">
        <v>863</v>
      </c>
      <c r="D328" s="19" t="s">
        <v>2031</v>
      </c>
      <c r="E328">
        <v>1</v>
      </c>
      <c r="F328" s="13">
        <v>111</v>
      </c>
      <c r="G328" s="11" t="s">
        <v>46</v>
      </c>
      <c r="H328" t="s">
        <v>218</v>
      </c>
      <c r="O328" s="31">
        <v>1</v>
      </c>
      <c r="P328" s="34">
        <f t="shared" si="5"/>
        <v>0.5</v>
      </c>
    </row>
    <row r="329" spans="1:16">
      <c r="A329">
        <v>326</v>
      </c>
      <c r="B329" s="15" t="s">
        <v>869</v>
      </c>
      <c r="C329" t="s">
        <v>414</v>
      </c>
      <c r="D329" s="19" t="s">
        <v>2027</v>
      </c>
      <c r="E329">
        <v>0</v>
      </c>
      <c r="F329" s="13">
        <v>113</v>
      </c>
      <c r="H329" t="s">
        <v>248</v>
      </c>
      <c r="O329" s="31" t="s">
        <v>2028</v>
      </c>
      <c r="P329" s="34" t="str">
        <f t="shared" si="5"/>
        <v/>
      </c>
    </row>
    <row r="330" spans="1:16">
      <c r="A330">
        <v>327</v>
      </c>
      <c r="B330" s="15" t="s">
        <v>869</v>
      </c>
      <c r="C330" t="s">
        <v>870</v>
      </c>
      <c r="D330" s="19" t="s">
        <v>871</v>
      </c>
      <c r="E330">
        <v>1</v>
      </c>
      <c r="F330" s="13">
        <v>113</v>
      </c>
      <c r="G330" s="11" t="s">
        <v>46</v>
      </c>
      <c r="H330" t="s">
        <v>248</v>
      </c>
      <c r="O330" s="31">
        <v>1</v>
      </c>
      <c r="P330" s="34">
        <f t="shared" si="5"/>
        <v>0.5</v>
      </c>
    </row>
    <row r="331" spans="1:16">
      <c r="A331">
        <v>328</v>
      </c>
      <c r="B331" s="15" t="s">
        <v>869</v>
      </c>
      <c r="C331" t="s">
        <v>870</v>
      </c>
      <c r="D331" s="19" t="s">
        <v>872</v>
      </c>
      <c r="E331">
        <v>1</v>
      </c>
      <c r="F331" s="13">
        <v>113</v>
      </c>
      <c r="G331" s="11" t="s">
        <v>46</v>
      </c>
      <c r="H331" t="s">
        <v>248</v>
      </c>
      <c r="O331" s="31">
        <v>1</v>
      </c>
      <c r="P331" s="34">
        <f t="shared" si="5"/>
        <v>0.5</v>
      </c>
    </row>
    <row r="332" spans="1:16">
      <c r="A332">
        <v>329</v>
      </c>
      <c r="B332" s="15" t="s">
        <v>869</v>
      </c>
      <c r="C332" t="s">
        <v>873</v>
      </c>
      <c r="D332" s="19" t="s">
        <v>874</v>
      </c>
      <c r="E332">
        <v>1</v>
      </c>
      <c r="F332" s="13">
        <v>113</v>
      </c>
      <c r="G332" s="11" t="s">
        <v>902</v>
      </c>
      <c r="H332" t="s">
        <v>248</v>
      </c>
      <c r="O332" s="31">
        <v>1</v>
      </c>
      <c r="P332" s="34">
        <f t="shared" si="5"/>
        <v>0.5</v>
      </c>
    </row>
    <row r="333" spans="1:16">
      <c r="A333">
        <v>330</v>
      </c>
      <c r="B333" s="15" t="s">
        <v>869</v>
      </c>
      <c r="C333" t="s">
        <v>876</v>
      </c>
      <c r="D333" s="19" t="s">
        <v>2054</v>
      </c>
      <c r="E333">
        <v>0</v>
      </c>
      <c r="F333" s="13">
        <v>115</v>
      </c>
      <c r="G333" s="11" t="s">
        <v>934</v>
      </c>
      <c r="H333" t="s">
        <v>248</v>
      </c>
      <c r="O333" s="31">
        <v>3</v>
      </c>
      <c r="P333" s="34">
        <f t="shared" si="5"/>
        <v>0</v>
      </c>
    </row>
    <row r="334" spans="1:16">
      <c r="A334">
        <v>331</v>
      </c>
      <c r="B334" s="15" t="s">
        <v>869</v>
      </c>
      <c r="C334" t="s">
        <v>876</v>
      </c>
      <c r="D334" s="19" t="s">
        <v>2055</v>
      </c>
      <c r="E334">
        <v>0</v>
      </c>
      <c r="F334" s="13">
        <v>115</v>
      </c>
      <c r="G334" s="11" t="s">
        <v>934</v>
      </c>
      <c r="H334" t="s">
        <v>248</v>
      </c>
      <c r="O334" s="31">
        <v>3</v>
      </c>
      <c r="P334" s="34">
        <f t="shared" si="5"/>
        <v>0</v>
      </c>
    </row>
    <row r="335" spans="1:16">
      <c r="A335">
        <v>332</v>
      </c>
      <c r="B335" s="15" t="s">
        <v>869</v>
      </c>
      <c r="C335" t="s">
        <v>876</v>
      </c>
      <c r="D335" s="19" t="s">
        <v>409</v>
      </c>
      <c r="E335">
        <v>0</v>
      </c>
      <c r="F335" s="13">
        <v>115</v>
      </c>
      <c r="G335" s="11" t="s">
        <v>203</v>
      </c>
      <c r="H335" t="s">
        <v>248</v>
      </c>
      <c r="O335" s="31">
        <v>0</v>
      </c>
      <c r="P335" s="34">
        <f t="shared" si="5"/>
        <v>0</v>
      </c>
    </row>
    <row r="336" spans="1:16">
      <c r="A336">
        <v>333</v>
      </c>
      <c r="B336" s="15" t="s">
        <v>869</v>
      </c>
      <c r="C336" t="s">
        <v>876</v>
      </c>
      <c r="D336" s="19" t="s">
        <v>878</v>
      </c>
      <c r="E336">
        <v>0</v>
      </c>
      <c r="F336" s="13">
        <v>115</v>
      </c>
      <c r="G336" s="11" t="s">
        <v>203</v>
      </c>
      <c r="H336" t="s">
        <v>248</v>
      </c>
      <c r="O336" s="31">
        <v>0</v>
      </c>
      <c r="P336" s="34">
        <f t="shared" si="5"/>
        <v>0</v>
      </c>
    </row>
    <row r="337" spans="1:16">
      <c r="A337">
        <v>334</v>
      </c>
      <c r="B337" s="15" t="s">
        <v>869</v>
      </c>
      <c r="C337" t="s">
        <v>876</v>
      </c>
      <c r="D337" s="19" t="s">
        <v>879</v>
      </c>
      <c r="E337">
        <v>0</v>
      </c>
      <c r="F337" s="13">
        <v>115</v>
      </c>
      <c r="G337" s="11" t="s">
        <v>203</v>
      </c>
      <c r="H337" t="s">
        <v>248</v>
      </c>
      <c r="O337" s="31">
        <v>0</v>
      </c>
      <c r="P337" s="34">
        <f t="shared" si="5"/>
        <v>0</v>
      </c>
    </row>
    <row r="338" spans="1:16">
      <c r="A338">
        <v>335</v>
      </c>
      <c r="B338" s="15" t="s">
        <v>869</v>
      </c>
      <c r="C338" t="s">
        <v>876</v>
      </c>
      <c r="D338" s="19" t="s">
        <v>987</v>
      </c>
      <c r="E338">
        <v>1</v>
      </c>
      <c r="F338" s="13">
        <v>115</v>
      </c>
      <c r="G338" s="11" t="s">
        <v>46</v>
      </c>
      <c r="H338" t="s">
        <v>248</v>
      </c>
      <c r="O338" s="31">
        <v>1</v>
      </c>
      <c r="P338" s="34">
        <f t="shared" si="5"/>
        <v>0.5</v>
      </c>
    </row>
    <row r="339" spans="1:16">
      <c r="A339">
        <v>336</v>
      </c>
      <c r="B339" s="15" t="s">
        <v>869</v>
      </c>
      <c r="C339" t="s">
        <v>876</v>
      </c>
      <c r="D339" s="19" t="s">
        <v>2056</v>
      </c>
      <c r="E339">
        <v>0</v>
      </c>
      <c r="F339" s="13">
        <v>115</v>
      </c>
      <c r="G339" s="11" t="s">
        <v>2057</v>
      </c>
      <c r="H339" t="s">
        <v>248</v>
      </c>
      <c r="O339" s="31">
        <v>1</v>
      </c>
      <c r="P339" s="34">
        <f t="shared" si="5"/>
        <v>0</v>
      </c>
    </row>
    <row r="340" spans="1:16">
      <c r="A340">
        <v>337</v>
      </c>
      <c r="B340" s="15" t="s">
        <v>869</v>
      </c>
      <c r="C340" t="s">
        <v>876</v>
      </c>
      <c r="D340" s="19" t="s">
        <v>2058</v>
      </c>
      <c r="E340">
        <v>0</v>
      </c>
      <c r="F340" s="13">
        <v>115</v>
      </c>
      <c r="G340" s="11" t="s">
        <v>934</v>
      </c>
      <c r="H340" t="s">
        <v>248</v>
      </c>
      <c r="O340" s="31">
        <v>3</v>
      </c>
      <c r="P340" s="34">
        <f t="shared" si="5"/>
        <v>0</v>
      </c>
    </row>
    <row r="341" spans="1:16">
      <c r="A341">
        <v>338</v>
      </c>
      <c r="B341" s="15" t="s">
        <v>869</v>
      </c>
      <c r="C341" t="s">
        <v>876</v>
      </c>
      <c r="D341" s="19" t="s">
        <v>2059</v>
      </c>
      <c r="E341">
        <v>0</v>
      </c>
      <c r="F341" s="13">
        <v>115</v>
      </c>
      <c r="G341" s="11" t="s">
        <v>2057</v>
      </c>
      <c r="H341" t="s">
        <v>248</v>
      </c>
      <c r="O341" s="31">
        <v>1</v>
      </c>
      <c r="P341" s="34">
        <f t="shared" si="5"/>
        <v>0</v>
      </c>
    </row>
    <row r="342" spans="1:16">
      <c r="A342">
        <v>339</v>
      </c>
      <c r="B342" s="15" t="s">
        <v>869</v>
      </c>
      <c r="C342" t="s">
        <v>2060</v>
      </c>
      <c r="D342" s="19" t="s">
        <v>2061</v>
      </c>
      <c r="E342">
        <v>0</v>
      </c>
      <c r="F342" s="13">
        <v>116</v>
      </c>
      <c r="G342" s="11" t="s">
        <v>934</v>
      </c>
      <c r="H342" t="s">
        <v>248</v>
      </c>
      <c r="O342" s="31">
        <v>3</v>
      </c>
      <c r="P342" s="34">
        <f t="shared" si="5"/>
        <v>0</v>
      </c>
    </row>
    <row r="343" spans="1:16">
      <c r="A343">
        <v>340</v>
      </c>
      <c r="B343" s="15" t="s">
        <v>869</v>
      </c>
      <c r="C343" t="s">
        <v>2060</v>
      </c>
      <c r="D343" s="19" t="s">
        <v>2062</v>
      </c>
      <c r="E343">
        <v>0</v>
      </c>
      <c r="F343" s="13">
        <v>116</v>
      </c>
      <c r="G343" s="11" t="s">
        <v>2057</v>
      </c>
      <c r="H343" t="s">
        <v>248</v>
      </c>
      <c r="O343" s="31">
        <v>1</v>
      </c>
      <c r="P343" s="34">
        <f t="shared" si="5"/>
        <v>0</v>
      </c>
    </row>
    <row r="344" spans="1:16">
      <c r="A344">
        <v>341</v>
      </c>
      <c r="B344" s="15" t="s">
        <v>869</v>
      </c>
      <c r="C344" t="s">
        <v>2060</v>
      </c>
      <c r="D344" s="19" t="s">
        <v>2063</v>
      </c>
      <c r="E344">
        <v>0</v>
      </c>
      <c r="F344" s="13">
        <v>116</v>
      </c>
      <c r="G344" s="11" t="s">
        <v>2057</v>
      </c>
      <c r="H344" t="s">
        <v>248</v>
      </c>
      <c r="O344" s="31">
        <v>1</v>
      </c>
      <c r="P344" s="34">
        <f t="shared" si="5"/>
        <v>0</v>
      </c>
    </row>
    <row r="345" spans="1:16">
      <c r="A345">
        <v>342</v>
      </c>
      <c r="B345" s="15" t="s">
        <v>869</v>
      </c>
      <c r="C345" t="s">
        <v>2060</v>
      </c>
      <c r="D345" s="19" t="s">
        <v>2064</v>
      </c>
      <c r="E345">
        <v>0</v>
      </c>
      <c r="F345" s="13">
        <v>116</v>
      </c>
      <c r="G345" s="11" t="s">
        <v>2057</v>
      </c>
      <c r="H345" t="s">
        <v>248</v>
      </c>
      <c r="O345" s="31">
        <v>1</v>
      </c>
      <c r="P345" s="34">
        <f t="shared" si="5"/>
        <v>0</v>
      </c>
    </row>
    <row r="346" spans="1:16">
      <c r="A346">
        <v>343</v>
      </c>
      <c r="B346" s="15" t="s">
        <v>869</v>
      </c>
      <c r="C346" t="s">
        <v>2060</v>
      </c>
      <c r="D346" s="19" t="s">
        <v>2065</v>
      </c>
      <c r="E346">
        <v>0</v>
      </c>
      <c r="F346" s="13">
        <v>116</v>
      </c>
      <c r="G346" s="11" t="s">
        <v>2057</v>
      </c>
      <c r="H346" t="s">
        <v>248</v>
      </c>
      <c r="O346" s="31">
        <v>1</v>
      </c>
      <c r="P346" s="34">
        <f t="shared" si="5"/>
        <v>0</v>
      </c>
    </row>
    <row r="347" spans="1:16">
      <c r="A347">
        <v>344</v>
      </c>
      <c r="B347" s="15" t="s">
        <v>869</v>
      </c>
      <c r="C347" t="s">
        <v>2060</v>
      </c>
      <c r="D347" s="19" t="s">
        <v>2066</v>
      </c>
      <c r="E347">
        <v>0</v>
      </c>
      <c r="F347" s="13">
        <v>116</v>
      </c>
      <c r="G347" s="11" t="s">
        <v>2057</v>
      </c>
      <c r="H347" t="s">
        <v>248</v>
      </c>
      <c r="O347" s="31">
        <v>1</v>
      </c>
      <c r="P347" s="34">
        <f t="shared" si="5"/>
        <v>0</v>
      </c>
    </row>
    <row r="348" spans="1:16">
      <c r="A348">
        <v>345</v>
      </c>
      <c r="B348" s="15" t="s">
        <v>869</v>
      </c>
      <c r="C348" t="s">
        <v>2060</v>
      </c>
      <c r="D348" s="19" t="s">
        <v>2067</v>
      </c>
      <c r="E348">
        <v>0</v>
      </c>
      <c r="F348" s="13">
        <v>116</v>
      </c>
      <c r="G348" s="11" t="s">
        <v>2057</v>
      </c>
      <c r="H348" t="s">
        <v>248</v>
      </c>
      <c r="O348" s="31">
        <v>1</v>
      </c>
      <c r="P348" s="34">
        <f t="shared" si="5"/>
        <v>0</v>
      </c>
    </row>
    <row r="349" spans="1:16">
      <c r="A349">
        <v>346</v>
      </c>
      <c r="B349" s="15" t="s">
        <v>869</v>
      </c>
      <c r="C349" t="s">
        <v>2060</v>
      </c>
      <c r="D349" s="19" t="s">
        <v>2068</v>
      </c>
      <c r="E349">
        <v>0</v>
      </c>
      <c r="F349" s="13">
        <v>116</v>
      </c>
      <c r="G349" s="11" t="s">
        <v>2057</v>
      </c>
      <c r="H349" t="s">
        <v>248</v>
      </c>
      <c r="O349" s="31">
        <v>1</v>
      </c>
      <c r="P349" s="34">
        <f t="shared" si="5"/>
        <v>0</v>
      </c>
    </row>
    <row r="350" spans="1:16">
      <c r="A350">
        <v>347</v>
      </c>
      <c r="B350" s="15" t="s">
        <v>869</v>
      </c>
      <c r="C350" t="s">
        <v>2060</v>
      </c>
      <c r="D350" s="19" t="s">
        <v>2069</v>
      </c>
      <c r="E350">
        <v>0</v>
      </c>
      <c r="F350" s="13">
        <v>116</v>
      </c>
      <c r="G350" s="11" t="s">
        <v>2057</v>
      </c>
      <c r="H350" t="s">
        <v>248</v>
      </c>
      <c r="O350" s="31">
        <v>1</v>
      </c>
      <c r="P350" s="34">
        <f t="shared" si="5"/>
        <v>0</v>
      </c>
    </row>
    <row r="351" spans="1:16">
      <c r="A351">
        <v>348</v>
      </c>
      <c r="B351" s="15" t="s">
        <v>869</v>
      </c>
      <c r="C351" t="s">
        <v>2060</v>
      </c>
      <c r="D351" s="19" t="s">
        <v>2070</v>
      </c>
      <c r="E351">
        <v>0</v>
      </c>
      <c r="F351" s="13">
        <v>116</v>
      </c>
      <c r="G351" s="11" t="s">
        <v>2057</v>
      </c>
      <c r="H351" t="s">
        <v>248</v>
      </c>
      <c r="O351" s="31">
        <v>1</v>
      </c>
      <c r="P351" s="34">
        <f t="shared" si="5"/>
        <v>0</v>
      </c>
    </row>
    <row r="352" spans="1:16">
      <c r="A352">
        <v>349</v>
      </c>
      <c r="B352" s="15" t="s">
        <v>869</v>
      </c>
      <c r="C352" t="s">
        <v>2060</v>
      </c>
      <c r="D352" s="19" t="s">
        <v>2071</v>
      </c>
      <c r="E352">
        <v>0</v>
      </c>
      <c r="F352" s="13">
        <v>116</v>
      </c>
      <c r="G352" s="11" t="s">
        <v>2057</v>
      </c>
      <c r="H352" t="s">
        <v>248</v>
      </c>
      <c r="O352" s="31">
        <v>1</v>
      </c>
      <c r="P352" s="34">
        <f t="shared" si="5"/>
        <v>0</v>
      </c>
    </row>
    <row r="353" spans="1:16">
      <c r="A353">
        <v>350</v>
      </c>
      <c r="B353" s="15" t="s">
        <v>869</v>
      </c>
      <c r="C353" t="s">
        <v>2060</v>
      </c>
      <c r="D353" s="19" t="s">
        <v>2072</v>
      </c>
      <c r="E353">
        <v>0</v>
      </c>
      <c r="F353" s="13">
        <v>116</v>
      </c>
      <c r="G353" s="11" t="s">
        <v>2057</v>
      </c>
      <c r="H353" t="s">
        <v>248</v>
      </c>
      <c r="O353" s="31">
        <v>1</v>
      </c>
      <c r="P353" s="34">
        <f t="shared" si="5"/>
        <v>0</v>
      </c>
    </row>
    <row r="354" spans="1:16">
      <c r="A354">
        <v>351</v>
      </c>
      <c r="B354" s="15" t="s">
        <v>869</v>
      </c>
      <c r="C354" t="s">
        <v>2060</v>
      </c>
      <c r="D354" s="19" t="s">
        <v>2073</v>
      </c>
      <c r="E354">
        <v>0</v>
      </c>
      <c r="F354" s="13">
        <v>116</v>
      </c>
      <c r="G354" s="11" t="s">
        <v>2057</v>
      </c>
      <c r="H354" t="s">
        <v>248</v>
      </c>
      <c r="O354" s="31">
        <v>1</v>
      </c>
      <c r="P354" s="34">
        <f t="shared" si="5"/>
        <v>0</v>
      </c>
    </row>
    <row r="355" spans="1:16">
      <c r="A355">
        <v>352</v>
      </c>
      <c r="B355" s="15" t="s">
        <v>869</v>
      </c>
      <c r="C355" t="s">
        <v>2060</v>
      </c>
      <c r="D355" s="19" t="s">
        <v>2074</v>
      </c>
      <c r="E355">
        <v>0</v>
      </c>
      <c r="F355" s="13">
        <v>116</v>
      </c>
      <c r="G355" s="11" t="s">
        <v>2057</v>
      </c>
      <c r="H355" t="s">
        <v>248</v>
      </c>
      <c r="O355" s="31">
        <v>1</v>
      </c>
      <c r="P355" s="34">
        <f t="shared" si="5"/>
        <v>0</v>
      </c>
    </row>
    <row r="356" spans="1:16">
      <c r="A356">
        <v>353</v>
      </c>
      <c r="B356" s="15" t="s">
        <v>869</v>
      </c>
      <c r="C356" t="s">
        <v>2060</v>
      </c>
      <c r="D356" s="19" t="s">
        <v>2075</v>
      </c>
      <c r="E356">
        <v>0</v>
      </c>
      <c r="F356" s="13">
        <v>116</v>
      </c>
      <c r="G356" s="11" t="s">
        <v>2057</v>
      </c>
      <c r="H356" t="s">
        <v>248</v>
      </c>
      <c r="O356" s="31">
        <v>1</v>
      </c>
      <c r="P356" s="34">
        <f t="shared" si="5"/>
        <v>0</v>
      </c>
    </row>
    <row r="357" spans="1:16">
      <c r="A357">
        <v>354</v>
      </c>
      <c r="B357" s="15" t="s">
        <v>869</v>
      </c>
      <c r="C357" t="s">
        <v>2060</v>
      </c>
      <c r="D357" s="19" t="s">
        <v>2076</v>
      </c>
      <c r="E357">
        <v>0</v>
      </c>
      <c r="F357" s="13">
        <v>116</v>
      </c>
      <c r="G357" s="11" t="s">
        <v>2057</v>
      </c>
      <c r="H357" t="s">
        <v>248</v>
      </c>
      <c r="O357" s="31">
        <v>1</v>
      </c>
      <c r="P357" s="34">
        <f t="shared" si="5"/>
        <v>0</v>
      </c>
    </row>
    <row r="358" spans="1:16">
      <c r="A358">
        <v>355</v>
      </c>
      <c r="B358" s="15" t="s">
        <v>869</v>
      </c>
      <c r="C358" t="s">
        <v>2077</v>
      </c>
      <c r="D358" s="19" t="s">
        <v>2078</v>
      </c>
      <c r="E358">
        <v>0</v>
      </c>
      <c r="F358" s="13">
        <v>117</v>
      </c>
      <c r="G358" s="11" t="s">
        <v>934</v>
      </c>
      <c r="H358" t="s">
        <v>248</v>
      </c>
      <c r="O358" s="31">
        <v>3</v>
      </c>
      <c r="P358" s="34">
        <f t="shared" si="5"/>
        <v>0</v>
      </c>
    </row>
    <row r="359" spans="1:16">
      <c r="A359">
        <v>356</v>
      </c>
      <c r="B359" s="15" t="s">
        <v>869</v>
      </c>
      <c r="C359" t="s">
        <v>2077</v>
      </c>
      <c r="D359" s="19" t="s">
        <v>2079</v>
      </c>
      <c r="E359">
        <v>0</v>
      </c>
      <c r="F359" s="13">
        <v>117</v>
      </c>
      <c r="G359" s="11" t="s">
        <v>934</v>
      </c>
      <c r="H359" t="s">
        <v>248</v>
      </c>
      <c r="O359" s="31">
        <v>3</v>
      </c>
      <c r="P359" s="34">
        <f t="shared" si="5"/>
        <v>0</v>
      </c>
    </row>
    <row r="360" spans="1:16">
      <c r="A360">
        <v>357</v>
      </c>
      <c r="B360" s="15" t="s">
        <v>869</v>
      </c>
      <c r="C360" t="s">
        <v>2077</v>
      </c>
      <c r="D360" s="19" t="s">
        <v>2080</v>
      </c>
      <c r="E360">
        <v>0</v>
      </c>
      <c r="F360" s="13">
        <v>117</v>
      </c>
      <c r="G360" s="11" t="s">
        <v>934</v>
      </c>
      <c r="H360" t="s">
        <v>248</v>
      </c>
      <c r="O360" s="31">
        <v>3</v>
      </c>
      <c r="P360" s="34">
        <f t="shared" si="5"/>
        <v>0</v>
      </c>
    </row>
    <row r="361" spans="1:16">
      <c r="A361">
        <v>358</v>
      </c>
      <c r="B361" s="15" t="s">
        <v>869</v>
      </c>
      <c r="C361" t="s">
        <v>2077</v>
      </c>
      <c r="D361" s="19" t="s">
        <v>2081</v>
      </c>
      <c r="E361">
        <v>0</v>
      </c>
      <c r="F361" s="13">
        <v>117</v>
      </c>
      <c r="G361" s="11" t="s">
        <v>934</v>
      </c>
      <c r="H361" t="s">
        <v>248</v>
      </c>
      <c r="O361" s="31">
        <v>3</v>
      </c>
      <c r="P361" s="34">
        <f t="shared" si="5"/>
        <v>0</v>
      </c>
    </row>
    <row r="362" spans="1:16">
      <c r="A362">
        <v>359</v>
      </c>
      <c r="B362" s="15" t="s">
        <v>869</v>
      </c>
      <c r="C362" t="s">
        <v>2077</v>
      </c>
      <c r="D362" s="19" t="s">
        <v>2082</v>
      </c>
      <c r="E362">
        <v>0</v>
      </c>
      <c r="F362" s="13">
        <v>117</v>
      </c>
      <c r="G362" s="11" t="s">
        <v>934</v>
      </c>
      <c r="H362" t="s">
        <v>248</v>
      </c>
      <c r="O362" s="31">
        <v>3</v>
      </c>
      <c r="P362" s="34">
        <f t="shared" si="5"/>
        <v>0</v>
      </c>
    </row>
    <row r="363" spans="1:16">
      <c r="A363">
        <v>360</v>
      </c>
      <c r="B363" s="15" t="s">
        <v>869</v>
      </c>
      <c r="C363" t="s">
        <v>2077</v>
      </c>
      <c r="D363" s="19" t="s">
        <v>2083</v>
      </c>
      <c r="E363">
        <v>0</v>
      </c>
      <c r="F363" s="13">
        <v>117</v>
      </c>
      <c r="G363" s="11" t="s">
        <v>934</v>
      </c>
      <c r="H363" t="s">
        <v>248</v>
      </c>
      <c r="O363" s="31">
        <v>3</v>
      </c>
      <c r="P363" s="34">
        <f t="shared" si="5"/>
        <v>0</v>
      </c>
    </row>
    <row r="364" spans="1:16">
      <c r="A364">
        <v>361</v>
      </c>
      <c r="B364" s="15" t="s">
        <v>869</v>
      </c>
      <c r="C364" t="s">
        <v>2077</v>
      </c>
      <c r="D364" s="19" t="s">
        <v>2084</v>
      </c>
      <c r="E364">
        <v>0</v>
      </c>
      <c r="F364" s="13">
        <v>117</v>
      </c>
      <c r="G364" s="11" t="s">
        <v>934</v>
      </c>
      <c r="H364" t="s">
        <v>248</v>
      </c>
      <c r="O364" s="31">
        <v>3</v>
      </c>
      <c r="P364" s="34">
        <f t="shared" si="5"/>
        <v>0</v>
      </c>
    </row>
    <row r="365" spans="1:16">
      <c r="A365">
        <v>362</v>
      </c>
      <c r="B365" s="15" t="s">
        <v>869</v>
      </c>
      <c r="C365" t="s">
        <v>2077</v>
      </c>
      <c r="D365" s="19" t="s">
        <v>2085</v>
      </c>
      <c r="E365">
        <v>0</v>
      </c>
      <c r="F365" s="13">
        <v>117</v>
      </c>
      <c r="G365" s="11" t="s">
        <v>934</v>
      </c>
      <c r="H365" t="s">
        <v>248</v>
      </c>
      <c r="O365" s="31">
        <v>3</v>
      </c>
      <c r="P365" s="34">
        <f t="shared" si="5"/>
        <v>0</v>
      </c>
    </row>
    <row r="366" spans="1:16">
      <c r="A366">
        <v>363</v>
      </c>
      <c r="B366" s="15" t="s">
        <v>869</v>
      </c>
      <c r="C366" t="s">
        <v>2077</v>
      </c>
      <c r="D366" s="19" t="s">
        <v>2086</v>
      </c>
      <c r="E366">
        <v>0</v>
      </c>
      <c r="F366" s="13">
        <v>117</v>
      </c>
      <c r="G366" s="11" t="s">
        <v>934</v>
      </c>
      <c r="H366" t="s">
        <v>248</v>
      </c>
      <c r="O366" s="31">
        <v>3</v>
      </c>
      <c r="P366" s="34">
        <f t="shared" si="5"/>
        <v>0</v>
      </c>
    </row>
    <row r="367" spans="1:16">
      <c r="A367">
        <v>364</v>
      </c>
      <c r="B367" s="15" t="s">
        <v>869</v>
      </c>
      <c r="C367" t="s">
        <v>2077</v>
      </c>
      <c r="D367" s="19" t="s">
        <v>2087</v>
      </c>
      <c r="E367">
        <v>0</v>
      </c>
      <c r="F367" s="13">
        <v>117</v>
      </c>
      <c r="G367" s="11" t="s">
        <v>934</v>
      </c>
      <c r="H367" t="s">
        <v>248</v>
      </c>
      <c r="O367" s="31">
        <v>3</v>
      </c>
      <c r="P367" s="34">
        <f t="shared" si="5"/>
        <v>0</v>
      </c>
    </row>
    <row r="368" spans="1:16">
      <c r="A368">
        <v>365</v>
      </c>
      <c r="B368" s="15" t="s">
        <v>869</v>
      </c>
      <c r="C368" t="s">
        <v>2077</v>
      </c>
      <c r="D368" s="19" t="s">
        <v>2088</v>
      </c>
      <c r="E368">
        <v>0</v>
      </c>
      <c r="F368" s="13">
        <v>117</v>
      </c>
      <c r="G368" s="11" t="s">
        <v>934</v>
      </c>
      <c r="H368" t="s">
        <v>248</v>
      </c>
      <c r="O368" s="31">
        <v>3</v>
      </c>
      <c r="P368" s="34">
        <f t="shared" si="5"/>
        <v>0</v>
      </c>
    </row>
    <row r="369" spans="1:16">
      <c r="A369">
        <v>366</v>
      </c>
      <c r="B369" s="15" t="s">
        <v>869</v>
      </c>
      <c r="C369" t="s">
        <v>2077</v>
      </c>
      <c r="D369" s="19" t="s">
        <v>2089</v>
      </c>
      <c r="E369">
        <v>0</v>
      </c>
      <c r="F369" s="13">
        <v>117</v>
      </c>
      <c r="G369" s="11" t="s">
        <v>934</v>
      </c>
      <c r="H369" t="s">
        <v>248</v>
      </c>
      <c r="O369" s="31">
        <v>3</v>
      </c>
      <c r="P369" s="34">
        <f t="shared" si="5"/>
        <v>0</v>
      </c>
    </row>
    <row r="370" spans="1:16">
      <c r="A370">
        <v>367</v>
      </c>
      <c r="B370" s="15" t="s">
        <v>869</v>
      </c>
      <c r="C370" t="s">
        <v>2077</v>
      </c>
      <c r="D370" s="19" t="s">
        <v>2090</v>
      </c>
      <c r="E370">
        <v>0</v>
      </c>
      <c r="F370" s="13">
        <v>117</v>
      </c>
      <c r="G370" s="11" t="s">
        <v>934</v>
      </c>
      <c r="H370" t="s">
        <v>248</v>
      </c>
      <c r="O370" s="31">
        <v>3</v>
      </c>
      <c r="P370" s="34">
        <f t="shared" si="5"/>
        <v>0</v>
      </c>
    </row>
    <row r="371" spans="1:16">
      <c r="A371">
        <v>368</v>
      </c>
      <c r="B371" s="15" t="s">
        <v>869</v>
      </c>
      <c r="C371" t="s">
        <v>2077</v>
      </c>
      <c r="D371" s="19" t="s">
        <v>2091</v>
      </c>
      <c r="E371">
        <v>0</v>
      </c>
      <c r="F371" s="13">
        <v>117</v>
      </c>
      <c r="G371" s="11" t="s">
        <v>934</v>
      </c>
      <c r="H371" t="s">
        <v>248</v>
      </c>
      <c r="O371" s="31">
        <v>3</v>
      </c>
      <c r="P371" s="34">
        <f t="shared" si="5"/>
        <v>0</v>
      </c>
    </row>
    <row r="372" spans="1:16">
      <c r="A372">
        <v>369</v>
      </c>
      <c r="B372" s="15" t="s">
        <v>869</v>
      </c>
      <c r="C372" t="s">
        <v>2092</v>
      </c>
      <c r="D372" s="19" t="s">
        <v>2093</v>
      </c>
      <c r="E372">
        <v>0</v>
      </c>
      <c r="F372" s="13">
        <v>117</v>
      </c>
      <c r="G372" s="11" t="s">
        <v>2094</v>
      </c>
      <c r="H372" t="s">
        <v>248</v>
      </c>
      <c r="O372" s="31">
        <v>0</v>
      </c>
      <c r="P372" s="34">
        <f t="shared" si="5"/>
        <v>0</v>
      </c>
    </row>
    <row r="373" spans="1:16">
      <c r="A373">
        <v>370</v>
      </c>
      <c r="B373" s="15" t="s">
        <v>869</v>
      </c>
      <c r="C373" t="s">
        <v>2092</v>
      </c>
      <c r="D373" s="19" t="s">
        <v>2095</v>
      </c>
      <c r="E373">
        <v>0</v>
      </c>
      <c r="F373" s="13">
        <v>117</v>
      </c>
      <c r="G373" s="11" t="s">
        <v>2094</v>
      </c>
      <c r="H373" t="s">
        <v>248</v>
      </c>
      <c r="O373" s="31">
        <v>0</v>
      </c>
      <c r="P373" s="34">
        <f t="shared" si="5"/>
        <v>0</v>
      </c>
    </row>
    <row r="374" spans="1:16">
      <c r="A374">
        <v>371</v>
      </c>
      <c r="B374" s="15" t="s">
        <v>869</v>
      </c>
      <c r="C374" t="s">
        <v>2092</v>
      </c>
      <c r="D374" s="19" t="s">
        <v>2096</v>
      </c>
      <c r="E374">
        <v>0</v>
      </c>
      <c r="F374" s="13">
        <v>117</v>
      </c>
      <c r="G374" s="11" t="s">
        <v>2094</v>
      </c>
      <c r="H374" t="s">
        <v>248</v>
      </c>
      <c r="O374" s="31">
        <v>0</v>
      </c>
      <c r="P374" s="34">
        <f t="shared" si="5"/>
        <v>0</v>
      </c>
    </row>
    <row r="375" spans="1:16">
      <c r="A375">
        <v>372</v>
      </c>
      <c r="B375" s="15" t="s">
        <v>869</v>
      </c>
      <c r="C375" t="s">
        <v>2092</v>
      </c>
      <c r="D375" s="19" t="s">
        <v>2097</v>
      </c>
      <c r="E375">
        <v>0</v>
      </c>
      <c r="F375" s="13">
        <v>117</v>
      </c>
      <c r="G375" s="11" t="s">
        <v>2094</v>
      </c>
      <c r="H375" t="s">
        <v>248</v>
      </c>
      <c r="O375" s="31">
        <v>0</v>
      </c>
      <c r="P375" s="34">
        <f t="shared" si="5"/>
        <v>0</v>
      </c>
    </row>
    <row r="376" spans="1:16">
      <c r="A376">
        <v>373</v>
      </c>
      <c r="B376" s="15" t="s">
        <v>869</v>
      </c>
      <c r="C376" t="s">
        <v>2092</v>
      </c>
      <c r="D376" s="19" t="s">
        <v>2098</v>
      </c>
      <c r="E376">
        <v>0</v>
      </c>
      <c r="F376" s="13">
        <v>117</v>
      </c>
      <c r="G376" s="11" t="s">
        <v>2094</v>
      </c>
      <c r="H376" t="s">
        <v>248</v>
      </c>
      <c r="O376" s="31">
        <v>0</v>
      </c>
      <c r="P376" s="34">
        <f t="shared" si="5"/>
        <v>0</v>
      </c>
    </row>
    <row r="377" spans="1:16">
      <c r="A377">
        <v>374</v>
      </c>
      <c r="B377" s="15" t="s">
        <v>869</v>
      </c>
      <c r="C377" t="s">
        <v>2092</v>
      </c>
      <c r="D377" s="19" t="s">
        <v>2099</v>
      </c>
      <c r="E377">
        <v>0</v>
      </c>
      <c r="F377" s="13">
        <v>117</v>
      </c>
      <c r="G377" s="11" t="s">
        <v>2094</v>
      </c>
      <c r="H377" t="s">
        <v>248</v>
      </c>
      <c r="O377" s="31">
        <v>0</v>
      </c>
      <c r="P377" s="34">
        <f t="shared" si="5"/>
        <v>0</v>
      </c>
    </row>
    <row r="378" spans="1:16">
      <c r="A378">
        <v>375</v>
      </c>
      <c r="B378" s="15" t="s">
        <v>869</v>
      </c>
      <c r="C378" t="s">
        <v>2092</v>
      </c>
      <c r="D378" s="19" t="s">
        <v>2100</v>
      </c>
      <c r="E378">
        <v>0</v>
      </c>
      <c r="F378" s="13">
        <v>117</v>
      </c>
      <c r="G378" s="11" t="s">
        <v>2094</v>
      </c>
      <c r="H378" t="s">
        <v>248</v>
      </c>
      <c r="O378" s="31">
        <v>0</v>
      </c>
      <c r="P378" s="34">
        <f t="shared" si="5"/>
        <v>0</v>
      </c>
    </row>
    <row r="379" spans="1:16">
      <c r="A379">
        <v>376</v>
      </c>
      <c r="B379" s="15" t="s">
        <v>869</v>
      </c>
      <c r="C379" t="s">
        <v>2092</v>
      </c>
      <c r="D379" s="19" t="s">
        <v>2101</v>
      </c>
      <c r="E379">
        <v>0</v>
      </c>
      <c r="F379" s="13">
        <v>117</v>
      </c>
      <c r="G379" s="11" t="s">
        <v>2094</v>
      </c>
      <c r="H379" t="s">
        <v>248</v>
      </c>
      <c r="O379" s="31">
        <v>0</v>
      </c>
      <c r="P379" s="34">
        <f t="shared" si="5"/>
        <v>0</v>
      </c>
    </row>
    <row r="380" spans="1:16">
      <c r="A380">
        <v>377</v>
      </c>
      <c r="B380" s="15" t="s">
        <v>869</v>
      </c>
      <c r="C380" t="s">
        <v>2092</v>
      </c>
      <c r="D380" s="19" t="s">
        <v>2102</v>
      </c>
      <c r="E380">
        <v>0</v>
      </c>
      <c r="F380" s="13">
        <v>117</v>
      </c>
      <c r="G380" s="11" t="s">
        <v>2094</v>
      </c>
      <c r="H380" t="s">
        <v>248</v>
      </c>
      <c r="O380" s="31">
        <v>0</v>
      </c>
      <c r="P380" s="34">
        <f t="shared" si="5"/>
        <v>0</v>
      </c>
    </row>
    <row r="381" spans="1:16">
      <c r="A381">
        <v>378</v>
      </c>
      <c r="B381" s="15" t="s">
        <v>869</v>
      </c>
      <c r="C381" t="s">
        <v>2092</v>
      </c>
      <c r="D381" s="19" t="s">
        <v>2103</v>
      </c>
      <c r="E381">
        <v>0</v>
      </c>
      <c r="F381" s="13">
        <v>117</v>
      </c>
      <c r="G381" s="11" t="s">
        <v>2094</v>
      </c>
      <c r="H381" t="s">
        <v>248</v>
      </c>
      <c r="O381" s="31">
        <v>0</v>
      </c>
      <c r="P381" s="34">
        <f t="shared" si="5"/>
        <v>0</v>
      </c>
    </row>
    <row r="382" spans="1:16">
      <c r="A382">
        <v>379</v>
      </c>
      <c r="B382" s="15" t="s">
        <v>869</v>
      </c>
      <c r="C382" t="s">
        <v>2092</v>
      </c>
      <c r="D382" s="19" t="s">
        <v>2104</v>
      </c>
      <c r="E382">
        <v>0</v>
      </c>
      <c r="F382" s="13">
        <v>117</v>
      </c>
      <c r="G382" s="11" t="s">
        <v>2094</v>
      </c>
      <c r="H382" t="s">
        <v>248</v>
      </c>
      <c r="O382" s="31">
        <v>0</v>
      </c>
      <c r="P382" s="34">
        <f t="shared" si="5"/>
        <v>0</v>
      </c>
    </row>
    <row r="383" spans="1:16">
      <c r="A383">
        <v>380</v>
      </c>
      <c r="B383" s="15" t="s">
        <v>869</v>
      </c>
      <c r="C383" t="s">
        <v>2092</v>
      </c>
      <c r="D383" s="19" t="s">
        <v>2105</v>
      </c>
      <c r="E383">
        <v>0</v>
      </c>
      <c r="F383" s="13">
        <v>117</v>
      </c>
      <c r="G383" s="11" t="s">
        <v>2094</v>
      </c>
      <c r="H383" t="s">
        <v>248</v>
      </c>
      <c r="O383" s="31">
        <v>0</v>
      </c>
      <c r="P383" s="34">
        <f t="shared" si="5"/>
        <v>0</v>
      </c>
    </row>
    <row r="384" spans="1:16">
      <c r="A384">
        <v>381</v>
      </c>
      <c r="B384" s="15" t="s">
        <v>869</v>
      </c>
      <c r="C384" t="s">
        <v>2092</v>
      </c>
      <c r="D384" s="19" t="s">
        <v>2106</v>
      </c>
      <c r="E384">
        <v>0</v>
      </c>
      <c r="F384" s="13">
        <v>117</v>
      </c>
      <c r="G384" s="11" t="s">
        <v>2094</v>
      </c>
      <c r="H384" t="s">
        <v>248</v>
      </c>
      <c r="O384" s="31">
        <v>0</v>
      </c>
      <c r="P384" s="34">
        <f t="shared" si="5"/>
        <v>0</v>
      </c>
    </row>
    <row r="385" spans="1:16">
      <c r="A385">
        <v>382</v>
      </c>
      <c r="B385" s="15" t="s">
        <v>869</v>
      </c>
      <c r="C385" t="s">
        <v>2092</v>
      </c>
      <c r="D385" s="19" t="s">
        <v>2107</v>
      </c>
      <c r="E385">
        <v>0</v>
      </c>
      <c r="F385" s="13">
        <v>117</v>
      </c>
      <c r="G385" s="11" t="s">
        <v>2094</v>
      </c>
      <c r="H385" t="s">
        <v>248</v>
      </c>
      <c r="O385" s="31">
        <v>0</v>
      </c>
      <c r="P385" s="34">
        <f t="shared" si="5"/>
        <v>0</v>
      </c>
    </row>
    <row r="386" spans="1:16">
      <c r="A386">
        <v>383</v>
      </c>
      <c r="B386" s="15" t="s">
        <v>869</v>
      </c>
      <c r="C386" t="s">
        <v>2092</v>
      </c>
      <c r="D386" s="19" t="s">
        <v>2108</v>
      </c>
      <c r="E386">
        <v>0</v>
      </c>
      <c r="F386" s="13">
        <v>117</v>
      </c>
      <c r="G386" s="11" t="s">
        <v>2094</v>
      </c>
      <c r="H386" t="s">
        <v>248</v>
      </c>
      <c r="O386" s="31">
        <v>0</v>
      </c>
      <c r="P386" s="34">
        <f t="shared" si="5"/>
        <v>0</v>
      </c>
    </row>
    <row r="387" spans="1:16">
      <c r="A387">
        <v>384</v>
      </c>
      <c r="B387" s="15" t="s">
        <v>869</v>
      </c>
      <c r="C387" t="s">
        <v>2092</v>
      </c>
      <c r="D387" s="19" t="s">
        <v>2109</v>
      </c>
      <c r="E387">
        <v>0</v>
      </c>
      <c r="F387" s="13">
        <v>117</v>
      </c>
      <c r="G387" s="11" t="s">
        <v>2094</v>
      </c>
      <c r="H387" t="s">
        <v>248</v>
      </c>
      <c r="O387" s="31">
        <v>0</v>
      </c>
      <c r="P387" s="34">
        <f t="shared" si="5"/>
        <v>0</v>
      </c>
    </row>
    <row r="388" spans="1:16">
      <c r="A388">
        <v>385</v>
      </c>
      <c r="B388" s="15" t="s">
        <v>869</v>
      </c>
      <c r="C388" t="s">
        <v>2092</v>
      </c>
      <c r="D388" s="19" t="s">
        <v>2110</v>
      </c>
      <c r="E388">
        <v>0</v>
      </c>
      <c r="F388" s="13">
        <v>117</v>
      </c>
      <c r="G388" s="11" t="s">
        <v>2094</v>
      </c>
      <c r="H388" t="s">
        <v>248</v>
      </c>
      <c r="O388" s="31">
        <v>0</v>
      </c>
      <c r="P388" s="34">
        <f t="shared" si="5"/>
        <v>0</v>
      </c>
    </row>
    <row r="389" spans="1:16">
      <c r="A389">
        <v>386</v>
      </c>
      <c r="B389" s="15" t="s">
        <v>869</v>
      </c>
      <c r="C389" t="s">
        <v>2092</v>
      </c>
      <c r="D389" s="19" t="s">
        <v>2111</v>
      </c>
      <c r="E389">
        <v>0</v>
      </c>
      <c r="F389" s="13">
        <v>117</v>
      </c>
      <c r="G389" s="11" t="s">
        <v>2094</v>
      </c>
      <c r="H389" t="s">
        <v>248</v>
      </c>
      <c r="O389" s="31">
        <v>0</v>
      </c>
      <c r="P389" s="34">
        <f t="shared" si="5"/>
        <v>0</v>
      </c>
    </row>
    <row r="390" spans="1:16">
      <c r="A390">
        <v>387</v>
      </c>
      <c r="B390" s="15" t="s">
        <v>869</v>
      </c>
      <c r="C390" t="s">
        <v>2092</v>
      </c>
      <c r="D390" s="19" t="s">
        <v>2112</v>
      </c>
      <c r="E390">
        <v>0</v>
      </c>
      <c r="F390" s="13">
        <v>117</v>
      </c>
      <c r="G390" s="11" t="s">
        <v>2094</v>
      </c>
      <c r="H390" t="s">
        <v>248</v>
      </c>
      <c r="O390" s="31">
        <v>0</v>
      </c>
      <c r="P390" s="34">
        <f t="shared" si="5"/>
        <v>0</v>
      </c>
    </row>
    <row r="391" spans="1:16">
      <c r="A391">
        <v>388</v>
      </c>
      <c r="B391" s="15" t="s">
        <v>869</v>
      </c>
      <c r="C391" t="s">
        <v>2092</v>
      </c>
      <c r="D391" s="19" t="s">
        <v>2113</v>
      </c>
      <c r="E391">
        <v>0</v>
      </c>
      <c r="F391" s="13">
        <v>117</v>
      </c>
      <c r="G391" s="11" t="s">
        <v>2094</v>
      </c>
      <c r="H391" t="s">
        <v>248</v>
      </c>
      <c r="O391" s="31">
        <v>0</v>
      </c>
      <c r="P391" s="34">
        <f t="shared" si="5"/>
        <v>0</v>
      </c>
    </row>
    <row r="392" spans="1:16">
      <c r="A392">
        <v>389</v>
      </c>
      <c r="B392" s="15" t="s">
        <v>869</v>
      </c>
      <c r="C392" t="s">
        <v>2092</v>
      </c>
      <c r="D392" s="19" t="s">
        <v>2114</v>
      </c>
      <c r="E392">
        <v>0</v>
      </c>
      <c r="F392" s="13">
        <v>117</v>
      </c>
      <c r="G392" s="11" t="s">
        <v>2094</v>
      </c>
      <c r="H392" t="s">
        <v>248</v>
      </c>
      <c r="O392" s="31">
        <v>0</v>
      </c>
      <c r="P392" s="34">
        <f t="shared" si="5"/>
        <v>0</v>
      </c>
    </row>
    <row r="393" spans="1:16">
      <c r="A393">
        <v>390</v>
      </c>
      <c r="B393" s="15" t="s">
        <v>869</v>
      </c>
      <c r="C393" t="s">
        <v>2092</v>
      </c>
      <c r="D393" s="19" t="s">
        <v>2115</v>
      </c>
      <c r="E393">
        <v>0</v>
      </c>
      <c r="F393" s="13">
        <v>117</v>
      </c>
      <c r="G393" s="11" t="s">
        <v>2094</v>
      </c>
      <c r="H393" t="s">
        <v>248</v>
      </c>
      <c r="O393" s="31">
        <v>0</v>
      </c>
      <c r="P393" s="34">
        <f t="shared" si="5"/>
        <v>0</v>
      </c>
    </row>
    <row r="394" spans="1:16">
      <c r="A394">
        <v>391</v>
      </c>
      <c r="B394" s="15" t="s">
        <v>869</v>
      </c>
      <c r="C394" t="s">
        <v>2092</v>
      </c>
      <c r="D394" s="19" t="s">
        <v>2116</v>
      </c>
      <c r="E394">
        <v>0</v>
      </c>
      <c r="F394" s="13">
        <v>117</v>
      </c>
      <c r="G394" s="11" t="s">
        <v>2094</v>
      </c>
      <c r="H394" t="s">
        <v>248</v>
      </c>
      <c r="O394" s="31">
        <v>0</v>
      </c>
      <c r="P394" s="34">
        <f t="shared" si="5"/>
        <v>0</v>
      </c>
    </row>
    <row r="395" spans="1:16">
      <c r="A395">
        <v>392</v>
      </c>
      <c r="B395" s="15" t="s">
        <v>869</v>
      </c>
      <c r="C395" t="s">
        <v>2092</v>
      </c>
      <c r="D395" s="19" t="s">
        <v>2117</v>
      </c>
      <c r="E395">
        <v>0</v>
      </c>
      <c r="F395" s="13">
        <v>117</v>
      </c>
      <c r="G395" s="11" t="s">
        <v>2094</v>
      </c>
      <c r="H395" t="s">
        <v>248</v>
      </c>
      <c r="O395" s="31">
        <v>0</v>
      </c>
      <c r="P395" s="34">
        <f t="shared" si="5"/>
        <v>0</v>
      </c>
    </row>
    <row r="396" spans="1:16">
      <c r="A396">
        <v>393</v>
      </c>
      <c r="B396" s="15" t="s">
        <v>869</v>
      </c>
      <c r="C396" t="s">
        <v>2092</v>
      </c>
      <c r="D396" s="19" t="s">
        <v>2118</v>
      </c>
      <c r="E396">
        <v>0</v>
      </c>
      <c r="F396" s="13">
        <v>117</v>
      </c>
      <c r="G396" s="11" t="s">
        <v>2094</v>
      </c>
      <c r="H396" t="s">
        <v>248</v>
      </c>
      <c r="O396" s="31">
        <v>0</v>
      </c>
      <c r="P396" s="34">
        <f t="shared" si="5"/>
        <v>0</v>
      </c>
    </row>
    <row r="397" spans="1:16">
      <c r="A397">
        <v>394</v>
      </c>
      <c r="B397" s="15" t="s">
        <v>869</v>
      </c>
      <c r="C397" t="s">
        <v>2119</v>
      </c>
      <c r="D397" s="19" t="s">
        <v>2120</v>
      </c>
      <c r="E397">
        <v>0</v>
      </c>
      <c r="F397" s="13">
        <v>117</v>
      </c>
      <c r="G397" s="11" t="s">
        <v>2094</v>
      </c>
      <c r="H397" t="s">
        <v>248</v>
      </c>
      <c r="O397" s="31">
        <v>0</v>
      </c>
      <c r="P397" s="34">
        <f t="shared" si="5"/>
        <v>0</v>
      </c>
    </row>
    <row r="398" spans="1:16">
      <c r="A398">
        <v>395</v>
      </c>
      <c r="B398" s="15" t="s">
        <v>869</v>
      </c>
      <c r="C398" t="s">
        <v>2119</v>
      </c>
      <c r="D398" s="19" t="s">
        <v>2121</v>
      </c>
      <c r="E398">
        <v>0</v>
      </c>
      <c r="F398" s="13">
        <v>117</v>
      </c>
      <c r="G398" s="11" t="s">
        <v>2094</v>
      </c>
      <c r="H398" t="s">
        <v>248</v>
      </c>
      <c r="O398" s="31">
        <v>0</v>
      </c>
      <c r="P398" s="34">
        <f t="shared" si="5"/>
        <v>0</v>
      </c>
    </row>
    <row r="399" spans="1:16">
      <c r="A399">
        <v>396</v>
      </c>
      <c r="B399" s="15" t="s">
        <v>869</v>
      </c>
      <c r="C399" t="s">
        <v>2119</v>
      </c>
      <c r="D399" s="19" t="s">
        <v>2122</v>
      </c>
      <c r="E399">
        <v>0</v>
      </c>
      <c r="F399" s="13">
        <v>117</v>
      </c>
      <c r="G399" s="11" t="s">
        <v>2094</v>
      </c>
      <c r="H399" t="s">
        <v>248</v>
      </c>
      <c r="O399" s="31">
        <v>0</v>
      </c>
      <c r="P399" s="34">
        <f t="shared" si="5"/>
        <v>0</v>
      </c>
    </row>
    <row r="400" spans="1:16">
      <c r="A400">
        <v>397</v>
      </c>
      <c r="B400" s="15" t="s">
        <v>869</v>
      </c>
      <c r="C400" t="s">
        <v>2119</v>
      </c>
      <c r="D400" s="19" t="s">
        <v>2123</v>
      </c>
      <c r="E400">
        <v>0</v>
      </c>
      <c r="F400" s="13">
        <v>117</v>
      </c>
      <c r="G400" s="11" t="s">
        <v>2094</v>
      </c>
      <c r="H400" t="s">
        <v>248</v>
      </c>
      <c r="O400" s="31">
        <v>0</v>
      </c>
      <c r="P400" s="34">
        <f t="shared" si="5"/>
        <v>0</v>
      </c>
    </row>
    <row r="401" spans="1:16">
      <c r="A401">
        <v>398</v>
      </c>
      <c r="B401" s="15" t="s">
        <v>869</v>
      </c>
      <c r="C401" t="s">
        <v>2119</v>
      </c>
      <c r="D401" s="19" t="s">
        <v>2124</v>
      </c>
      <c r="E401">
        <v>0</v>
      </c>
      <c r="F401" s="13">
        <v>117</v>
      </c>
      <c r="G401" s="11" t="s">
        <v>2094</v>
      </c>
      <c r="H401" t="s">
        <v>248</v>
      </c>
      <c r="O401" s="31">
        <v>0</v>
      </c>
      <c r="P401" s="34">
        <f t="shared" si="5"/>
        <v>0</v>
      </c>
    </row>
    <row r="402" spans="1:16">
      <c r="A402">
        <v>399</v>
      </c>
      <c r="B402" s="15" t="s">
        <v>869</v>
      </c>
      <c r="C402" t="s">
        <v>2119</v>
      </c>
      <c r="D402" s="19" t="s">
        <v>2125</v>
      </c>
      <c r="E402">
        <v>0</v>
      </c>
      <c r="F402" s="13">
        <v>117</v>
      </c>
      <c r="G402" s="11" t="s">
        <v>2094</v>
      </c>
      <c r="H402" t="s">
        <v>248</v>
      </c>
      <c r="O402" s="31">
        <v>0</v>
      </c>
      <c r="P402" s="34">
        <f t="shared" si="5"/>
        <v>0</v>
      </c>
    </row>
    <row r="403" spans="1:16">
      <c r="A403">
        <v>400</v>
      </c>
      <c r="B403" s="15" t="s">
        <v>869</v>
      </c>
      <c r="C403" t="s">
        <v>2119</v>
      </c>
      <c r="D403" s="19" t="s">
        <v>2126</v>
      </c>
      <c r="E403">
        <v>0</v>
      </c>
      <c r="F403" s="13">
        <v>117</v>
      </c>
      <c r="G403" s="11" t="s">
        <v>2094</v>
      </c>
      <c r="H403" t="s">
        <v>248</v>
      </c>
      <c r="O403" s="31">
        <v>0</v>
      </c>
      <c r="P403" s="34">
        <f t="shared" si="5"/>
        <v>0</v>
      </c>
    </row>
    <row r="404" spans="1:16">
      <c r="A404">
        <v>401</v>
      </c>
      <c r="B404" s="15" t="s">
        <v>869</v>
      </c>
      <c r="C404" t="s">
        <v>2119</v>
      </c>
      <c r="D404" s="19" t="s">
        <v>2127</v>
      </c>
      <c r="E404">
        <v>0</v>
      </c>
      <c r="F404" s="13">
        <v>117</v>
      </c>
      <c r="G404" s="11" t="s">
        <v>2094</v>
      </c>
      <c r="H404" t="s">
        <v>248</v>
      </c>
      <c r="O404" s="31">
        <v>0</v>
      </c>
      <c r="P404" s="34">
        <f t="shared" si="5"/>
        <v>0</v>
      </c>
    </row>
    <row r="405" spans="1:16">
      <c r="A405">
        <v>402</v>
      </c>
      <c r="B405" s="15" t="s">
        <v>869</v>
      </c>
      <c r="C405" t="s">
        <v>2119</v>
      </c>
      <c r="D405" s="19" t="s">
        <v>2128</v>
      </c>
      <c r="E405">
        <v>0</v>
      </c>
      <c r="F405" s="13">
        <v>117</v>
      </c>
      <c r="G405" s="11" t="s">
        <v>2094</v>
      </c>
      <c r="H405" t="s">
        <v>248</v>
      </c>
      <c r="O405" s="31">
        <v>0</v>
      </c>
      <c r="P405" s="34">
        <f t="shared" si="5"/>
        <v>0</v>
      </c>
    </row>
    <row r="406" spans="1:16">
      <c r="A406">
        <v>403</v>
      </c>
      <c r="B406" s="15" t="s">
        <v>869</v>
      </c>
      <c r="C406" t="s">
        <v>2119</v>
      </c>
      <c r="D406" s="19" t="s">
        <v>2129</v>
      </c>
      <c r="E406">
        <v>0</v>
      </c>
      <c r="F406" s="13">
        <v>117</v>
      </c>
      <c r="G406" s="11" t="s">
        <v>2094</v>
      </c>
      <c r="H406" t="s">
        <v>248</v>
      </c>
      <c r="O406" s="31">
        <v>0</v>
      </c>
      <c r="P406" s="34">
        <f t="shared" si="5"/>
        <v>0</v>
      </c>
    </row>
    <row r="407" spans="1:16">
      <c r="A407">
        <v>404</v>
      </c>
      <c r="B407" s="15" t="s">
        <v>869</v>
      </c>
      <c r="C407" t="s">
        <v>2119</v>
      </c>
      <c r="D407" s="19" t="s">
        <v>2130</v>
      </c>
      <c r="E407">
        <v>0</v>
      </c>
      <c r="F407" s="13">
        <v>117</v>
      </c>
      <c r="G407" s="11" t="s">
        <v>2094</v>
      </c>
      <c r="H407" t="s">
        <v>248</v>
      </c>
      <c r="O407" s="31">
        <v>0</v>
      </c>
      <c r="P407" s="34">
        <f t="shared" si="5"/>
        <v>0</v>
      </c>
    </row>
    <row r="408" spans="1:16">
      <c r="A408">
        <v>405</v>
      </c>
      <c r="B408" s="15" t="s">
        <v>869</v>
      </c>
      <c r="C408" t="s">
        <v>2119</v>
      </c>
      <c r="D408" s="19" t="s">
        <v>2131</v>
      </c>
      <c r="E408">
        <v>0</v>
      </c>
      <c r="F408" s="13">
        <v>117</v>
      </c>
      <c r="G408" s="11" t="s">
        <v>2094</v>
      </c>
      <c r="H408" t="s">
        <v>248</v>
      </c>
      <c r="O408" s="31">
        <v>0</v>
      </c>
      <c r="P408" s="34">
        <f t="shared" si="5"/>
        <v>0</v>
      </c>
    </row>
    <row r="409" spans="1:16">
      <c r="A409">
        <v>406</v>
      </c>
      <c r="B409" s="15" t="s">
        <v>869</v>
      </c>
      <c r="C409" t="s">
        <v>2119</v>
      </c>
      <c r="D409" s="19" t="s">
        <v>2132</v>
      </c>
      <c r="E409">
        <v>0</v>
      </c>
      <c r="F409" s="13">
        <v>117</v>
      </c>
      <c r="G409" s="11" t="s">
        <v>2094</v>
      </c>
      <c r="H409" t="s">
        <v>248</v>
      </c>
      <c r="O409" s="31">
        <v>0</v>
      </c>
      <c r="P409" s="34">
        <f t="shared" si="5"/>
        <v>0</v>
      </c>
    </row>
    <row r="410" spans="1:16">
      <c r="A410">
        <v>407</v>
      </c>
      <c r="B410" s="15" t="s">
        <v>869</v>
      </c>
      <c r="C410" t="s">
        <v>2119</v>
      </c>
      <c r="D410" s="19" t="s">
        <v>2133</v>
      </c>
      <c r="E410">
        <v>0</v>
      </c>
      <c r="F410" s="13">
        <v>117</v>
      </c>
      <c r="G410" s="11" t="s">
        <v>2094</v>
      </c>
      <c r="H410" t="s">
        <v>248</v>
      </c>
      <c r="O410" s="31">
        <v>0</v>
      </c>
      <c r="P410" s="34">
        <f t="shared" si="5"/>
        <v>0</v>
      </c>
    </row>
    <row r="411" spans="1:16">
      <c r="A411">
        <v>408</v>
      </c>
      <c r="B411" s="15" t="s">
        <v>869</v>
      </c>
      <c r="C411" t="s">
        <v>2119</v>
      </c>
      <c r="D411" s="19" t="s">
        <v>2134</v>
      </c>
      <c r="E411">
        <v>0</v>
      </c>
      <c r="F411" s="13">
        <v>117</v>
      </c>
      <c r="G411" s="11" t="s">
        <v>2094</v>
      </c>
      <c r="H411" t="s">
        <v>248</v>
      </c>
      <c r="O411" s="31">
        <v>0</v>
      </c>
      <c r="P411" s="34">
        <f t="shared" si="5"/>
        <v>0</v>
      </c>
    </row>
    <row r="412" spans="1:16">
      <c r="A412">
        <v>409</v>
      </c>
      <c r="B412" s="15" t="s">
        <v>869</v>
      </c>
      <c r="C412" t="s">
        <v>2119</v>
      </c>
      <c r="D412" s="19" t="s">
        <v>2135</v>
      </c>
      <c r="E412">
        <v>0</v>
      </c>
      <c r="F412" s="13">
        <v>117</v>
      </c>
      <c r="G412" s="11" t="s">
        <v>2094</v>
      </c>
      <c r="H412" t="s">
        <v>248</v>
      </c>
      <c r="O412" s="31">
        <v>0</v>
      </c>
      <c r="P412" s="34">
        <f t="shared" si="5"/>
        <v>0</v>
      </c>
    </row>
    <row r="413" spans="1:16">
      <c r="A413">
        <v>410</v>
      </c>
      <c r="B413" s="15" t="s">
        <v>869</v>
      </c>
      <c r="C413" t="s">
        <v>2119</v>
      </c>
      <c r="D413" s="19" t="s">
        <v>2136</v>
      </c>
      <c r="E413">
        <v>0</v>
      </c>
      <c r="F413" s="13">
        <v>117</v>
      </c>
      <c r="G413" s="11" t="s">
        <v>2094</v>
      </c>
      <c r="H413" t="s">
        <v>248</v>
      </c>
      <c r="O413" s="31">
        <v>0</v>
      </c>
      <c r="P413" s="34">
        <f t="shared" si="5"/>
        <v>0</v>
      </c>
    </row>
    <row r="414" spans="1:16">
      <c r="A414">
        <v>411</v>
      </c>
      <c r="B414" s="15" t="s">
        <v>869</v>
      </c>
      <c r="C414" t="s">
        <v>2119</v>
      </c>
      <c r="D414" s="19" t="s">
        <v>2137</v>
      </c>
      <c r="E414">
        <v>0</v>
      </c>
      <c r="F414" s="13">
        <v>117</v>
      </c>
      <c r="G414" s="11" t="s">
        <v>2094</v>
      </c>
      <c r="H414" t="s">
        <v>248</v>
      </c>
      <c r="O414" s="31">
        <v>0</v>
      </c>
      <c r="P414" s="34">
        <f t="shared" si="5"/>
        <v>0</v>
      </c>
    </row>
    <row r="415" spans="1:16">
      <c r="A415">
        <v>412</v>
      </c>
      <c r="B415" s="15" t="s">
        <v>869</v>
      </c>
      <c r="C415" t="s">
        <v>2119</v>
      </c>
      <c r="D415" s="19" t="s">
        <v>2138</v>
      </c>
      <c r="E415">
        <v>0</v>
      </c>
      <c r="F415" s="13">
        <v>117</v>
      </c>
      <c r="G415" s="11" t="s">
        <v>2094</v>
      </c>
      <c r="H415" t="s">
        <v>248</v>
      </c>
      <c r="O415" s="31">
        <v>0</v>
      </c>
      <c r="P415" s="34">
        <f t="shared" si="5"/>
        <v>0</v>
      </c>
    </row>
    <row r="416" spans="1:16">
      <c r="A416">
        <v>413</v>
      </c>
      <c r="B416" s="15" t="s">
        <v>869</v>
      </c>
      <c r="C416" t="s">
        <v>2119</v>
      </c>
      <c r="D416" s="19" t="s">
        <v>2139</v>
      </c>
      <c r="E416">
        <v>0</v>
      </c>
      <c r="F416" s="13">
        <v>117</v>
      </c>
      <c r="G416" s="11" t="s">
        <v>2094</v>
      </c>
      <c r="H416" t="s">
        <v>248</v>
      </c>
      <c r="O416" s="31">
        <v>0</v>
      </c>
      <c r="P416" s="34">
        <f t="shared" si="5"/>
        <v>0</v>
      </c>
    </row>
    <row r="417" spans="1:16">
      <c r="A417">
        <v>414</v>
      </c>
      <c r="B417" s="15" t="s">
        <v>869</v>
      </c>
      <c r="C417" t="s">
        <v>2119</v>
      </c>
      <c r="D417" s="19" t="s">
        <v>2140</v>
      </c>
      <c r="E417">
        <v>0</v>
      </c>
      <c r="F417" s="13">
        <v>117</v>
      </c>
      <c r="G417" s="11" t="s">
        <v>2094</v>
      </c>
      <c r="H417" t="s">
        <v>248</v>
      </c>
      <c r="O417" s="31">
        <v>0</v>
      </c>
      <c r="P417" s="34">
        <f t="shared" si="5"/>
        <v>0</v>
      </c>
    </row>
    <row r="418" spans="1:16">
      <c r="A418">
        <v>415</v>
      </c>
      <c r="B418" s="15" t="s">
        <v>869</v>
      </c>
      <c r="C418" t="s">
        <v>2119</v>
      </c>
      <c r="D418" s="19" t="s">
        <v>2141</v>
      </c>
      <c r="E418">
        <v>0</v>
      </c>
      <c r="F418" s="13">
        <v>117</v>
      </c>
      <c r="G418" s="11" t="s">
        <v>2094</v>
      </c>
      <c r="H418" t="s">
        <v>248</v>
      </c>
      <c r="O418" s="31">
        <v>0</v>
      </c>
      <c r="P418" s="34">
        <f t="shared" si="5"/>
        <v>0</v>
      </c>
    </row>
    <row r="419" spans="1:16">
      <c r="A419">
        <v>416</v>
      </c>
      <c r="B419" s="15" t="s">
        <v>869</v>
      </c>
      <c r="C419" t="s">
        <v>2119</v>
      </c>
      <c r="D419" s="19" t="s">
        <v>2142</v>
      </c>
      <c r="E419">
        <v>0</v>
      </c>
      <c r="F419" s="13">
        <v>117</v>
      </c>
      <c r="G419" s="11" t="s">
        <v>2094</v>
      </c>
      <c r="H419" t="s">
        <v>248</v>
      </c>
      <c r="O419" s="31">
        <v>0</v>
      </c>
      <c r="P419" s="34">
        <f t="shared" si="5"/>
        <v>0</v>
      </c>
    </row>
    <row r="420" spans="1:16">
      <c r="A420">
        <v>417</v>
      </c>
      <c r="B420" s="15" t="s">
        <v>869</v>
      </c>
      <c r="C420" t="s">
        <v>2119</v>
      </c>
      <c r="D420" s="19" t="s">
        <v>2143</v>
      </c>
      <c r="E420">
        <v>0</v>
      </c>
      <c r="F420" s="13">
        <v>117</v>
      </c>
      <c r="G420" s="11" t="s">
        <v>2094</v>
      </c>
      <c r="H420" t="s">
        <v>248</v>
      </c>
      <c r="O420" s="31">
        <v>0</v>
      </c>
      <c r="P420" s="34">
        <f t="shared" si="5"/>
        <v>0</v>
      </c>
    </row>
    <row r="421" spans="1:16">
      <c r="A421">
        <v>418</v>
      </c>
      <c r="B421" s="15" t="s">
        <v>869</v>
      </c>
      <c r="C421" t="s">
        <v>2119</v>
      </c>
      <c r="D421" s="19" t="s">
        <v>2144</v>
      </c>
      <c r="E421">
        <v>0</v>
      </c>
      <c r="F421" s="13">
        <v>117</v>
      </c>
      <c r="G421" s="11" t="s">
        <v>2094</v>
      </c>
      <c r="H421" t="s">
        <v>248</v>
      </c>
      <c r="O421" s="31">
        <v>0</v>
      </c>
      <c r="P421" s="34">
        <f t="shared" si="5"/>
        <v>0</v>
      </c>
    </row>
    <row r="422" spans="1:16">
      <c r="A422">
        <v>419</v>
      </c>
      <c r="B422" s="15" t="s">
        <v>869</v>
      </c>
      <c r="C422" t="s">
        <v>2119</v>
      </c>
      <c r="D422" s="19" t="s">
        <v>2145</v>
      </c>
      <c r="E422">
        <v>0</v>
      </c>
      <c r="F422" s="13">
        <v>117</v>
      </c>
      <c r="G422" s="11" t="s">
        <v>2094</v>
      </c>
      <c r="H422" t="s">
        <v>248</v>
      </c>
      <c r="O422" s="31">
        <v>0</v>
      </c>
      <c r="P422" s="34">
        <f t="shared" si="5"/>
        <v>0</v>
      </c>
    </row>
    <row r="423" spans="1:16">
      <c r="A423">
        <v>420</v>
      </c>
      <c r="B423" s="15" t="s">
        <v>869</v>
      </c>
      <c r="C423" t="s">
        <v>2119</v>
      </c>
      <c r="D423" s="19" t="s">
        <v>2146</v>
      </c>
      <c r="E423">
        <v>0</v>
      </c>
      <c r="F423" s="13">
        <v>117</v>
      </c>
      <c r="G423" s="11" t="s">
        <v>2094</v>
      </c>
      <c r="H423" t="s">
        <v>248</v>
      </c>
      <c r="O423" s="31">
        <v>0</v>
      </c>
      <c r="P423" s="34">
        <f t="shared" si="5"/>
        <v>0</v>
      </c>
    </row>
    <row r="424" spans="1:16">
      <c r="A424">
        <v>421</v>
      </c>
      <c r="B424" s="15" t="s">
        <v>869</v>
      </c>
      <c r="C424" t="s">
        <v>2119</v>
      </c>
      <c r="D424" s="19" t="s">
        <v>2147</v>
      </c>
      <c r="E424">
        <v>0</v>
      </c>
      <c r="F424" s="13">
        <v>117</v>
      </c>
      <c r="G424" s="11" t="s">
        <v>2094</v>
      </c>
      <c r="H424" t="s">
        <v>248</v>
      </c>
      <c r="O424" s="31">
        <v>0</v>
      </c>
      <c r="P424" s="34">
        <f t="shared" si="5"/>
        <v>0</v>
      </c>
    </row>
    <row r="425" spans="1:16">
      <c r="A425">
        <v>422</v>
      </c>
      <c r="B425" s="15" t="s">
        <v>869</v>
      </c>
      <c r="C425" t="s">
        <v>2119</v>
      </c>
      <c r="D425" s="19" t="s">
        <v>2148</v>
      </c>
      <c r="E425">
        <v>0</v>
      </c>
      <c r="F425" s="13">
        <v>117</v>
      </c>
      <c r="G425" s="11" t="s">
        <v>934</v>
      </c>
      <c r="H425" t="s">
        <v>248</v>
      </c>
      <c r="O425" s="31">
        <v>3</v>
      </c>
      <c r="P425" s="34">
        <f t="shared" si="5"/>
        <v>0</v>
      </c>
    </row>
    <row r="426" spans="1:16">
      <c r="A426">
        <v>423</v>
      </c>
      <c r="B426" s="15" t="s">
        <v>869</v>
      </c>
      <c r="C426" t="s">
        <v>884</v>
      </c>
      <c r="D426" s="19" t="s">
        <v>449</v>
      </c>
      <c r="E426">
        <v>1</v>
      </c>
      <c r="F426" s="13">
        <v>118</v>
      </c>
      <c r="G426" s="11" t="s">
        <v>816</v>
      </c>
      <c r="H426" t="s">
        <v>248</v>
      </c>
      <c r="O426" s="31">
        <v>1</v>
      </c>
      <c r="P426" s="34">
        <f t="shared" si="5"/>
        <v>0.5</v>
      </c>
    </row>
    <row r="427" spans="1:16">
      <c r="A427">
        <v>424</v>
      </c>
      <c r="B427" s="15" t="s">
        <v>869</v>
      </c>
      <c r="C427" t="s">
        <v>884</v>
      </c>
      <c r="D427" s="19" t="s">
        <v>2149</v>
      </c>
      <c r="E427">
        <v>1</v>
      </c>
      <c r="F427" s="13">
        <v>118</v>
      </c>
      <c r="G427" s="11" t="s">
        <v>46</v>
      </c>
      <c r="H427" t="s">
        <v>248</v>
      </c>
      <c r="O427" s="31">
        <v>1</v>
      </c>
      <c r="P427" s="34">
        <f t="shared" si="5"/>
        <v>0.5</v>
      </c>
    </row>
    <row r="428" spans="1:16">
      <c r="A428">
        <v>425</v>
      </c>
      <c r="B428" s="15" t="s">
        <v>869</v>
      </c>
      <c r="C428" t="s">
        <v>884</v>
      </c>
      <c r="D428" s="19" t="s">
        <v>390</v>
      </c>
      <c r="E428">
        <v>1</v>
      </c>
      <c r="F428" s="13">
        <v>118</v>
      </c>
      <c r="G428" s="11" t="s">
        <v>816</v>
      </c>
      <c r="H428" t="s">
        <v>248</v>
      </c>
      <c r="O428" s="31">
        <v>1</v>
      </c>
      <c r="P428" s="34">
        <f t="shared" si="5"/>
        <v>0.5</v>
      </c>
    </row>
    <row r="429" spans="1:16">
      <c r="A429">
        <v>426</v>
      </c>
      <c r="B429" s="15" t="s">
        <v>869</v>
      </c>
      <c r="C429" t="s">
        <v>884</v>
      </c>
      <c r="D429" s="19" t="s">
        <v>2150</v>
      </c>
      <c r="E429">
        <v>1</v>
      </c>
      <c r="F429" s="13">
        <v>118</v>
      </c>
      <c r="G429" s="11" t="s">
        <v>46</v>
      </c>
      <c r="H429" t="s">
        <v>248</v>
      </c>
      <c r="O429" s="31">
        <v>1</v>
      </c>
      <c r="P429" s="34">
        <f t="shared" si="5"/>
        <v>0.5</v>
      </c>
    </row>
    <row r="430" spans="1:16">
      <c r="A430">
        <v>427</v>
      </c>
      <c r="B430" s="15" t="s">
        <v>869</v>
      </c>
      <c r="C430" t="s">
        <v>884</v>
      </c>
      <c r="D430" s="19" t="s">
        <v>388</v>
      </c>
      <c r="E430">
        <v>1</v>
      </c>
      <c r="F430" s="13">
        <v>118</v>
      </c>
      <c r="G430" s="11" t="s">
        <v>816</v>
      </c>
      <c r="H430" t="s">
        <v>248</v>
      </c>
      <c r="O430" s="31">
        <v>1</v>
      </c>
      <c r="P430" s="34">
        <f t="shared" si="5"/>
        <v>0.5</v>
      </c>
    </row>
    <row r="431" spans="1:16">
      <c r="A431">
        <v>428</v>
      </c>
      <c r="B431" s="15" t="s">
        <v>869</v>
      </c>
      <c r="C431" t="s">
        <v>884</v>
      </c>
      <c r="D431" s="19" t="s">
        <v>2151</v>
      </c>
      <c r="E431">
        <v>1</v>
      </c>
      <c r="F431" s="13">
        <v>118</v>
      </c>
      <c r="G431" s="11" t="s">
        <v>46</v>
      </c>
      <c r="H431" t="s">
        <v>248</v>
      </c>
      <c r="O431" s="31">
        <v>1</v>
      </c>
      <c r="P431" s="34">
        <f t="shared" si="5"/>
        <v>0.5</v>
      </c>
    </row>
    <row r="432" spans="1:16">
      <c r="A432">
        <v>429</v>
      </c>
      <c r="B432" s="15" t="s">
        <v>869</v>
      </c>
      <c r="C432" t="s">
        <v>884</v>
      </c>
      <c r="D432" s="19" t="s">
        <v>986</v>
      </c>
      <c r="E432">
        <v>1</v>
      </c>
      <c r="F432" s="13">
        <v>118</v>
      </c>
      <c r="G432" s="11" t="s">
        <v>816</v>
      </c>
      <c r="H432" t="s">
        <v>248</v>
      </c>
      <c r="O432" s="31">
        <v>1</v>
      </c>
      <c r="P432" s="34">
        <f t="shared" si="5"/>
        <v>0.5</v>
      </c>
    </row>
    <row r="433" spans="1:16">
      <c r="A433">
        <v>430</v>
      </c>
      <c r="B433" s="15" t="s">
        <v>869</v>
      </c>
      <c r="C433" t="s">
        <v>884</v>
      </c>
      <c r="D433" s="19" t="s">
        <v>2152</v>
      </c>
      <c r="E433">
        <v>1</v>
      </c>
      <c r="F433" s="13">
        <v>118</v>
      </c>
      <c r="G433" s="11" t="s">
        <v>46</v>
      </c>
      <c r="H433" t="s">
        <v>248</v>
      </c>
      <c r="O433" s="31">
        <v>1</v>
      </c>
      <c r="P433" s="34">
        <f t="shared" si="5"/>
        <v>0.5</v>
      </c>
    </row>
    <row r="434" spans="1:16">
      <c r="A434">
        <v>431</v>
      </c>
      <c r="B434" s="15" t="s">
        <v>869</v>
      </c>
      <c r="C434" t="s">
        <v>884</v>
      </c>
      <c r="D434" s="19" t="s">
        <v>2153</v>
      </c>
      <c r="E434">
        <v>1</v>
      </c>
      <c r="F434" s="13">
        <v>118</v>
      </c>
      <c r="G434" s="11" t="s">
        <v>816</v>
      </c>
      <c r="H434" t="s">
        <v>248</v>
      </c>
      <c r="O434" s="31">
        <v>1</v>
      </c>
      <c r="P434" s="34">
        <f t="shared" si="5"/>
        <v>0.5</v>
      </c>
    </row>
    <row r="435" spans="1:16">
      <c r="A435">
        <v>432</v>
      </c>
      <c r="B435" s="15" t="s">
        <v>869</v>
      </c>
      <c r="C435" t="s">
        <v>884</v>
      </c>
      <c r="D435" s="19" t="s">
        <v>2154</v>
      </c>
      <c r="E435">
        <v>1</v>
      </c>
      <c r="F435" s="13">
        <v>118</v>
      </c>
      <c r="G435" s="11" t="s">
        <v>46</v>
      </c>
      <c r="H435" t="s">
        <v>248</v>
      </c>
      <c r="O435" s="31">
        <v>1</v>
      </c>
      <c r="P435" s="34">
        <f t="shared" si="5"/>
        <v>0.5</v>
      </c>
    </row>
    <row r="436" spans="1:16">
      <c r="A436">
        <v>433</v>
      </c>
      <c r="B436" s="15" t="s">
        <v>869</v>
      </c>
      <c r="C436" t="s">
        <v>884</v>
      </c>
      <c r="D436" s="19" t="s">
        <v>895</v>
      </c>
      <c r="E436">
        <v>1</v>
      </c>
      <c r="F436" s="13">
        <v>118</v>
      </c>
      <c r="G436" s="11" t="s">
        <v>572</v>
      </c>
      <c r="H436" t="s">
        <v>248</v>
      </c>
      <c r="O436" s="31">
        <v>1</v>
      </c>
      <c r="P436" s="34">
        <f t="shared" si="5"/>
        <v>0.5</v>
      </c>
    </row>
    <row r="437" spans="1:16">
      <c r="A437">
        <v>434</v>
      </c>
      <c r="B437" s="15" t="s">
        <v>896</v>
      </c>
      <c r="C437" t="s">
        <v>897</v>
      </c>
      <c r="D437" s="19" t="s">
        <v>898</v>
      </c>
      <c r="E437">
        <v>1</v>
      </c>
      <c r="F437" s="13">
        <v>120</v>
      </c>
      <c r="G437" s="11" t="s">
        <v>902</v>
      </c>
      <c r="H437" t="s">
        <v>248</v>
      </c>
      <c r="O437" s="31">
        <v>1</v>
      </c>
      <c r="P437" s="34">
        <f t="shared" si="5"/>
        <v>0.5</v>
      </c>
    </row>
    <row r="438" spans="1:16">
      <c r="A438">
        <v>435</v>
      </c>
      <c r="B438" s="15" t="s">
        <v>896</v>
      </c>
      <c r="C438" t="s">
        <v>897</v>
      </c>
      <c r="D438" s="19" t="s">
        <v>901</v>
      </c>
      <c r="E438">
        <v>1</v>
      </c>
      <c r="F438" s="13">
        <v>120</v>
      </c>
      <c r="G438" s="11" t="s">
        <v>902</v>
      </c>
      <c r="H438" t="s">
        <v>248</v>
      </c>
      <c r="O438" s="31">
        <v>1</v>
      </c>
      <c r="P438" s="34">
        <f t="shared" si="5"/>
        <v>0.5</v>
      </c>
    </row>
    <row r="439" spans="1:16">
      <c r="A439">
        <v>436</v>
      </c>
      <c r="B439" s="15" t="s">
        <v>896</v>
      </c>
      <c r="C439" t="s">
        <v>897</v>
      </c>
      <c r="D439" s="19" t="s">
        <v>2155</v>
      </c>
      <c r="E439">
        <v>0</v>
      </c>
      <c r="F439" s="13">
        <v>120</v>
      </c>
      <c r="G439" s="11" t="s">
        <v>934</v>
      </c>
      <c r="H439" t="s">
        <v>248</v>
      </c>
      <c r="O439" s="31">
        <v>3</v>
      </c>
      <c r="P439" s="34">
        <f t="shared" si="5"/>
        <v>0</v>
      </c>
    </row>
    <row r="440" spans="1:16">
      <c r="A440">
        <v>437</v>
      </c>
      <c r="B440" s="15" t="s">
        <v>896</v>
      </c>
      <c r="C440" t="s">
        <v>897</v>
      </c>
      <c r="D440" s="19" t="s">
        <v>904</v>
      </c>
      <c r="E440">
        <v>0</v>
      </c>
      <c r="F440" s="13">
        <v>120</v>
      </c>
      <c r="G440" s="11" t="s">
        <v>203</v>
      </c>
      <c r="H440" t="s">
        <v>248</v>
      </c>
      <c r="O440" s="31">
        <v>0</v>
      </c>
      <c r="P440" s="34">
        <f t="shared" si="5"/>
        <v>0</v>
      </c>
    </row>
    <row r="441" spans="1:16">
      <c r="A441">
        <v>438</v>
      </c>
      <c r="B441" s="15" t="s">
        <v>896</v>
      </c>
      <c r="C441" t="s">
        <v>897</v>
      </c>
      <c r="D441" s="19" t="s">
        <v>2156</v>
      </c>
      <c r="E441">
        <v>0</v>
      </c>
      <c r="F441" s="13">
        <v>120</v>
      </c>
      <c r="G441" s="11" t="s">
        <v>934</v>
      </c>
      <c r="H441" t="s">
        <v>248</v>
      </c>
      <c r="O441" s="31">
        <v>3</v>
      </c>
      <c r="P441" s="34">
        <f t="shared" si="5"/>
        <v>0</v>
      </c>
    </row>
    <row r="442" spans="1:16">
      <c r="A442">
        <v>439</v>
      </c>
      <c r="B442" s="15" t="s">
        <v>896</v>
      </c>
      <c r="C442" t="s">
        <v>905</v>
      </c>
      <c r="D442" s="19" t="s">
        <v>906</v>
      </c>
      <c r="E442">
        <v>1</v>
      </c>
      <c r="F442" s="13">
        <v>120</v>
      </c>
      <c r="G442" s="11" t="s">
        <v>816</v>
      </c>
      <c r="H442" t="s">
        <v>248</v>
      </c>
      <c r="O442" s="31">
        <v>1</v>
      </c>
      <c r="P442" s="34">
        <f t="shared" si="5"/>
        <v>0.5</v>
      </c>
    </row>
    <row r="443" spans="1:16">
      <c r="A443">
        <v>440</v>
      </c>
      <c r="B443" s="15" t="s">
        <v>896</v>
      </c>
      <c r="C443" t="s">
        <v>905</v>
      </c>
      <c r="D443" s="19" t="s">
        <v>907</v>
      </c>
      <c r="E443">
        <v>1</v>
      </c>
      <c r="F443" s="13">
        <v>120</v>
      </c>
      <c r="G443" s="11" t="s">
        <v>46</v>
      </c>
      <c r="H443" t="s">
        <v>248</v>
      </c>
      <c r="O443" s="31">
        <v>1</v>
      </c>
      <c r="P443" s="34">
        <f t="shared" si="5"/>
        <v>0.5</v>
      </c>
    </row>
    <row r="444" spans="1:16">
      <c r="A444">
        <v>441</v>
      </c>
      <c r="B444" s="15" t="s">
        <v>896</v>
      </c>
      <c r="C444" t="s">
        <v>905</v>
      </c>
      <c r="D444" s="19" t="s">
        <v>409</v>
      </c>
      <c r="E444">
        <v>1</v>
      </c>
      <c r="F444" s="13">
        <v>120</v>
      </c>
      <c r="G444" s="11" t="s">
        <v>46</v>
      </c>
      <c r="H444" t="s">
        <v>248</v>
      </c>
      <c r="O444" s="31">
        <v>1</v>
      </c>
      <c r="P444" s="34">
        <f t="shared" si="5"/>
        <v>0.5</v>
      </c>
    </row>
    <row r="445" spans="1:16">
      <c r="A445">
        <v>442</v>
      </c>
      <c r="B445" s="15" t="s">
        <v>896</v>
      </c>
      <c r="C445" t="s">
        <v>905</v>
      </c>
      <c r="D445" s="19" t="s">
        <v>2157</v>
      </c>
      <c r="E445">
        <v>0</v>
      </c>
      <c r="F445" s="13">
        <v>120</v>
      </c>
      <c r="G445" s="11" t="s">
        <v>2057</v>
      </c>
      <c r="H445" t="s">
        <v>248</v>
      </c>
      <c r="O445" s="31">
        <v>1</v>
      </c>
      <c r="P445" s="34">
        <f t="shared" si="5"/>
        <v>0</v>
      </c>
    </row>
    <row r="446" spans="1:16">
      <c r="A446">
        <v>443</v>
      </c>
      <c r="B446" s="15" t="s">
        <v>896</v>
      </c>
      <c r="C446" t="s">
        <v>905</v>
      </c>
      <c r="D446" s="19" t="s">
        <v>2158</v>
      </c>
      <c r="E446">
        <v>0</v>
      </c>
      <c r="F446" s="13">
        <v>120</v>
      </c>
      <c r="G446" s="11" t="s">
        <v>934</v>
      </c>
      <c r="H446" t="s">
        <v>248</v>
      </c>
      <c r="O446" s="31">
        <v>3</v>
      </c>
      <c r="P446" s="34">
        <f t="shared" si="5"/>
        <v>0</v>
      </c>
    </row>
    <row r="447" spans="1:16">
      <c r="A447">
        <v>444</v>
      </c>
      <c r="B447" s="15" t="s">
        <v>896</v>
      </c>
      <c r="C447" t="s">
        <v>905</v>
      </c>
      <c r="D447" s="19" t="s">
        <v>2159</v>
      </c>
      <c r="E447">
        <v>0</v>
      </c>
      <c r="F447" s="13">
        <v>120</v>
      </c>
      <c r="G447" s="11" t="s">
        <v>934</v>
      </c>
      <c r="H447" t="s">
        <v>248</v>
      </c>
      <c r="O447" s="31">
        <v>3</v>
      </c>
      <c r="P447" s="34">
        <f t="shared" si="5"/>
        <v>0</v>
      </c>
    </row>
    <row r="448" spans="1:16">
      <c r="A448">
        <v>445</v>
      </c>
      <c r="B448" s="15" t="s">
        <v>896</v>
      </c>
      <c r="C448" t="s">
        <v>2160</v>
      </c>
      <c r="D448" s="19" t="s">
        <v>2161</v>
      </c>
      <c r="E448">
        <v>0</v>
      </c>
      <c r="F448" s="13">
        <v>121</v>
      </c>
      <c r="G448" s="11" t="s">
        <v>934</v>
      </c>
      <c r="H448" t="s">
        <v>248</v>
      </c>
      <c r="O448" s="31">
        <v>3</v>
      </c>
      <c r="P448" s="34">
        <f t="shared" si="5"/>
        <v>0</v>
      </c>
    </row>
    <row r="449" spans="1:16">
      <c r="A449">
        <v>446</v>
      </c>
      <c r="B449" s="15" t="s">
        <v>896</v>
      </c>
      <c r="C449" t="s">
        <v>2160</v>
      </c>
      <c r="D449" s="19" t="s">
        <v>2162</v>
      </c>
      <c r="E449">
        <v>0</v>
      </c>
      <c r="F449" s="13">
        <v>121</v>
      </c>
      <c r="G449" s="11" t="s">
        <v>934</v>
      </c>
      <c r="H449" t="s">
        <v>248</v>
      </c>
      <c r="O449" s="31">
        <v>3</v>
      </c>
      <c r="P449" s="34">
        <f t="shared" si="5"/>
        <v>0</v>
      </c>
    </row>
    <row r="450" spans="1:16">
      <c r="A450">
        <v>447</v>
      </c>
      <c r="B450" s="15" t="s">
        <v>896</v>
      </c>
      <c r="C450" t="s">
        <v>2160</v>
      </c>
      <c r="D450" s="19" t="s">
        <v>2163</v>
      </c>
      <c r="E450">
        <v>0</v>
      </c>
      <c r="F450" s="13">
        <v>121</v>
      </c>
      <c r="G450" s="11" t="s">
        <v>934</v>
      </c>
      <c r="H450" t="s">
        <v>248</v>
      </c>
      <c r="O450" s="31">
        <v>3</v>
      </c>
      <c r="P450" s="34">
        <f t="shared" si="5"/>
        <v>0</v>
      </c>
    </row>
    <row r="451" spans="1:16">
      <c r="A451">
        <v>448</v>
      </c>
      <c r="B451" s="15" t="s">
        <v>896</v>
      </c>
      <c r="C451" t="s">
        <v>2164</v>
      </c>
      <c r="D451" s="19" t="s">
        <v>2165</v>
      </c>
      <c r="E451">
        <v>0</v>
      </c>
      <c r="F451" s="13">
        <v>121</v>
      </c>
      <c r="G451" s="11" t="s">
        <v>934</v>
      </c>
      <c r="H451" t="s">
        <v>248</v>
      </c>
      <c r="O451" s="31">
        <v>3</v>
      </c>
      <c r="P451" s="34">
        <f t="shared" si="5"/>
        <v>0</v>
      </c>
    </row>
    <row r="452" spans="1:16">
      <c r="A452">
        <v>449</v>
      </c>
      <c r="B452" s="15" t="s">
        <v>896</v>
      </c>
      <c r="C452" t="s">
        <v>2164</v>
      </c>
      <c r="D452" t="s">
        <v>2166</v>
      </c>
      <c r="E452">
        <v>0</v>
      </c>
      <c r="F452" s="13">
        <v>121</v>
      </c>
      <c r="G452" s="11" t="s">
        <v>934</v>
      </c>
      <c r="H452" t="s">
        <v>248</v>
      </c>
      <c r="O452" s="31">
        <v>3</v>
      </c>
      <c r="P452" s="34">
        <f t="shared" si="5"/>
        <v>0</v>
      </c>
    </row>
    <row r="453" spans="1:16">
      <c r="A453">
        <v>450</v>
      </c>
      <c r="B453" s="15" t="s">
        <v>896</v>
      </c>
      <c r="C453" t="s">
        <v>2167</v>
      </c>
      <c r="D453" s="19" t="s">
        <v>2168</v>
      </c>
      <c r="E453">
        <v>0</v>
      </c>
      <c r="F453" s="13">
        <v>121</v>
      </c>
      <c r="G453" s="11" t="s">
        <v>934</v>
      </c>
      <c r="H453" t="s">
        <v>248</v>
      </c>
      <c r="O453" s="31">
        <v>3</v>
      </c>
      <c r="P453" s="34">
        <f t="shared" si="5"/>
        <v>0</v>
      </c>
    </row>
    <row r="454" spans="1:16">
      <c r="A454">
        <v>451</v>
      </c>
      <c r="B454" s="15" t="s">
        <v>896</v>
      </c>
      <c r="C454" t="s">
        <v>2167</v>
      </c>
      <c r="D454" s="19" t="s">
        <v>2169</v>
      </c>
      <c r="E454">
        <v>0</v>
      </c>
      <c r="F454" s="13">
        <v>121</v>
      </c>
      <c r="G454" s="11" t="s">
        <v>934</v>
      </c>
      <c r="H454" t="s">
        <v>248</v>
      </c>
      <c r="O454" s="31">
        <v>3</v>
      </c>
      <c r="P454" s="34">
        <f t="shared" si="5"/>
        <v>0</v>
      </c>
    </row>
    <row r="455" spans="1:16">
      <c r="A455">
        <v>452</v>
      </c>
      <c r="B455" s="15" t="s">
        <v>896</v>
      </c>
      <c r="C455" t="s">
        <v>2167</v>
      </c>
      <c r="D455" s="19" t="s">
        <v>2170</v>
      </c>
      <c r="E455">
        <v>0</v>
      </c>
      <c r="F455" s="13">
        <v>121</v>
      </c>
      <c r="G455" s="11" t="s">
        <v>934</v>
      </c>
      <c r="H455" t="s">
        <v>248</v>
      </c>
      <c r="O455" s="31">
        <v>3</v>
      </c>
      <c r="P455" s="34">
        <f t="shared" si="5"/>
        <v>0</v>
      </c>
    </row>
    <row r="456" spans="1:16">
      <c r="A456">
        <v>453</v>
      </c>
      <c r="B456" s="15" t="s">
        <v>896</v>
      </c>
      <c r="C456" t="s">
        <v>2167</v>
      </c>
      <c r="D456" s="19" t="s">
        <v>2171</v>
      </c>
      <c r="E456">
        <v>0</v>
      </c>
      <c r="F456" s="13">
        <v>121</v>
      </c>
      <c r="G456" s="11" t="s">
        <v>934</v>
      </c>
      <c r="H456" t="s">
        <v>248</v>
      </c>
      <c r="O456" s="31">
        <v>3</v>
      </c>
      <c r="P456" s="34">
        <f t="shared" si="5"/>
        <v>0</v>
      </c>
    </row>
    <row r="457" spans="1:16">
      <c r="A457">
        <v>454</v>
      </c>
      <c r="B457" s="15" t="s">
        <v>896</v>
      </c>
      <c r="C457" t="s">
        <v>2172</v>
      </c>
      <c r="D457" s="19" t="s">
        <v>2173</v>
      </c>
      <c r="E457">
        <v>0</v>
      </c>
      <c r="F457" s="13">
        <v>121</v>
      </c>
      <c r="G457" s="11" t="s">
        <v>934</v>
      </c>
      <c r="H457" t="s">
        <v>248</v>
      </c>
      <c r="O457" s="31">
        <v>3</v>
      </c>
      <c r="P457" s="34">
        <f t="shared" si="5"/>
        <v>0</v>
      </c>
    </row>
    <row r="458" spans="1:16">
      <c r="A458">
        <v>455</v>
      </c>
      <c r="B458" s="15" t="s">
        <v>896</v>
      </c>
      <c r="C458" t="s">
        <v>2172</v>
      </c>
      <c r="D458" s="19" t="s">
        <v>2174</v>
      </c>
      <c r="E458">
        <v>0</v>
      </c>
      <c r="F458" s="13">
        <v>121</v>
      </c>
      <c r="G458" s="11" t="s">
        <v>934</v>
      </c>
      <c r="H458" t="s">
        <v>248</v>
      </c>
      <c r="O458" s="31">
        <v>3</v>
      </c>
      <c r="P458" s="34">
        <f t="shared" si="5"/>
        <v>0</v>
      </c>
    </row>
    <row r="459" spans="1:16">
      <c r="A459">
        <v>456</v>
      </c>
      <c r="B459" s="15" t="s">
        <v>896</v>
      </c>
      <c r="C459" t="s">
        <v>2172</v>
      </c>
      <c r="D459" s="19" t="s">
        <v>2175</v>
      </c>
      <c r="E459">
        <v>0</v>
      </c>
      <c r="F459" s="13">
        <v>121</v>
      </c>
      <c r="G459" s="11" t="s">
        <v>934</v>
      </c>
      <c r="H459" t="s">
        <v>248</v>
      </c>
      <c r="O459" s="31">
        <v>3</v>
      </c>
      <c r="P459" s="34">
        <f t="shared" si="5"/>
        <v>0</v>
      </c>
    </row>
    <row r="460" spans="1:16">
      <c r="A460">
        <v>457</v>
      </c>
      <c r="B460" s="15" t="s">
        <v>896</v>
      </c>
      <c r="C460" t="s">
        <v>2172</v>
      </c>
      <c r="D460" s="19" t="s">
        <v>2176</v>
      </c>
      <c r="E460">
        <v>0</v>
      </c>
      <c r="F460" s="13">
        <v>121</v>
      </c>
      <c r="G460" s="11" t="s">
        <v>934</v>
      </c>
      <c r="H460" t="s">
        <v>248</v>
      </c>
      <c r="O460" s="31">
        <v>3</v>
      </c>
      <c r="P460" s="34">
        <f t="shared" si="5"/>
        <v>0</v>
      </c>
    </row>
    <row r="461" spans="1:16">
      <c r="A461">
        <v>458</v>
      </c>
      <c r="B461" s="15" t="s">
        <v>896</v>
      </c>
      <c r="C461" t="s">
        <v>2172</v>
      </c>
      <c r="D461" s="19" t="s">
        <v>2177</v>
      </c>
      <c r="E461">
        <v>0</v>
      </c>
      <c r="F461" s="13">
        <v>121</v>
      </c>
      <c r="G461" s="11" t="s">
        <v>934</v>
      </c>
      <c r="H461" t="s">
        <v>248</v>
      </c>
      <c r="O461" s="31">
        <v>3</v>
      </c>
      <c r="P461" s="34">
        <f t="shared" si="5"/>
        <v>0</v>
      </c>
    </row>
    <row r="462" spans="1:16">
      <c r="A462">
        <v>459</v>
      </c>
      <c r="B462" s="15" t="s">
        <v>896</v>
      </c>
      <c r="C462" t="s">
        <v>2178</v>
      </c>
      <c r="D462" s="19" t="s">
        <v>2178</v>
      </c>
      <c r="E462">
        <v>0</v>
      </c>
      <c r="F462" s="13">
        <v>121</v>
      </c>
      <c r="G462" s="11" t="s">
        <v>934</v>
      </c>
      <c r="H462" t="s">
        <v>248</v>
      </c>
      <c r="O462" s="31">
        <v>3</v>
      </c>
      <c r="P462" s="34">
        <f t="shared" si="5"/>
        <v>0</v>
      </c>
    </row>
    <row r="463" spans="1:16">
      <c r="A463">
        <v>460</v>
      </c>
      <c r="B463" s="15" t="s">
        <v>896</v>
      </c>
      <c r="C463" t="s">
        <v>2179</v>
      </c>
      <c r="D463" s="19" t="s">
        <v>2168</v>
      </c>
      <c r="E463">
        <v>0</v>
      </c>
      <c r="F463" s="13">
        <v>121</v>
      </c>
      <c r="G463" s="11" t="s">
        <v>934</v>
      </c>
      <c r="H463" t="s">
        <v>248</v>
      </c>
      <c r="O463" s="31">
        <v>3</v>
      </c>
      <c r="P463" s="34">
        <f t="shared" si="5"/>
        <v>0</v>
      </c>
    </row>
    <row r="464" spans="1:16">
      <c r="A464">
        <v>461</v>
      </c>
      <c r="B464" s="15" t="s">
        <v>896</v>
      </c>
      <c r="C464" t="s">
        <v>2179</v>
      </c>
      <c r="D464" s="19" t="s">
        <v>2169</v>
      </c>
      <c r="E464">
        <v>0</v>
      </c>
      <c r="F464" s="13">
        <v>121</v>
      </c>
      <c r="G464" s="11" t="s">
        <v>934</v>
      </c>
      <c r="H464" t="s">
        <v>248</v>
      </c>
      <c r="O464" s="31">
        <v>3</v>
      </c>
      <c r="P464" s="34">
        <f t="shared" si="5"/>
        <v>0</v>
      </c>
    </row>
    <row r="465" spans="1:16">
      <c r="A465">
        <v>462</v>
      </c>
      <c r="B465" s="15" t="s">
        <v>896</v>
      </c>
      <c r="C465" t="s">
        <v>2180</v>
      </c>
      <c r="D465" t="s">
        <v>2180</v>
      </c>
      <c r="E465">
        <v>0</v>
      </c>
      <c r="F465" s="13">
        <v>121</v>
      </c>
      <c r="G465" s="11" t="s">
        <v>934</v>
      </c>
      <c r="H465" t="s">
        <v>248</v>
      </c>
      <c r="K465" s="19" t="s">
        <v>2181</v>
      </c>
      <c r="O465" s="31">
        <v>0</v>
      </c>
      <c r="P465" s="34">
        <f t="shared" si="5"/>
        <v>0</v>
      </c>
    </row>
    <row r="466" spans="1:16">
      <c r="A466">
        <v>463</v>
      </c>
      <c r="B466" s="15" t="s">
        <v>896</v>
      </c>
      <c r="C466" t="s">
        <v>719</v>
      </c>
      <c r="D466" s="19" t="s">
        <v>2027</v>
      </c>
      <c r="E466">
        <v>0</v>
      </c>
      <c r="F466" s="13">
        <v>124</v>
      </c>
      <c r="H466" t="s">
        <v>248</v>
      </c>
      <c r="K466" s="19"/>
      <c r="O466" s="31" t="s">
        <v>2028</v>
      </c>
      <c r="P466" s="34" t="str">
        <f t="shared" si="5"/>
        <v/>
      </c>
    </row>
    <row r="467" spans="1:16">
      <c r="A467">
        <v>464</v>
      </c>
      <c r="B467" s="15" t="s">
        <v>896</v>
      </c>
      <c r="C467" t="s">
        <v>2037</v>
      </c>
      <c r="D467" s="19" t="s">
        <v>2027</v>
      </c>
      <c r="E467">
        <v>0</v>
      </c>
      <c r="F467" s="13">
        <v>124</v>
      </c>
      <c r="H467" t="s">
        <v>248</v>
      </c>
      <c r="K467" s="19"/>
      <c r="O467" s="31" t="s">
        <v>2028</v>
      </c>
      <c r="P467" s="34" t="str">
        <f t="shared" si="5"/>
        <v/>
      </c>
    </row>
    <row r="468" spans="1:16">
      <c r="A468">
        <v>465</v>
      </c>
      <c r="B468" s="15" t="s">
        <v>896</v>
      </c>
      <c r="C468" t="s">
        <v>909</v>
      </c>
      <c r="D468" s="19" t="s">
        <v>2027</v>
      </c>
      <c r="E468">
        <v>0</v>
      </c>
      <c r="F468" s="13">
        <v>125</v>
      </c>
      <c r="H468" t="s">
        <v>248</v>
      </c>
      <c r="K468" s="19"/>
      <c r="O468" s="31" t="s">
        <v>2028</v>
      </c>
      <c r="P468" s="34" t="str">
        <f t="shared" si="5"/>
        <v/>
      </c>
    </row>
    <row r="469" spans="1:16">
      <c r="A469">
        <v>466</v>
      </c>
      <c r="B469" s="15" t="s">
        <v>896</v>
      </c>
      <c r="C469" t="s">
        <v>909</v>
      </c>
      <c r="D469" s="19" t="s">
        <v>910</v>
      </c>
      <c r="E469">
        <v>1</v>
      </c>
      <c r="F469" s="13">
        <v>125</v>
      </c>
      <c r="G469" s="11" t="s">
        <v>46</v>
      </c>
      <c r="H469" t="s">
        <v>248</v>
      </c>
      <c r="K469" s="19"/>
      <c r="O469" s="31">
        <v>1</v>
      </c>
      <c r="P469" s="34">
        <f t="shared" si="5"/>
        <v>0.5</v>
      </c>
    </row>
    <row r="470" spans="1:16">
      <c r="A470">
        <v>467</v>
      </c>
      <c r="B470" s="15" t="s">
        <v>896</v>
      </c>
      <c r="C470" t="s">
        <v>909</v>
      </c>
      <c r="D470" s="19" t="s">
        <v>911</v>
      </c>
      <c r="E470">
        <v>1</v>
      </c>
      <c r="F470" s="13">
        <v>125</v>
      </c>
      <c r="G470" s="11" t="s">
        <v>46</v>
      </c>
      <c r="H470" t="s">
        <v>248</v>
      </c>
      <c r="K470" s="19"/>
      <c r="O470" s="31">
        <v>1</v>
      </c>
      <c r="P470" s="34">
        <f t="shared" si="5"/>
        <v>0.5</v>
      </c>
    </row>
    <row r="471" spans="1:16">
      <c r="A471">
        <v>468</v>
      </c>
      <c r="B471" s="15" t="s">
        <v>896</v>
      </c>
      <c r="C471" t="s">
        <v>909</v>
      </c>
      <c r="D471" s="19" t="s">
        <v>912</v>
      </c>
      <c r="E471">
        <v>1</v>
      </c>
      <c r="F471" s="13">
        <v>125</v>
      </c>
      <c r="G471" s="11" t="s">
        <v>46</v>
      </c>
      <c r="H471" t="s">
        <v>248</v>
      </c>
      <c r="K471" s="19"/>
      <c r="O471" s="31">
        <v>1</v>
      </c>
      <c r="P471" s="34">
        <f t="shared" si="5"/>
        <v>0.5</v>
      </c>
    </row>
    <row r="472" spans="1:16">
      <c r="A472">
        <v>469</v>
      </c>
      <c r="B472" s="15" t="s">
        <v>896</v>
      </c>
      <c r="C472" t="s">
        <v>909</v>
      </c>
      <c r="D472" s="19" t="s">
        <v>2182</v>
      </c>
      <c r="E472">
        <v>0</v>
      </c>
      <c r="F472" s="13">
        <v>125</v>
      </c>
      <c r="G472" s="11" t="s">
        <v>2057</v>
      </c>
      <c r="H472" t="s">
        <v>248</v>
      </c>
      <c r="K472" s="19"/>
      <c r="O472" s="31">
        <v>1</v>
      </c>
      <c r="P472" s="34">
        <f t="shared" si="5"/>
        <v>0</v>
      </c>
    </row>
    <row r="473" spans="1:16">
      <c r="A473">
        <v>470</v>
      </c>
      <c r="B473" s="15" t="s">
        <v>896</v>
      </c>
      <c r="C473" t="s">
        <v>909</v>
      </c>
      <c r="D473" s="19" t="s">
        <v>2183</v>
      </c>
      <c r="E473">
        <v>0</v>
      </c>
      <c r="F473" s="13">
        <v>125</v>
      </c>
      <c r="G473" s="11" t="s">
        <v>934</v>
      </c>
      <c r="H473" t="s">
        <v>248</v>
      </c>
      <c r="K473" s="19"/>
      <c r="O473" s="31">
        <v>3</v>
      </c>
      <c r="P473" s="34">
        <f t="shared" si="5"/>
        <v>0</v>
      </c>
    </row>
    <row r="474" spans="1:16">
      <c r="A474">
        <v>471</v>
      </c>
      <c r="B474" s="15" t="s">
        <v>896</v>
      </c>
      <c r="C474" t="s">
        <v>913</v>
      </c>
      <c r="D474" s="19" t="s">
        <v>914</v>
      </c>
      <c r="E474">
        <v>1</v>
      </c>
      <c r="F474" s="13">
        <v>125</v>
      </c>
      <c r="G474" s="11" t="s">
        <v>816</v>
      </c>
      <c r="H474" t="s">
        <v>248</v>
      </c>
      <c r="K474" s="19"/>
      <c r="O474" s="31">
        <v>1</v>
      </c>
      <c r="P474" s="34">
        <f t="shared" si="5"/>
        <v>0.5</v>
      </c>
    </row>
    <row r="475" spans="1:16">
      <c r="A475">
        <v>472</v>
      </c>
      <c r="B475" s="15" t="s">
        <v>896</v>
      </c>
      <c r="C475" t="s">
        <v>913</v>
      </c>
      <c r="D475" s="19" t="s">
        <v>409</v>
      </c>
      <c r="E475">
        <v>1</v>
      </c>
      <c r="F475" s="13">
        <v>125</v>
      </c>
      <c r="G475" s="11" t="s">
        <v>46</v>
      </c>
      <c r="H475" t="s">
        <v>248</v>
      </c>
      <c r="K475" s="19"/>
      <c r="O475" s="31">
        <v>1</v>
      </c>
      <c r="P475" s="34">
        <f t="shared" si="5"/>
        <v>0.5</v>
      </c>
    </row>
    <row r="476" spans="1:16">
      <c r="A476">
        <v>473</v>
      </c>
      <c r="B476" s="15" t="s">
        <v>896</v>
      </c>
      <c r="C476" t="s">
        <v>913</v>
      </c>
      <c r="D476" s="19" t="s">
        <v>916</v>
      </c>
      <c r="E476">
        <v>1</v>
      </c>
      <c r="F476" s="13">
        <v>125</v>
      </c>
      <c r="G476" s="11" t="s">
        <v>46</v>
      </c>
      <c r="H476" t="s">
        <v>248</v>
      </c>
      <c r="K476" s="19"/>
      <c r="O476" s="31">
        <v>1</v>
      </c>
      <c r="P476" s="34">
        <f t="shared" si="5"/>
        <v>0.5</v>
      </c>
    </row>
    <row r="477" spans="1:16">
      <c r="A477">
        <v>474</v>
      </c>
      <c r="B477" s="15" t="s">
        <v>896</v>
      </c>
      <c r="C477" t="s">
        <v>913</v>
      </c>
      <c r="D477" s="19" t="s">
        <v>917</v>
      </c>
      <c r="E477">
        <v>1</v>
      </c>
      <c r="F477" s="13">
        <v>125</v>
      </c>
      <c r="G477" s="11" t="s">
        <v>46</v>
      </c>
      <c r="H477" t="s">
        <v>248</v>
      </c>
      <c r="K477" s="19"/>
      <c r="O477" s="31">
        <v>1</v>
      </c>
      <c r="P477" s="34">
        <f t="shared" si="5"/>
        <v>0.5</v>
      </c>
    </row>
    <row r="478" spans="1:16">
      <c r="A478">
        <v>475</v>
      </c>
      <c r="B478" s="15" t="s">
        <v>896</v>
      </c>
      <c r="C478" t="s">
        <v>913</v>
      </c>
      <c r="D478" s="19" t="s">
        <v>2184</v>
      </c>
      <c r="E478">
        <v>0</v>
      </c>
      <c r="F478" s="13">
        <v>125</v>
      </c>
      <c r="G478" s="11" t="s">
        <v>2057</v>
      </c>
      <c r="H478" t="s">
        <v>248</v>
      </c>
      <c r="O478" s="31">
        <v>1</v>
      </c>
      <c r="P478" s="34">
        <f t="shared" si="5"/>
        <v>0</v>
      </c>
    </row>
    <row r="479" spans="1:16">
      <c r="A479">
        <v>476</v>
      </c>
      <c r="B479" s="15" t="s">
        <v>896</v>
      </c>
      <c r="C479" t="s">
        <v>913</v>
      </c>
      <c r="D479" s="19" t="s">
        <v>2185</v>
      </c>
      <c r="E479">
        <v>0</v>
      </c>
      <c r="F479" s="13">
        <v>125</v>
      </c>
      <c r="G479" s="11" t="s">
        <v>934</v>
      </c>
      <c r="H479" t="s">
        <v>248</v>
      </c>
      <c r="O479" s="31">
        <v>3</v>
      </c>
      <c r="P479" s="34">
        <f t="shared" si="5"/>
        <v>0</v>
      </c>
    </row>
    <row r="480" spans="1:16">
      <c r="A480">
        <v>477</v>
      </c>
      <c r="B480" s="15" t="s">
        <v>896</v>
      </c>
      <c r="C480" t="s">
        <v>918</v>
      </c>
      <c r="D480" s="19" t="s">
        <v>2186</v>
      </c>
      <c r="E480">
        <v>1</v>
      </c>
      <c r="F480" s="13">
        <v>125</v>
      </c>
      <c r="G480" s="11" t="s">
        <v>242</v>
      </c>
      <c r="H480" t="s">
        <v>248</v>
      </c>
      <c r="O480" s="31">
        <v>1</v>
      </c>
      <c r="P480" s="34">
        <f t="shared" si="5"/>
        <v>0.5</v>
      </c>
    </row>
    <row r="481" spans="1:16">
      <c r="A481">
        <v>478</v>
      </c>
      <c r="B481" s="15" t="s">
        <v>896</v>
      </c>
      <c r="C481" t="s">
        <v>918</v>
      </c>
      <c r="D481" s="19" t="s">
        <v>2036</v>
      </c>
      <c r="E481">
        <v>1</v>
      </c>
      <c r="F481" s="13">
        <v>125</v>
      </c>
      <c r="G481" s="11" t="s">
        <v>242</v>
      </c>
      <c r="H481" t="s">
        <v>248</v>
      </c>
      <c r="O481" s="31">
        <v>1</v>
      </c>
      <c r="P481" s="34">
        <f t="shared" si="5"/>
        <v>0.5</v>
      </c>
    </row>
    <row r="482" spans="1:16">
      <c r="A482">
        <v>479</v>
      </c>
      <c r="B482" s="15" t="s">
        <v>896</v>
      </c>
      <c r="C482" t="s">
        <v>918</v>
      </c>
      <c r="D482" s="19" t="s">
        <v>921</v>
      </c>
      <c r="E482">
        <v>1</v>
      </c>
      <c r="F482" s="13">
        <v>125</v>
      </c>
      <c r="G482" s="11" t="s">
        <v>46</v>
      </c>
      <c r="H482" t="s">
        <v>248</v>
      </c>
      <c r="O482" s="31">
        <v>1</v>
      </c>
      <c r="P482" s="34">
        <f t="shared" si="5"/>
        <v>0.5</v>
      </c>
    </row>
    <row r="483" spans="1:16">
      <c r="A483">
        <v>480</v>
      </c>
      <c r="B483" s="15" t="s">
        <v>896</v>
      </c>
      <c r="C483" t="s">
        <v>923</v>
      </c>
      <c r="D483" s="19" t="s">
        <v>2187</v>
      </c>
      <c r="E483">
        <v>12</v>
      </c>
      <c r="F483" s="13">
        <v>126</v>
      </c>
      <c r="G483" s="11" t="s">
        <v>816</v>
      </c>
      <c r="H483" t="s">
        <v>248</v>
      </c>
      <c r="K483" t="s">
        <v>925</v>
      </c>
      <c r="O483" s="31">
        <v>0</v>
      </c>
      <c r="P483" s="34">
        <f t="shared" si="5"/>
        <v>0</v>
      </c>
    </row>
    <row r="484" spans="1:16">
      <c r="A484">
        <v>481</v>
      </c>
      <c r="B484" s="15" t="s">
        <v>896</v>
      </c>
      <c r="C484" t="s">
        <v>926</v>
      </c>
      <c r="D484" s="19" t="s">
        <v>927</v>
      </c>
      <c r="E484">
        <v>1</v>
      </c>
      <c r="F484" s="13">
        <v>126</v>
      </c>
      <c r="G484" s="11" t="s">
        <v>572</v>
      </c>
      <c r="H484" t="s">
        <v>248</v>
      </c>
      <c r="O484" s="31">
        <v>1</v>
      </c>
      <c r="P484" s="34">
        <f t="shared" si="5"/>
        <v>0.5</v>
      </c>
    </row>
    <row r="485" spans="1:16">
      <c r="A485">
        <v>482</v>
      </c>
      <c r="B485" s="15" t="s">
        <v>928</v>
      </c>
      <c r="C485" t="s">
        <v>929</v>
      </c>
      <c r="D485" s="19" t="s">
        <v>930</v>
      </c>
      <c r="E485">
        <v>1</v>
      </c>
      <c r="F485" s="13">
        <v>128</v>
      </c>
      <c r="G485" s="11" t="s">
        <v>902</v>
      </c>
      <c r="H485" t="s">
        <v>205</v>
      </c>
      <c r="N485" s="31">
        <v>8</v>
      </c>
      <c r="O485" s="31">
        <v>1</v>
      </c>
      <c r="P485" s="34">
        <f t="shared" si="5"/>
        <v>0.5</v>
      </c>
    </row>
    <row r="486" spans="1:16">
      <c r="A486">
        <v>483</v>
      </c>
      <c r="B486" s="15" t="s">
        <v>928</v>
      </c>
      <c r="C486" t="s">
        <v>929</v>
      </c>
      <c r="D486" s="19" t="s">
        <v>931</v>
      </c>
      <c r="E486">
        <v>1</v>
      </c>
      <c r="F486" s="13">
        <v>128</v>
      </c>
      <c r="G486" s="11" t="s">
        <v>46</v>
      </c>
      <c r="H486" t="s">
        <v>205</v>
      </c>
      <c r="N486" s="31">
        <v>8</v>
      </c>
      <c r="O486" s="31">
        <v>1</v>
      </c>
      <c r="P486" s="34">
        <f t="shared" si="5"/>
        <v>0.5</v>
      </c>
    </row>
    <row r="487" spans="1:16">
      <c r="A487">
        <v>484</v>
      </c>
      <c r="B487" s="15" t="s">
        <v>928</v>
      </c>
      <c r="C487" t="s">
        <v>929</v>
      </c>
      <c r="D487" s="19" t="s">
        <v>933</v>
      </c>
      <c r="E487">
        <v>0</v>
      </c>
      <c r="F487" s="13">
        <v>128</v>
      </c>
      <c r="G487" s="11" t="s">
        <v>934</v>
      </c>
      <c r="H487" t="s">
        <v>205</v>
      </c>
      <c r="N487" s="31">
        <v>8</v>
      </c>
      <c r="O487" s="31">
        <v>3</v>
      </c>
      <c r="P487" s="34">
        <f t="shared" si="5"/>
        <v>0</v>
      </c>
    </row>
    <row r="488" spans="1:16">
      <c r="A488">
        <v>485</v>
      </c>
      <c r="B488" s="15" t="s">
        <v>928</v>
      </c>
      <c r="C488" t="s">
        <v>929</v>
      </c>
      <c r="D488" s="19" t="s">
        <v>935</v>
      </c>
      <c r="E488">
        <v>0</v>
      </c>
      <c r="F488" s="13">
        <v>129</v>
      </c>
      <c r="G488" s="11" t="s">
        <v>934</v>
      </c>
      <c r="H488" t="s">
        <v>205</v>
      </c>
      <c r="N488" s="31">
        <v>8</v>
      </c>
      <c r="O488" s="31">
        <v>3</v>
      </c>
      <c r="P488" s="34">
        <f t="shared" si="5"/>
        <v>0</v>
      </c>
    </row>
    <row r="489" spans="1:16">
      <c r="A489">
        <v>486</v>
      </c>
      <c r="B489" s="15" t="s">
        <v>928</v>
      </c>
      <c r="C489" t="s">
        <v>929</v>
      </c>
      <c r="D489" s="19" t="s">
        <v>936</v>
      </c>
      <c r="E489">
        <v>0</v>
      </c>
      <c r="F489" s="13">
        <v>130</v>
      </c>
      <c r="G489" s="11" t="s">
        <v>934</v>
      </c>
      <c r="H489" t="s">
        <v>205</v>
      </c>
      <c r="N489" s="31">
        <v>8</v>
      </c>
      <c r="O489" s="31">
        <v>3</v>
      </c>
      <c r="P489" s="34">
        <f t="shared" si="5"/>
        <v>0</v>
      </c>
    </row>
    <row r="490" spans="1:16">
      <c r="A490">
        <v>487</v>
      </c>
      <c r="B490" s="15" t="s">
        <v>928</v>
      </c>
      <c r="C490" t="s">
        <v>937</v>
      </c>
      <c r="D490" s="19" t="s">
        <v>938</v>
      </c>
      <c r="E490">
        <v>1</v>
      </c>
      <c r="F490" s="13">
        <v>130</v>
      </c>
      <c r="G490" s="11" t="s">
        <v>939</v>
      </c>
      <c r="H490" t="s">
        <v>205</v>
      </c>
      <c r="N490" s="31">
        <v>8</v>
      </c>
      <c r="O490" s="31">
        <v>2</v>
      </c>
      <c r="P490" s="34">
        <f t="shared" si="5"/>
        <v>1</v>
      </c>
    </row>
    <row r="491" spans="1:16">
      <c r="A491">
        <v>488</v>
      </c>
      <c r="B491" s="15" t="s">
        <v>928</v>
      </c>
      <c r="C491" t="s">
        <v>940</v>
      </c>
      <c r="D491" s="19" t="s">
        <v>2188</v>
      </c>
      <c r="E491">
        <v>1</v>
      </c>
      <c r="F491" s="13">
        <v>130</v>
      </c>
      <c r="G491" s="11" t="s">
        <v>242</v>
      </c>
      <c r="H491" t="s">
        <v>205</v>
      </c>
      <c r="N491" s="31">
        <v>8</v>
      </c>
      <c r="O491" s="31">
        <v>1</v>
      </c>
      <c r="P491" s="34">
        <f t="shared" si="5"/>
        <v>0.5</v>
      </c>
    </row>
    <row r="492" spans="1:16">
      <c r="A492">
        <v>489</v>
      </c>
      <c r="B492" s="15" t="s">
        <v>928</v>
      </c>
      <c r="C492" t="s">
        <v>940</v>
      </c>
      <c r="D492" s="19" t="s">
        <v>943</v>
      </c>
      <c r="E492">
        <v>0</v>
      </c>
      <c r="F492" s="13">
        <v>130</v>
      </c>
      <c r="G492" s="11" t="s">
        <v>934</v>
      </c>
      <c r="H492" t="s">
        <v>205</v>
      </c>
      <c r="N492" s="31">
        <v>8</v>
      </c>
      <c r="O492" s="31">
        <v>3</v>
      </c>
      <c r="P492" s="34">
        <f t="shared" si="5"/>
        <v>0</v>
      </c>
    </row>
    <row r="493" spans="1:16">
      <c r="A493">
        <v>490</v>
      </c>
      <c r="B493" s="15" t="s">
        <v>928</v>
      </c>
      <c r="C493" t="s">
        <v>940</v>
      </c>
      <c r="D493" s="19" t="s">
        <v>945</v>
      </c>
      <c r="E493">
        <v>0</v>
      </c>
      <c r="F493" s="13">
        <v>130</v>
      </c>
      <c r="G493" s="11" t="s">
        <v>934</v>
      </c>
      <c r="H493" t="s">
        <v>205</v>
      </c>
      <c r="N493" s="31">
        <v>8</v>
      </c>
      <c r="O493" s="31">
        <v>3</v>
      </c>
      <c r="P493" s="34">
        <f t="shared" si="5"/>
        <v>0</v>
      </c>
    </row>
    <row r="494" spans="1:16">
      <c r="P494" s="34" t="str">
        <f t="shared" si="5"/>
        <v/>
      </c>
    </row>
    <row r="495" spans="1:16">
      <c r="P495" s="34" t="str">
        <f t="shared" si="5"/>
        <v/>
      </c>
    </row>
    <row r="496" spans="1:16" ht="15" customHeight="1">
      <c r="P496" s="34" t="str">
        <f t="shared" si="5"/>
        <v/>
      </c>
    </row>
    <row r="497" spans="16:16" ht="15" customHeight="1">
      <c r="P497" s="34" t="str">
        <f t="shared" si="5"/>
        <v/>
      </c>
    </row>
    <row r="498" spans="16:16" ht="15" customHeight="1">
      <c r="P498" s="34" t="str">
        <f t="shared" si="5"/>
        <v/>
      </c>
    </row>
    <row r="499" spans="16:16" ht="15" customHeight="1">
      <c r="P499" s="34" t="str">
        <f t="shared" si="5"/>
        <v/>
      </c>
    </row>
    <row r="500" spans="16:16" ht="15" customHeight="1">
      <c r="P500" s="34" t="str">
        <f t="shared" si="5"/>
        <v/>
      </c>
    </row>
    <row r="501" spans="16:16" ht="15" customHeight="1">
      <c r="P501" s="34" t="str">
        <f t="shared" si="5"/>
        <v/>
      </c>
    </row>
    <row r="502" spans="16:16" ht="15" customHeight="1">
      <c r="P502" s="34" t="str">
        <f t="shared" si="5"/>
        <v/>
      </c>
    </row>
    <row r="503" spans="16:16" ht="15" customHeight="1">
      <c r="P503" s="34" t="str">
        <f t="shared" si="5"/>
        <v/>
      </c>
    </row>
    <row r="504" spans="16:16" ht="15" customHeight="1">
      <c r="P504" s="34" t="str">
        <f t="shared" si="5"/>
        <v/>
      </c>
    </row>
    <row r="505" spans="16:16" ht="15" customHeight="1">
      <c r="P505" s="34" t="str">
        <f t="shared" si="5"/>
        <v/>
      </c>
    </row>
    <row r="506" spans="16:16" ht="15" customHeight="1">
      <c r="P506" s="34" t="str">
        <f t="shared" si="5"/>
        <v/>
      </c>
    </row>
    <row r="507" spans="16:16" ht="15" customHeight="1">
      <c r="P507" s="34" t="str">
        <f t="shared" si="5"/>
        <v/>
      </c>
    </row>
    <row r="508" spans="16:16" ht="15" customHeight="1">
      <c r="P508" s="34" t="str">
        <f t="shared" si="5"/>
        <v/>
      </c>
    </row>
    <row r="509" spans="16:16" ht="15" customHeight="1">
      <c r="P509" s="34" t="str">
        <f t="shared" si="5"/>
        <v/>
      </c>
    </row>
    <row r="510" spans="16:16" ht="15" customHeight="1">
      <c r="P510" s="34" t="str">
        <f t="shared" si="5"/>
        <v/>
      </c>
    </row>
    <row r="511" spans="16:16" ht="15" customHeight="1"/>
    <row r="512" spans="16:16" ht="15" customHeight="1"/>
    <row r="513" ht="15" customHeight="1"/>
    <row r="514" ht="15" customHeight="1"/>
  </sheetData>
  <autoFilter ref="A3:S510" xr:uid="{AE0CC317-0C6F-45F6-A039-10947180B1D2}"/>
  <conditionalFormatting sqref="D1:D1048576">
    <cfRule type="duplicateValues" dxfId="7" priority="1"/>
  </conditionalFormatting>
  <conditionalFormatting sqref="G1:G75 G77:G110 G162:G257 G327 G338:G1048576">
    <cfRule type="containsText" dxfId="6" priority="9" operator="containsText" text="header only">
      <formula>NOT(ISERROR(SEARCH("header only",G1)))</formula>
    </cfRule>
  </conditionalFormatting>
  <conditionalFormatting sqref="G112:G125">
    <cfRule type="containsText" dxfId="5" priority="6" operator="containsText" text="header only">
      <formula>NOT(ISERROR(SEARCH("header only",G112)))</formula>
    </cfRule>
  </conditionalFormatting>
  <conditionalFormatting sqref="G127:G130">
    <cfRule type="containsText" dxfId="4" priority="8" operator="containsText" text="header only">
      <formula>NOT(ISERROR(SEARCH("header only",G127)))</formula>
    </cfRule>
  </conditionalFormatting>
  <conditionalFormatting sqref="G132:G158">
    <cfRule type="containsText" dxfId="3" priority="7" operator="containsText" text="header only">
      <formula>NOT(ISERROR(SEARCH("header only",G132)))</formula>
    </cfRule>
  </conditionalFormatting>
  <conditionalFormatting sqref="G259:G323">
    <cfRule type="containsText" dxfId="2" priority="5" operator="containsText" text="header only">
      <formula>NOT(ISERROR(SEARCH("header only",G259)))</formula>
    </cfRule>
  </conditionalFormatting>
  <conditionalFormatting sqref="G333:G334">
    <cfRule type="containsText" dxfId="1" priority="2" operator="containsText" text="header only">
      <formula>NOT(ISERROR(SEARCH("header only",G333)))</formula>
    </cfRule>
  </conditionalFormatting>
  <conditionalFormatting sqref="K465:K477">
    <cfRule type="duplicateValues" dxfId="0" priority="4"/>
  </conditionalFormatting>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DD047-D16D-4F91-8384-CD43A44AF697}">
  <dimension ref="B5:C40"/>
  <sheetViews>
    <sheetView workbookViewId="0">
      <selection activeCell="C34" sqref="C34"/>
    </sheetView>
  </sheetViews>
  <sheetFormatPr defaultRowHeight="14.45"/>
  <cols>
    <col min="2" max="2" width="34.5703125" bestFit="1" customWidth="1"/>
    <col min="3" max="3" width="53.5703125" bestFit="1" customWidth="1"/>
  </cols>
  <sheetData>
    <row r="5" spans="2:2">
      <c r="B5" s="9" t="s">
        <v>2189</v>
      </c>
    </row>
    <row r="6" spans="2:2">
      <c r="B6" t="s">
        <v>22</v>
      </c>
    </row>
    <row r="7" spans="2:2">
      <c r="B7" t="s">
        <v>25</v>
      </c>
    </row>
    <row r="8" spans="2:2">
      <c r="B8" t="s">
        <v>28</v>
      </c>
    </row>
    <row r="9" spans="2:2">
      <c r="B9" t="s">
        <v>31</v>
      </c>
    </row>
    <row r="10" spans="2:2">
      <c r="B10" t="s">
        <v>33</v>
      </c>
    </row>
    <row r="11" spans="2:2">
      <c r="B11" t="s">
        <v>39</v>
      </c>
    </row>
    <row r="12" spans="2:2">
      <c r="B12" t="s">
        <v>43</v>
      </c>
    </row>
    <row r="13" spans="2:2">
      <c r="B13" t="s">
        <v>43</v>
      </c>
    </row>
    <row r="14" spans="2:2">
      <c r="B14" t="s">
        <v>44</v>
      </c>
    </row>
    <row r="15" spans="2:2">
      <c r="B15" t="s">
        <v>51</v>
      </c>
    </row>
    <row r="16" spans="2:2">
      <c r="B16" t="s">
        <v>48</v>
      </c>
    </row>
    <row r="17" spans="2:3">
      <c r="B17" t="s">
        <v>2190</v>
      </c>
      <c r="C17" t="s">
        <v>2191</v>
      </c>
    </row>
    <row r="18" spans="2:3">
      <c r="B18" t="s">
        <v>2192</v>
      </c>
      <c r="C18" t="s">
        <v>2191</v>
      </c>
    </row>
    <row r="19" spans="2:3">
      <c r="B19" t="s">
        <v>2193</v>
      </c>
      <c r="C19" t="s">
        <v>2191</v>
      </c>
    </row>
    <row r="20" spans="2:3">
      <c r="B20" t="s">
        <v>56</v>
      </c>
    </row>
    <row r="21" spans="2:3">
      <c r="B21" t="s">
        <v>58</v>
      </c>
    </row>
    <row r="22" spans="2:3">
      <c r="B22" t="s">
        <v>60</v>
      </c>
    </row>
    <row r="23" spans="2:3">
      <c r="B23" t="s">
        <v>63</v>
      </c>
    </row>
    <row r="24" spans="2:3">
      <c r="B24" t="s">
        <v>61</v>
      </c>
    </row>
    <row r="25" spans="2:3">
      <c r="B25" t="s">
        <v>64</v>
      </c>
    </row>
    <row r="26" spans="2:3">
      <c r="B26" t="s">
        <v>84</v>
      </c>
    </row>
    <row r="27" spans="2:3">
      <c r="B27" t="s">
        <v>85</v>
      </c>
    </row>
    <row r="28" spans="2:3">
      <c r="B28" t="s">
        <v>88</v>
      </c>
    </row>
    <row r="29" spans="2:3">
      <c r="B29" t="s">
        <v>87</v>
      </c>
    </row>
    <row r="30" spans="2:3">
      <c r="B30" t="s">
        <v>72</v>
      </c>
    </row>
    <row r="31" spans="2:3">
      <c r="B31" t="s">
        <v>74</v>
      </c>
    </row>
    <row r="32" spans="2:3">
      <c r="B32" t="s">
        <v>76</v>
      </c>
    </row>
    <row r="33" spans="2:3">
      <c r="B33" t="s">
        <v>2194</v>
      </c>
      <c r="C33" t="s">
        <v>2195</v>
      </c>
    </row>
    <row r="34" spans="2:3">
      <c r="B34" t="s">
        <v>78</v>
      </c>
    </row>
    <row r="35" spans="2:3">
      <c r="B35" t="s">
        <v>68</v>
      </c>
    </row>
    <row r="36" spans="2:3">
      <c r="B36" t="s">
        <v>69</v>
      </c>
    </row>
    <row r="37" spans="2:3">
      <c r="B37" t="s">
        <v>80</v>
      </c>
    </row>
    <row r="38" spans="2:3">
      <c r="B38" t="s">
        <v>82</v>
      </c>
    </row>
    <row r="39" spans="2:3">
      <c r="B39" t="s">
        <v>91</v>
      </c>
    </row>
    <row r="40" spans="2:3">
      <c r="B40" t="s">
        <v>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06BBE395F3FE4BA033C986B7C52C62" ma:contentTypeVersion="10" ma:contentTypeDescription="Create a new document." ma:contentTypeScope="" ma:versionID="48a50f7dba24e23ef39e42208dff5751">
  <xsd:schema xmlns:xsd="http://www.w3.org/2001/XMLSchema" xmlns:xs="http://www.w3.org/2001/XMLSchema" xmlns:p="http://schemas.microsoft.com/office/2006/metadata/properties" xmlns:ns2="77df6061-946e-42b9-90c5-15c640484264" xmlns:ns3="3f165c35-2837-4982-b6c8-48d5414a7b44" targetNamespace="http://schemas.microsoft.com/office/2006/metadata/properties" ma:root="true" ma:fieldsID="239711d8f7f7667479ce626574fcf89e" ns2:_="" ns3:_="">
    <xsd:import namespace="77df6061-946e-42b9-90c5-15c640484264"/>
    <xsd:import namespace="3f165c35-2837-4982-b6c8-48d5414a7b4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df6061-946e-42b9-90c5-15c6404842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c02d974-a826-489f-8c27-01d51db93a4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165c35-2837-4982-b6c8-48d5414a7b4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259b053-444e-4a66-bed6-e63a65b78a57}" ma:internalName="TaxCatchAll" ma:showField="CatchAllData" ma:web="3f165c35-2837-4982-b6c8-48d5414a7b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f165c35-2837-4982-b6c8-48d5414a7b44" xsi:nil="true"/>
    <lcf76f155ced4ddcb4097134ff3c332f xmlns="77df6061-946e-42b9-90c5-15c64048426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9FBF86-7261-41C3-825D-AE00D0E8D592}"/>
</file>

<file path=customXml/itemProps2.xml><?xml version="1.0" encoding="utf-8"?>
<ds:datastoreItem xmlns:ds="http://schemas.openxmlformats.org/officeDocument/2006/customXml" ds:itemID="{751A643B-A652-49D8-8993-FECCF5CDE7FC}"/>
</file>

<file path=customXml/itemProps3.xml><?xml version="1.0" encoding="utf-8"?>
<ds:datastoreItem xmlns:ds="http://schemas.openxmlformats.org/officeDocument/2006/customXml" ds:itemID="{691AE9A8-945E-4C94-8E41-47174F0E48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Bev Tyler</dc:creator>
  <cp:keywords/>
  <dc:description/>
  <cp:lastModifiedBy/>
  <cp:revision/>
  <dcterms:created xsi:type="dcterms:W3CDTF">2025-05-12T18:40:37Z</dcterms:created>
  <dcterms:modified xsi:type="dcterms:W3CDTF">2025-11-03T22:43:15Z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0x010100B706BBE395F3FE4BA033C986B7C52C62</vt:lpwstr>
  </property>
  <property fmtid="{D5CDD505-2E9C-101B-9397-08002B2CF9AE}" pid="3" name="MediaServiceImageTags">
    <vt:lpwstr/>
  </property>
</Properties>
</file>