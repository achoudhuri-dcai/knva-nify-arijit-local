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F:\First Analytics\Clients\Demand Chain AI\2025-5 Kellanova NIFTY\PROGRAM\knva-nifty\Dash_App\raw_docs\"/>
    </mc:Choice>
  </mc:AlternateContent>
  <xr:revisionPtr revIDLastSave="0" documentId="13_ncr:1_{19BE69E8-C13B-4BE4-B0C5-96B5A238EF18}" xr6:coauthVersionLast="47" xr6:coauthVersionMax="47" xr10:uidLastSave="{00000000-0000-0000-0000-000000000000}"/>
  <bookViews>
    <workbookView xWindow="-3300" yWindow="11890" windowWidth="25820" windowHeight="15500" firstSheet="1" activeTab="1" xr2:uid="{EB9C68A9-4209-4D13-9F3A-A7827E77225F}"/>
  </bookViews>
  <sheets>
    <sheet name="Req Init 1.1" sheetId="1" state="hidden" r:id="rId1"/>
    <sheet name="All sections of NIF PDF" sheetId="3" r:id="rId2"/>
    <sheet name="Complexity" sheetId="7" state="hidden" r:id="rId3"/>
    <sheet name="w-Masterfiles extra fields" sheetId="8" state="hidden" r:id="rId4"/>
    <sheet name="Bev notes" sheetId="2" state="hidden" r:id="rId5"/>
  </sheets>
  <definedNames>
    <definedName name="_xlnm._FilterDatabase" localSheetId="1" hidden="1">'All sections of NIF PDF'!$A$1:$AB$308</definedName>
    <definedName name="_xlnm._FilterDatabase" localSheetId="3" hidden="1">'w-Masterfiles extra fields'!$A$3:$S$510</definedName>
  </definedNames>
  <calcPr calcId="191028"/>
  <pivotCaches>
    <pivotCache cacheId="3" r:id="rId6"/>
    <pivotCache cacheId="5"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8" i="3" l="1"/>
  <c r="V165" i="3"/>
  <c r="V157" i="3"/>
  <c r="P8" i="3"/>
  <c r="Q8" i="3"/>
  <c r="R8" i="3"/>
  <c r="S8" i="3"/>
  <c r="S3" i="3"/>
  <c r="S4" i="3"/>
  <c r="S5" i="3"/>
  <c r="S6" i="3"/>
  <c r="S7"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118" i="3"/>
  <c r="S74" i="3"/>
  <c r="S75" i="3"/>
  <c r="S76" i="3"/>
  <c r="S77" i="3"/>
  <c r="S78" i="3"/>
  <c r="S79" i="3"/>
  <c r="S80" i="3"/>
  <c r="S81" i="3"/>
  <c r="S82" i="3"/>
  <c r="S83" i="3"/>
  <c r="S84" i="3"/>
  <c r="S85" i="3"/>
  <c r="S86" i="3"/>
  <c r="S87" i="3"/>
  <c r="S88"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8" i="3"/>
  <c r="S159" i="3"/>
  <c r="S89" i="3"/>
  <c r="S160" i="3"/>
  <c r="S161" i="3"/>
  <c r="S162" i="3"/>
  <c r="S163" i="3"/>
  <c r="S164"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2" i="3"/>
  <c r="R3" i="3"/>
  <c r="R4" i="3"/>
  <c r="R5" i="3"/>
  <c r="R6" i="3"/>
  <c r="R7"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118" i="3"/>
  <c r="R74" i="3"/>
  <c r="R75" i="3"/>
  <c r="R76" i="3"/>
  <c r="R77" i="3"/>
  <c r="R78" i="3"/>
  <c r="R79" i="3"/>
  <c r="R80" i="3"/>
  <c r="R81" i="3"/>
  <c r="R82" i="3"/>
  <c r="R83" i="3"/>
  <c r="R84" i="3"/>
  <c r="R85" i="3"/>
  <c r="R86" i="3"/>
  <c r="R87" i="3"/>
  <c r="R88"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8" i="3"/>
  <c r="R159" i="3"/>
  <c r="R89" i="3"/>
  <c r="R160" i="3"/>
  <c r="R161" i="3"/>
  <c r="R162" i="3"/>
  <c r="R163" i="3"/>
  <c r="R164"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2" i="3"/>
  <c r="Q3" i="3"/>
  <c r="Q4" i="3"/>
  <c r="Q5" i="3"/>
  <c r="Q6" i="3"/>
  <c r="Q7"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118" i="3"/>
  <c r="Q74" i="3"/>
  <c r="Q75" i="3"/>
  <c r="Q76" i="3"/>
  <c r="Q77" i="3"/>
  <c r="Q78" i="3"/>
  <c r="Q79" i="3"/>
  <c r="Q80" i="3"/>
  <c r="Q81" i="3"/>
  <c r="Q82" i="3"/>
  <c r="Q83" i="3"/>
  <c r="Q84" i="3"/>
  <c r="Q85" i="3"/>
  <c r="Q86" i="3"/>
  <c r="Q87" i="3"/>
  <c r="Q88"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8" i="3"/>
  <c r="Q159" i="3"/>
  <c r="Q89" i="3"/>
  <c r="Q160" i="3"/>
  <c r="Q161" i="3"/>
  <c r="Q162" i="3"/>
  <c r="Q163" i="3"/>
  <c r="Q164"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2" i="3"/>
  <c r="V44" i="3"/>
  <c r="P44" i="3"/>
  <c r="P3" i="3"/>
  <c r="P4" i="3"/>
  <c r="P5" i="3"/>
  <c r="P6" i="3"/>
  <c r="P7"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118" i="3"/>
  <c r="P74" i="3"/>
  <c r="P75" i="3"/>
  <c r="P76" i="3"/>
  <c r="P77" i="3"/>
  <c r="P78" i="3"/>
  <c r="P79" i="3"/>
  <c r="P80" i="3"/>
  <c r="P81" i="3"/>
  <c r="P82" i="3"/>
  <c r="P83" i="3"/>
  <c r="P84" i="3"/>
  <c r="P85" i="3"/>
  <c r="P86" i="3"/>
  <c r="P87" i="3"/>
  <c r="P88"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8" i="3"/>
  <c r="P159" i="3"/>
  <c r="P89" i="3"/>
  <c r="P160" i="3"/>
  <c r="P161" i="3"/>
  <c r="P162" i="3"/>
  <c r="P163" i="3"/>
  <c r="P164"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2" i="3"/>
  <c r="V260" i="3"/>
  <c r="V262" i="3"/>
  <c r="V211" i="3"/>
  <c r="V210" i="3"/>
  <c r="V264" i="3"/>
  <c r="V263" i="3"/>
  <c r="V71" i="3"/>
  <c r="V142" i="3"/>
  <c r="V207" i="3"/>
  <c r="V84" i="3"/>
  <c r="V182" i="3"/>
  <c r="V76" i="3"/>
  <c r="P510" i="8"/>
  <c r="P509" i="8"/>
  <c r="P508" i="8"/>
  <c r="P507" i="8"/>
  <c r="P506" i="8"/>
  <c r="P505" i="8"/>
  <c r="P504" i="8"/>
  <c r="P503" i="8"/>
  <c r="P502" i="8"/>
  <c r="P501" i="8"/>
  <c r="P500" i="8"/>
  <c r="P499" i="8"/>
  <c r="P498" i="8"/>
  <c r="P497" i="8"/>
  <c r="P496" i="8"/>
  <c r="P495" i="8"/>
  <c r="P494" i="8"/>
  <c r="P493" i="8"/>
  <c r="P492" i="8"/>
  <c r="P491" i="8"/>
  <c r="P490" i="8"/>
  <c r="P489" i="8"/>
  <c r="P488" i="8"/>
  <c r="P487" i="8"/>
  <c r="P486" i="8"/>
  <c r="P485" i="8"/>
  <c r="P484" i="8"/>
  <c r="P483" i="8"/>
  <c r="P482" i="8"/>
  <c r="P481" i="8"/>
  <c r="P480" i="8"/>
  <c r="P479" i="8"/>
  <c r="P478" i="8"/>
  <c r="P477" i="8"/>
  <c r="P476" i="8"/>
  <c r="P475" i="8"/>
  <c r="P474" i="8"/>
  <c r="P473" i="8"/>
  <c r="P472" i="8"/>
  <c r="P471" i="8"/>
  <c r="P470" i="8"/>
  <c r="P469" i="8"/>
  <c r="P468" i="8"/>
  <c r="P467" i="8"/>
  <c r="P466" i="8"/>
  <c r="P465" i="8"/>
  <c r="P464" i="8"/>
  <c r="P463" i="8"/>
  <c r="P462" i="8"/>
  <c r="P461" i="8"/>
  <c r="P460" i="8"/>
  <c r="P459" i="8"/>
  <c r="P458" i="8"/>
  <c r="P457" i="8"/>
  <c r="P456" i="8"/>
  <c r="P455" i="8"/>
  <c r="P454" i="8"/>
  <c r="P453" i="8"/>
  <c r="P452" i="8"/>
  <c r="P451" i="8"/>
  <c r="P450" i="8"/>
  <c r="P449" i="8"/>
  <c r="P448" i="8"/>
  <c r="P447" i="8"/>
  <c r="P446" i="8"/>
  <c r="P445" i="8"/>
  <c r="P444" i="8"/>
  <c r="P443" i="8"/>
  <c r="P442" i="8"/>
  <c r="P441" i="8"/>
  <c r="P440" i="8"/>
  <c r="P439" i="8"/>
  <c r="P438" i="8"/>
  <c r="P437" i="8"/>
  <c r="P436" i="8"/>
  <c r="P435" i="8"/>
  <c r="P434" i="8"/>
  <c r="P433" i="8"/>
  <c r="P432" i="8"/>
  <c r="P431" i="8"/>
  <c r="P430" i="8"/>
  <c r="P429" i="8"/>
  <c r="P428" i="8"/>
  <c r="P427" i="8"/>
  <c r="P426" i="8"/>
  <c r="P425" i="8"/>
  <c r="P424" i="8"/>
  <c r="P423" i="8"/>
  <c r="P422" i="8"/>
  <c r="P421" i="8"/>
  <c r="P420" i="8"/>
  <c r="P419" i="8"/>
  <c r="P418" i="8"/>
  <c r="P417" i="8"/>
  <c r="P416" i="8"/>
  <c r="P415" i="8"/>
  <c r="P414" i="8"/>
  <c r="P413" i="8"/>
  <c r="P412" i="8"/>
  <c r="P411" i="8"/>
  <c r="P410" i="8"/>
  <c r="P409" i="8"/>
  <c r="P408" i="8"/>
  <c r="P407" i="8"/>
  <c r="P406" i="8"/>
  <c r="P405" i="8"/>
  <c r="P404" i="8"/>
  <c r="P403" i="8"/>
  <c r="P402" i="8"/>
  <c r="P401" i="8"/>
  <c r="P400" i="8"/>
  <c r="P399" i="8"/>
  <c r="P398" i="8"/>
  <c r="P397" i="8"/>
  <c r="P396" i="8"/>
  <c r="P395" i="8"/>
  <c r="P394" i="8"/>
  <c r="P393" i="8"/>
  <c r="P392" i="8"/>
  <c r="P391" i="8"/>
  <c r="P390" i="8"/>
  <c r="P389" i="8"/>
  <c r="P388" i="8"/>
  <c r="P387" i="8"/>
  <c r="P386" i="8"/>
  <c r="P385" i="8"/>
  <c r="P384" i="8"/>
  <c r="P383" i="8"/>
  <c r="P382" i="8"/>
  <c r="P381" i="8"/>
  <c r="P380" i="8"/>
  <c r="P379" i="8"/>
  <c r="P378" i="8"/>
  <c r="P377" i="8"/>
  <c r="P376" i="8"/>
  <c r="P375" i="8"/>
  <c r="P374" i="8"/>
  <c r="P373" i="8"/>
  <c r="P372" i="8"/>
  <c r="P371" i="8"/>
  <c r="P370" i="8"/>
  <c r="P369" i="8"/>
  <c r="P368" i="8"/>
  <c r="P367" i="8"/>
  <c r="P366" i="8"/>
  <c r="P365" i="8"/>
  <c r="P364" i="8"/>
  <c r="P363" i="8"/>
  <c r="P362" i="8"/>
  <c r="P361" i="8"/>
  <c r="P360" i="8"/>
  <c r="P359" i="8"/>
  <c r="P358" i="8"/>
  <c r="P357" i="8"/>
  <c r="P356" i="8"/>
  <c r="P355" i="8"/>
  <c r="P354" i="8"/>
  <c r="P353" i="8"/>
  <c r="P352" i="8"/>
  <c r="P351" i="8"/>
  <c r="P350" i="8"/>
  <c r="P349" i="8"/>
  <c r="P348" i="8"/>
  <c r="P347" i="8"/>
  <c r="P346" i="8"/>
  <c r="P345" i="8"/>
  <c r="P344" i="8"/>
  <c r="P343" i="8"/>
  <c r="P342" i="8"/>
  <c r="P341" i="8"/>
  <c r="P340" i="8"/>
  <c r="P339" i="8"/>
  <c r="P338" i="8"/>
  <c r="P337" i="8"/>
  <c r="P336" i="8"/>
  <c r="P335" i="8"/>
  <c r="P334" i="8"/>
  <c r="P333" i="8"/>
  <c r="P332" i="8"/>
  <c r="P331" i="8"/>
  <c r="P330" i="8"/>
  <c r="P329" i="8"/>
  <c r="P328" i="8"/>
  <c r="P327" i="8"/>
  <c r="P326" i="8"/>
  <c r="P325" i="8"/>
  <c r="P324" i="8"/>
  <c r="P323" i="8"/>
  <c r="P322" i="8"/>
  <c r="P321" i="8"/>
  <c r="P320" i="8"/>
  <c r="P319" i="8"/>
  <c r="P318" i="8"/>
  <c r="P317" i="8"/>
  <c r="P316" i="8"/>
  <c r="P315" i="8"/>
  <c r="P314" i="8"/>
  <c r="P313" i="8"/>
  <c r="P312" i="8"/>
  <c r="P311" i="8"/>
  <c r="P310" i="8"/>
  <c r="P309" i="8"/>
  <c r="P308" i="8"/>
  <c r="P307" i="8"/>
  <c r="P306" i="8"/>
  <c r="P305" i="8"/>
  <c r="P304" i="8"/>
  <c r="P303" i="8"/>
  <c r="P302" i="8"/>
  <c r="P301" i="8"/>
  <c r="P300" i="8"/>
  <c r="P299" i="8"/>
  <c r="P298" i="8"/>
  <c r="P297" i="8"/>
  <c r="P296" i="8"/>
  <c r="P295" i="8"/>
  <c r="P294" i="8"/>
  <c r="P293" i="8"/>
  <c r="P292" i="8"/>
  <c r="P291" i="8"/>
  <c r="P290" i="8"/>
  <c r="P289" i="8"/>
  <c r="P288" i="8"/>
  <c r="P287" i="8"/>
  <c r="P286" i="8"/>
  <c r="P285" i="8"/>
  <c r="P284" i="8"/>
  <c r="P283" i="8"/>
  <c r="P282" i="8"/>
  <c r="P281" i="8"/>
  <c r="P280" i="8"/>
  <c r="P279" i="8"/>
  <c r="P278" i="8"/>
  <c r="P277" i="8"/>
  <c r="P276" i="8"/>
  <c r="P275" i="8"/>
  <c r="P274" i="8"/>
  <c r="P273" i="8"/>
  <c r="P272" i="8"/>
  <c r="P271" i="8"/>
  <c r="P270" i="8"/>
  <c r="P269" i="8"/>
  <c r="P268" i="8"/>
  <c r="P267" i="8"/>
  <c r="P266" i="8"/>
  <c r="P265" i="8"/>
  <c r="P264" i="8"/>
  <c r="P263" i="8"/>
  <c r="P262" i="8"/>
  <c r="P261" i="8"/>
  <c r="P260" i="8"/>
  <c r="P259" i="8"/>
  <c r="P258" i="8"/>
  <c r="P257" i="8"/>
  <c r="P256" i="8"/>
  <c r="P255" i="8"/>
  <c r="P254" i="8"/>
  <c r="P253" i="8"/>
  <c r="P252" i="8"/>
  <c r="P251" i="8"/>
  <c r="P250" i="8"/>
  <c r="P249" i="8"/>
  <c r="P248" i="8"/>
  <c r="P247" i="8"/>
  <c r="P246" i="8"/>
  <c r="P245" i="8"/>
  <c r="P244" i="8"/>
  <c r="P243" i="8"/>
  <c r="P242" i="8"/>
  <c r="P241" i="8"/>
  <c r="P240" i="8"/>
  <c r="P239" i="8"/>
  <c r="P238" i="8"/>
  <c r="P237" i="8"/>
  <c r="P236" i="8"/>
  <c r="P235" i="8"/>
  <c r="P234" i="8"/>
  <c r="P233" i="8"/>
  <c r="P232" i="8"/>
  <c r="P231" i="8"/>
  <c r="P230" i="8"/>
  <c r="P229" i="8"/>
  <c r="P228" i="8"/>
  <c r="P227" i="8"/>
  <c r="P226" i="8"/>
  <c r="P225" i="8"/>
  <c r="P224" i="8"/>
  <c r="P223" i="8"/>
  <c r="P222" i="8"/>
  <c r="P221" i="8"/>
  <c r="P220" i="8"/>
  <c r="P219" i="8"/>
  <c r="P218" i="8"/>
  <c r="P217" i="8"/>
  <c r="P216" i="8"/>
  <c r="P215" i="8"/>
  <c r="P214" i="8"/>
  <c r="P213" i="8"/>
  <c r="P212" i="8"/>
  <c r="P211" i="8"/>
  <c r="P210" i="8"/>
  <c r="P209" i="8"/>
  <c r="P208" i="8"/>
  <c r="P207" i="8"/>
  <c r="P206" i="8"/>
  <c r="P205" i="8"/>
  <c r="P204" i="8"/>
  <c r="P203" i="8"/>
  <c r="P202" i="8"/>
  <c r="P201" i="8"/>
  <c r="P200" i="8"/>
  <c r="P199" i="8"/>
  <c r="P198" i="8"/>
  <c r="P197" i="8"/>
  <c r="P196" i="8"/>
  <c r="P195" i="8"/>
  <c r="P194" i="8"/>
  <c r="P193" i="8"/>
  <c r="P192" i="8"/>
  <c r="P191" i="8"/>
  <c r="P190" i="8"/>
  <c r="P189" i="8"/>
  <c r="P188" i="8"/>
  <c r="P187" i="8"/>
  <c r="P186" i="8"/>
  <c r="P185" i="8"/>
  <c r="P184" i="8"/>
  <c r="P183" i="8"/>
  <c r="P182" i="8"/>
  <c r="P181" i="8"/>
  <c r="P180" i="8"/>
  <c r="P179" i="8"/>
  <c r="P178" i="8"/>
  <c r="P177" i="8"/>
  <c r="P176" i="8"/>
  <c r="P175" i="8"/>
  <c r="P174" i="8"/>
  <c r="P173" i="8"/>
  <c r="P172" i="8"/>
  <c r="P171" i="8"/>
  <c r="P170" i="8"/>
  <c r="P169" i="8"/>
  <c r="P168" i="8"/>
  <c r="P167" i="8"/>
  <c r="P166" i="8"/>
  <c r="P165" i="8"/>
  <c r="P164" i="8"/>
  <c r="P163" i="8"/>
  <c r="P162" i="8"/>
  <c r="P161" i="8"/>
  <c r="P160" i="8"/>
  <c r="P159" i="8"/>
  <c r="P158" i="8"/>
  <c r="P157" i="8"/>
  <c r="P156" i="8"/>
  <c r="P155" i="8"/>
  <c r="P154" i="8"/>
  <c r="P153" i="8"/>
  <c r="P152" i="8"/>
  <c r="P151" i="8"/>
  <c r="P150" i="8"/>
  <c r="P149" i="8"/>
  <c r="P148" i="8"/>
  <c r="P147" i="8"/>
  <c r="P146" i="8"/>
  <c r="P145" i="8"/>
  <c r="P144" i="8"/>
  <c r="P143" i="8"/>
  <c r="P142" i="8"/>
  <c r="P141" i="8"/>
  <c r="P140" i="8"/>
  <c r="P139" i="8"/>
  <c r="P138" i="8"/>
  <c r="P137" i="8"/>
  <c r="P136" i="8"/>
  <c r="P135" i="8"/>
  <c r="P134" i="8"/>
  <c r="P133" i="8"/>
  <c r="P132" i="8"/>
  <c r="P131" i="8"/>
  <c r="P130" i="8"/>
  <c r="P129" i="8"/>
  <c r="P128" i="8"/>
  <c r="P127" i="8"/>
  <c r="P126" i="8"/>
  <c r="P125" i="8"/>
  <c r="P124" i="8"/>
  <c r="P123" i="8"/>
  <c r="P122" i="8"/>
  <c r="P121" i="8"/>
  <c r="P120" i="8"/>
  <c r="P119" i="8"/>
  <c r="P118" i="8"/>
  <c r="P117" i="8"/>
  <c r="P116" i="8"/>
  <c r="P115" i="8"/>
  <c r="P114" i="8"/>
  <c r="P113" i="8"/>
  <c r="P112" i="8"/>
  <c r="P111" i="8"/>
  <c r="P110" i="8"/>
  <c r="P109" i="8"/>
  <c r="P108" i="8"/>
  <c r="P107" i="8"/>
  <c r="P106" i="8"/>
  <c r="P105" i="8"/>
  <c r="P104" i="8"/>
  <c r="P103" i="8"/>
  <c r="P102" i="8"/>
  <c r="P101" i="8"/>
  <c r="P100" i="8"/>
  <c r="P99" i="8"/>
  <c r="P98" i="8"/>
  <c r="P97" i="8"/>
  <c r="P96" i="8"/>
  <c r="P95" i="8"/>
  <c r="P94" i="8"/>
  <c r="P93" i="8"/>
  <c r="P92" i="8"/>
  <c r="P91" i="8"/>
  <c r="P90" i="8"/>
  <c r="P89" i="8"/>
  <c r="P88" i="8"/>
  <c r="P87" i="8"/>
  <c r="P86" i="8"/>
  <c r="P85" i="8"/>
  <c r="P84" i="8"/>
  <c r="P83" i="8"/>
  <c r="P82" i="8"/>
  <c r="P81" i="8"/>
  <c r="P80" i="8"/>
  <c r="P79" i="8"/>
  <c r="P78" i="8"/>
  <c r="P77" i="8"/>
  <c r="P76" i="8"/>
  <c r="P75" i="8"/>
  <c r="P74" i="8"/>
  <c r="P73" i="8"/>
  <c r="P72" i="8"/>
  <c r="P71" i="8"/>
  <c r="P70" i="8"/>
  <c r="P69" i="8"/>
  <c r="P68" i="8"/>
  <c r="P67" i="8"/>
  <c r="P66" i="8"/>
  <c r="P65" i="8"/>
  <c r="P64" i="8"/>
  <c r="P63" i="8"/>
  <c r="P62" i="8"/>
  <c r="P61" i="8"/>
  <c r="P60" i="8"/>
  <c r="P59" i="8"/>
  <c r="P58" i="8"/>
  <c r="P57" i="8"/>
  <c r="P56" i="8"/>
  <c r="P55" i="8"/>
  <c r="P54" i="8"/>
  <c r="P53" i="8"/>
  <c r="P52" i="8"/>
  <c r="P51" i="8"/>
  <c r="P50" i="8"/>
  <c r="P49" i="8"/>
  <c r="P48" i="8"/>
  <c r="P47" i="8"/>
  <c r="P46" i="8"/>
  <c r="P45" i="8"/>
  <c r="P44" i="8"/>
  <c r="P43" i="8"/>
  <c r="P42" i="8"/>
  <c r="P41" i="8"/>
  <c r="P40" i="8"/>
  <c r="P39" i="8"/>
  <c r="P38" i="8"/>
  <c r="P37" i="8"/>
  <c r="P36" i="8"/>
  <c r="P35" i="8"/>
  <c r="P34" i="8"/>
  <c r="P33" i="8"/>
  <c r="P32" i="8"/>
  <c r="P31" i="8"/>
  <c r="P30" i="8"/>
  <c r="P29" i="8"/>
  <c r="P28" i="8"/>
  <c r="P27" i="8"/>
  <c r="P26" i="8"/>
  <c r="P25" i="8"/>
  <c r="P24" i="8"/>
  <c r="P23" i="8"/>
  <c r="P22" i="8"/>
  <c r="P21" i="8"/>
  <c r="P20" i="8"/>
  <c r="P19" i="8"/>
  <c r="P18" i="8"/>
  <c r="P17" i="8"/>
  <c r="P16" i="8"/>
  <c r="P15" i="8"/>
  <c r="P14" i="8"/>
  <c r="P13" i="8"/>
  <c r="P12" i="8"/>
  <c r="P11" i="8"/>
  <c r="P10" i="8"/>
  <c r="P9" i="8"/>
  <c r="P8" i="8"/>
  <c r="P7" i="8"/>
  <c r="P6" i="8"/>
  <c r="P5" i="8"/>
  <c r="P4" i="8"/>
  <c r="V300" i="3"/>
  <c r="V299" i="3"/>
  <c r="V298" i="3"/>
  <c r="V297" i="3"/>
  <c r="V296" i="3"/>
  <c r="V289" i="3"/>
  <c r="V290" i="3"/>
  <c r="V291" i="3"/>
  <c r="V292" i="3"/>
  <c r="V293" i="3"/>
  <c r="V294" i="3"/>
  <c r="V295" i="3"/>
  <c r="V302" i="3"/>
  <c r="V301" i="3"/>
  <c r="V288" i="3"/>
  <c r="V287" i="3"/>
  <c r="V286" i="3"/>
  <c r="V285" i="3"/>
  <c r="V284" i="3"/>
  <c r="V283" i="3"/>
  <c r="V274" i="3"/>
  <c r="V275" i="3"/>
  <c r="V276" i="3"/>
  <c r="V277" i="3"/>
  <c r="V278" i="3"/>
  <c r="V279" i="3"/>
  <c r="V280" i="3"/>
  <c r="V281" i="3"/>
  <c r="V282" i="3"/>
  <c r="V265" i="3"/>
  <c r="V266" i="3"/>
  <c r="V267" i="3"/>
  <c r="V268" i="3"/>
  <c r="V269" i="3"/>
  <c r="V270" i="3"/>
  <c r="V271" i="3"/>
  <c r="V272" i="3"/>
  <c r="V273" i="3"/>
  <c r="V303" i="3"/>
  <c r="V304" i="3"/>
  <c r="V305" i="3"/>
  <c r="V306" i="3"/>
  <c r="V307" i="3"/>
  <c r="V308" i="3"/>
  <c r="V255" i="3"/>
  <c r="V256" i="3"/>
  <c r="V257" i="3"/>
  <c r="V258" i="3"/>
  <c r="V259" i="3"/>
  <c r="V261" i="3"/>
  <c r="V249" i="3"/>
  <c r="V250" i="3"/>
  <c r="V251" i="3"/>
  <c r="V252" i="3"/>
  <c r="V253" i="3"/>
  <c r="V254" i="3"/>
  <c r="V246" i="3"/>
  <c r="V247" i="3"/>
  <c r="V248" i="3"/>
  <c r="V245" i="3"/>
  <c r="V244" i="3"/>
  <c r="V243" i="3"/>
  <c r="V224" i="3"/>
  <c r="V225" i="3"/>
  <c r="V226" i="3"/>
  <c r="V227" i="3"/>
  <c r="V228" i="3"/>
  <c r="V229" i="3"/>
  <c r="V230" i="3"/>
  <c r="V231" i="3"/>
  <c r="V232" i="3"/>
  <c r="V233" i="3"/>
  <c r="V234" i="3"/>
  <c r="V235" i="3"/>
  <c r="V236" i="3"/>
  <c r="V237" i="3"/>
  <c r="V238" i="3"/>
  <c r="V239" i="3"/>
  <c r="V218" i="3"/>
  <c r="V219" i="3"/>
  <c r="V220" i="3"/>
  <c r="V221" i="3"/>
  <c r="V222" i="3"/>
  <c r="V223" i="3"/>
  <c r="V240" i="3"/>
  <c r="V241" i="3"/>
  <c r="V242" i="3"/>
  <c r="V194" i="3"/>
  <c r="V195" i="3"/>
  <c r="V196" i="3"/>
  <c r="V197" i="3"/>
  <c r="V198" i="3"/>
  <c r="V199" i="3"/>
  <c r="V200" i="3"/>
  <c r="V201" i="3"/>
  <c r="V202" i="3"/>
  <c r="V203" i="3"/>
  <c r="V204" i="3"/>
  <c r="V205" i="3"/>
  <c r="V206" i="3"/>
  <c r="V208" i="3"/>
  <c r="V209" i="3"/>
  <c r="V212" i="3"/>
  <c r="V213" i="3"/>
  <c r="V214" i="3"/>
  <c r="V215" i="3"/>
  <c r="V216" i="3"/>
  <c r="V217" i="3"/>
  <c r="V193" i="3"/>
  <c r="V192" i="3"/>
  <c r="V191" i="3"/>
  <c r="V190" i="3"/>
  <c r="V189" i="3"/>
  <c r="V188" i="3"/>
  <c r="V187" i="3"/>
  <c r="V178" i="3"/>
  <c r="V179" i="3"/>
  <c r="V180" i="3"/>
  <c r="V181" i="3"/>
  <c r="V183" i="3"/>
  <c r="V184" i="3"/>
  <c r="V185" i="3"/>
  <c r="V186" i="3"/>
  <c r="V174" i="3"/>
  <c r="V173" i="3"/>
  <c r="V172" i="3"/>
  <c r="V175" i="3"/>
  <c r="V176" i="3"/>
  <c r="V177" i="3"/>
  <c r="V171" i="3"/>
  <c r="V168" i="3"/>
  <c r="V170" i="3"/>
  <c r="V167" i="3"/>
  <c r="V137" i="3"/>
  <c r="V138" i="3"/>
  <c r="V139" i="3"/>
  <c r="V140" i="3"/>
  <c r="V141" i="3"/>
  <c r="V143" i="3"/>
  <c r="V169" i="3"/>
  <c r="V145" i="3"/>
  <c r="V146" i="3"/>
  <c r="V147" i="3"/>
  <c r="V148" i="3"/>
  <c r="V149" i="3"/>
  <c r="V150" i="3"/>
  <c r="V151" i="3"/>
  <c r="V152" i="3"/>
  <c r="V153" i="3"/>
  <c r="V154" i="3"/>
  <c r="V155" i="3"/>
  <c r="V156" i="3"/>
  <c r="V158" i="3"/>
  <c r="V159" i="3"/>
  <c r="V89" i="3"/>
  <c r="V160" i="3"/>
  <c r="V161" i="3"/>
  <c r="V162" i="3"/>
  <c r="V163" i="3"/>
  <c r="V164" i="3"/>
  <c r="V166" i="3"/>
  <c r="V144" i="3"/>
  <c r="V5" i="3"/>
  <c r="V4" i="3"/>
  <c r="V3" i="3"/>
  <c r="V54" i="3"/>
  <c r="V83" i="3"/>
  <c r="V85" i="3"/>
  <c r="V86" i="3"/>
  <c r="V87" i="3"/>
  <c r="V88"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9" i="3"/>
  <c r="V120" i="3"/>
  <c r="V121" i="3"/>
  <c r="V122" i="3"/>
  <c r="V123" i="3"/>
  <c r="V124" i="3"/>
  <c r="V125" i="3"/>
  <c r="V126" i="3"/>
  <c r="V127" i="3"/>
  <c r="V128" i="3"/>
  <c r="V129" i="3"/>
  <c r="V130" i="3"/>
  <c r="V131" i="3"/>
  <c r="V132" i="3"/>
  <c r="V133" i="3"/>
  <c r="V134" i="3"/>
  <c r="V135" i="3"/>
  <c r="V136" i="3"/>
  <c r="V82" i="3"/>
  <c r="V81" i="3"/>
  <c r="V80" i="3"/>
  <c r="V79" i="3"/>
  <c r="V78" i="3"/>
  <c r="V77" i="3"/>
  <c r="V75" i="3"/>
  <c r="V74" i="3"/>
  <c r="V2" i="3"/>
  <c r="V6" i="3"/>
  <c r="V7" i="3"/>
  <c r="V59" i="3"/>
  <c r="V60" i="3"/>
  <c r="V61" i="3"/>
  <c r="V62" i="3"/>
  <c r="V63" i="3"/>
  <c r="V64" i="3"/>
  <c r="V65" i="3"/>
  <c r="V66" i="3"/>
  <c r="V67" i="3"/>
  <c r="V68" i="3"/>
  <c r="V69" i="3"/>
  <c r="V58" i="3"/>
  <c r="V9" i="3"/>
  <c r="V10" i="3"/>
  <c r="V11" i="3"/>
  <c r="V12" i="3"/>
  <c r="V13" i="3"/>
  <c r="V14" i="3"/>
  <c r="V15" i="3"/>
  <c r="V16" i="3"/>
  <c r="V17" i="3"/>
  <c r="V18" i="3"/>
  <c r="V19" i="3"/>
  <c r="V20" i="3"/>
  <c r="V70" i="3"/>
  <c r="V21" i="3"/>
  <c r="V22" i="3"/>
  <c r="V23" i="3"/>
  <c r="V24" i="3"/>
  <c r="V25" i="3"/>
  <c r="V26" i="3"/>
  <c r="V27" i="3"/>
  <c r="V28" i="3"/>
  <c r="V29" i="3"/>
  <c r="V30" i="3"/>
  <c r="V31" i="3"/>
  <c r="V32" i="3"/>
  <c r="V33" i="3"/>
  <c r="V34" i="3"/>
  <c r="V35" i="3"/>
  <c r="V36" i="3"/>
  <c r="V37" i="3"/>
  <c r="V38" i="3"/>
  <c r="V39" i="3"/>
  <c r="V40" i="3"/>
  <c r="V41" i="3"/>
  <c r="V42" i="3"/>
  <c r="V43" i="3"/>
  <c r="V45" i="3"/>
  <c r="V46" i="3"/>
  <c r="V47" i="3"/>
  <c r="V48" i="3"/>
  <c r="V49" i="3"/>
  <c r="V50" i="3"/>
  <c r="V51" i="3"/>
  <c r="V52" i="3"/>
  <c r="V53" i="3"/>
  <c r="V55" i="3"/>
  <c r="V56" i="3"/>
  <c r="V57" i="3"/>
  <c r="V72" i="3"/>
  <c r="V73" i="3"/>
  <c r="V11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Bev Tyler</author>
  </authors>
  <commentList>
    <comment ref="F5" authorId="0" shapeId="0" xr:uid="{5C7EEBD5-376D-419F-8E71-CC97C6DC3FEF}">
      <text>
        <r>
          <rPr>
            <b/>
            <sz val="9"/>
            <color indexed="81"/>
            <rFont val="Tahoma"/>
            <family val="2"/>
          </rPr>
          <t>Bev Tyler:</t>
        </r>
        <r>
          <rPr>
            <sz val="9"/>
            <color indexed="81"/>
            <rFont val="Tahoma"/>
            <family val="2"/>
          </rPr>
          <t xml:space="preserve">
5/12/25 - just a few values, not sure of all of them</t>
        </r>
      </text>
    </comment>
    <comment ref="G5" authorId="0" shapeId="0" xr:uid="{731D4462-AC5E-4D15-BA05-002D25ECC220}">
      <text>
        <r>
          <rPr>
            <b/>
            <sz val="9"/>
            <color indexed="81"/>
            <rFont val="Tahoma"/>
            <family val="2"/>
          </rPr>
          <t>Bev Tyler:</t>
        </r>
        <r>
          <rPr>
            <sz val="9"/>
            <color indexed="81"/>
            <rFont val="Tahoma"/>
            <family val="2"/>
          </rPr>
          <t xml:space="preserve">
5/12/25 - green highlighted columns simplfy data each step to only the valid values from the previous step (column)</t>
        </r>
      </text>
    </comment>
    <comment ref="B16" authorId="0" shapeId="0" xr:uid="{F516C0D8-1BCD-47F2-B2E2-DA529DE9C765}">
      <text>
        <r>
          <rPr>
            <b/>
            <sz val="9"/>
            <color indexed="81"/>
            <rFont val="Tahoma"/>
            <family val="2"/>
          </rPr>
          <t>Bev Tyler:</t>
        </r>
        <r>
          <rPr>
            <sz val="9"/>
            <color indexed="81"/>
            <rFont val="Tahoma"/>
            <family val="2"/>
          </rPr>
          <t xml:space="preserve">
5/12/25 - found this field within the PDF of an NIF; it is not in the NIF Training deck</t>
        </r>
      </text>
    </comment>
    <comment ref="I25" authorId="0" shapeId="0" xr:uid="{66767144-A3F2-4FAE-89F5-4A4F7289B14F}">
      <text>
        <r>
          <rPr>
            <b/>
            <sz val="9"/>
            <color indexed="81"/>
            <rFont val="Tahoma"/>
            <family val="2"/>
          </rPr>
          <t>Bev Tyler:</t>
        </r>
        <r>
          <rPr>
            <sz val="9"/>
            <color indexed="81"/>
            <rFont val="Tahoma"/>
            <family val="2"/>
          </rPr>
          <t xml:space="preserve">
5/12/25 - not sure what the DTC Product Sub Types are</t>
        </r>
      </text>
    </comment>
    <comment ref="F56" authorId="0" shapeId="0" xr:uid="{5185EF31-27F9-471F-810E-A8DE59B631D9}">
      <text>
        <r>
          <rPr>
            <b/>
            <sz val="9"/>
            <color indexed="81"/>
            <rFont val="Tahoma"/>
            <family val="2"/>
          </rPr>
          <t>Bev Tyler:</t>
        </r>
        <r>
          <rPr>
            <sz val="9"/>
            <color indexed="81"/>
            <rFont val="Tahoma"/>
            <family val="2"/>
          </rPr>
          <t xml:space="preserve">
5/12/25 - just a few customers noted
</t>
        </r>
      </text>
    </comment>
    <comment ref="F76" authorId="0" shapeId="0" xr:uid="{65841151-AB27-422B-BAA0-28786FA6B513}">
      <text>
        <r>
          <rPr>
            <b/>
            <sz val="9"/>
            <color indexed="81"/>
            <rFont val="Tahoma"/>
            <family val="2"/>
          </rPr>
          <t>Bev Tyler:</t>
        </r>
        <r>
          <rPr>
            <sz val="9"/>
            <color indexed="81"/>
            <rFont val="Tahoma"/>
            <family val="2"/>
          </rPr>
          <t xml:space="preserve">
5/12/25 - just a few customers noted
</t>
        </r>
      </text>
    </comment>
    <comment ref="F101" authorId="0" shapeId="0" xr:uid="{7400A418-AEF1-460A-B84D-E226C181AA36}">
      <text>
        <r>
          <rPr>
            <b/>
            <sz val="9"/>
            <color indexed="81"/>
            <rFont val="Tahoma"/>
            <family val="2"/>
          </rPr>
          <t>Bev Tyler:</t>
        </r>
        <r>
          <rPr>
            <sz val="9"/>
            <color indexed="81"/>
            <rFont val="Tahoma"/>
            <family val="2"/>
          </rPr>
          <t xml:space="preserve">
5/12/25 - only a few values entered
</t>
        </r>
      </text>
    </comment>
    <comment ref="F128" authorId="0" shapeId="0" xr:uid="{7A4B36AC-3C0F-4906-BD16-8E325CDB36B3}">
      <text>
        <r>
          <rPr>
            <b/>
            <sz val="9"/>
            <color indexed="81"/>
            <rFont val="Tahoma"/>
            <family val="2"/>
          </rPr>
          <t>Bev Tyler:</t>
        </r>
        <r>
          <rPr>
            <sz val="9"/>
            <color indexed="81"/>
            <rFont val="Tahoma"/>
            <family val="2"/>
          </rPr>
          <t xml:space="preserve">
5/12/25 - not sure of this data, but should be similar to these values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Bev Tyler</author>
  </authors>
  <commentList>
    <comment ref="H78" authorId="0" shapeId="0" xr:uid="{E90BE413-D018-467F-9C8E-F6A8E30BF2A0}">
      <text>
        <r>
          <rPr>
            <b/>
            <sz val="9"/>
            <color indexed="81"/>
            <rFont val="Tahoma"/>
            <charset val="1"/>
          </rPr>
          <t>Bev Tyler:</t>
        </r>
        <r>
          <rPr>
            <sz val="9"/>
            <color indexed="81"/>
            <rFont val="Tahoma"/>
            <charset val="1"/>
          </rPr>
          <t xml:space="preserve">
9/16/25 - was Requestor with 1 enterable field at complexity=2</t>
        </r>
      </text>
    </comment>
  </commentList>
</comments>
</file>

<file path=xl/sharedStrings.xml><?xml version="1.0" encoding="utf-8"?>
<sst xmlns="http://schemas.openxmlformats.org/spreadsheetml/2006/main" count="7626" uniqueCount="1115">
  <si>
    <t>Kellanova POC</t>
  </si>
  <si>
    <t>all fields we need are on pgs 23-30 of NIF Training Deck</t>
  </si>
  <si>
    <t>Sections</t>
  </si>
  <si>
    <t>fields</t>
  </si>
  <si>
    <t>field type</t>
  </si>
  <si>
    <t>rules</t>
  </si>
  <si>
    <t>drop down/list of values</t>
  </si>
  <si>
    <t>Country that owns new item being created</t>
  </si>
  <si>
    <t>data repeated</t>
  </si>
  <si>
    <t>NIF KEY abbreviation nomenclature</t>
  </si>
  <si>
    <t>Product Setup</t>
  </si>
  <si>
    <t>Product Country</t>
  </si>
  <si>
    <t>Form Type</t>
  </si>
  <si>
    <t>Product Type</t>
  </si>
  <si>
    <t>Product Sub Type</t>
  </si>
  <si>
    <t>Project Type</t>
  </si>
  <si>
    <t>Business Area</t>
  </si>
  <si>
    <t>drop down</t>
  </si>
  <si>
    <t>"Kellanova"</t>
  </si>
  <si>
    <t>US - United States</t>
  </si>
  <si>
    <t>Case</t>
  </si>
  <si>
    <t>Bulk Case</t>
  </si>
  <si>
    <t>BULK CS, NO PKG UPC</t>
  </si>
  <si>
    <t>KUBIC</t>
  </si>
  <si>
    <t>CA - Canada</t>
  </si>
  <si>
    <t>BULK CS, PKG</t>
  </si>
  <si>
    <t>PDR</t>
  </si>
  <si>
    <t>MX - Mexico</t>
  </si>
  <si>
    <t>BULK CS, PKG RPK/RCP</t>
  </si>
  <si>
    <t>PWR</t>
  </si>
  <si>
    <t>Canada Bulk Case</t>
  </si>
  <si>
    <t>CA BULK CS, PKG</t>
  </si>
  <si>
    <t>SCR</t>
  </si>
  <si>
    <t>CA BULK CS, NO PKG UPC</t>
  </si>
  <si>
    <t xml:space="preserve">Is this a Pringle product? </t>
  </si>
  <si>
    <t>yes/no</t>
  </si>
  <si>
    <t>Canada Club</t>
  </si>
  <si>
    <t>CA CLUB, TRADITIONAL</t>
  </si>
  <si>
    <t xml:space="preserve">Is this an RX product? </t>
  </si>
  <si>
    <t>CA CLUB, UL</t>
  </si>
  <si>
    <t>SAP Material Number</t>
  </si>
  <si>
    <t>not enterable</t>
  </si>
  <si>
    <t>Canada Straight Case</t>
  </si>
  <si>
    <t>CA CS, PKG</t>
  </si>
  <si>
    <t>CA CS, PKG &amp; PCH/INNER</t>
  </si>
  <si>
    <t>Project Name or Number</t>
  </si>
  <si>
    <t>free form</t>
  </si>
  <si>
    <t>Canada Straight Case Repack/RCP - existing PKG UPC</t>
  </si>
  <si>
    <t>CA CS, PKG RPK/RCP</t>
  </si>
  <si>
    <t>Set Category</t>
  </si>
  <si>
    <t>maybe filled in by Material Prefix answer (further down)</t>
  </si>
  <si>
    <t>CA CS, PKG &amp; PCH/INNER RPK/RCP</t>
  </si>
  <si>
    <t>Brief Product Description</t>
  </si>
  <si>
    <t>Canada Straight Case Repack/RCP - new PKG UPC</t>
  </si>
  <si>
    <t>Brief Project Overview</t>
  </si>
  <si>
    <t>Canada WIP Case</t>
  </si>
  <si>
    <t>CA WIP, CASE (HALB)</t>
  </si>
  <si>
    <t>Canada WIP Tote</t>
  </si>
  <si>
    <t>CA WIP, TOTE (HALB)</t>
  </si>
  <si>
    <t>Club</t>
  </si>
  <si>
    <t>CLUB, NON-TRADITIONAL</t>
  </si>
  <si>
    <t>CLUB, TRADITIONAL</t>
  </si>
  <si>
    <t>Club Repack/RCP</t>
  </si>
  <si>
    <t>CLUB, NON-TRADITIONAL RPK/RCP</t>
  </si>
  <si>
    <t>CLUB, TRADITIONAL RPK/RCP</t>
  </si>
  <si>
    <t>DTC Bundle</t>
  </si>
  <si>
    <t>DTC</t>
  </si>
  <si>
    <t>EComm</t>
  </si>
  <si>
    <t>ECOMM CASE</t>
  </si>
  <si>
    <t>ECOMM PACKAGE</t>
  </si>
  <si>
    <t>Display</t>
  </si>
  <si>
    <t>Full Mod</t>
  </si>
  <si>
    <t>DISPLAY, FULL MOD</t>
  </si>
  <si>
    <t>Half Mod</t>
  </si>
  <si>
    <t>DISPLAY, HALF MOD</t>
  </si>
  <si>
    <t>Qtr Mod</t>
  </si>
  <si>
    <t>DISPLAY, QTR MOD</t>
  </si>
  <si>
    <t>Shipper</t>
  </si>
  <si>
    <t>DISPLAY, SHIPPER</t>
  </si>
  <si>
    <t>Single Serve</t>
  </si>
  <si>
    <t>SINGLE SERVE, TRAY</t>
  </si>
  <si>
    <t>Single Serve Repack/RCP</t>
  </si>
  <si>
    <t>SINGLE SERVE, TRAY RPK/RCP</t>
  </si>
  <si>
    <t>Straight Case</t>
  </si>
  <si>
    <t>CS, PKG</t>
  </si>
  <si>
    <t>CS, PKG &amp; PCH/INNER</t>
  </si>
  <si>
    <t>Straight Case Repack/RCP</t>
  </si>
  <si>
    <t>CS, PKG RPK/RCP</t>
  </si>
  <si>
    <t>CS, PKG &amp; PCH/INNER RPK/RCP</t>
  </si>
  <si>
    <t>WIP</t>
  </si>
  <si>
    <t>WIP Case</t>
  </si>
  <si>
    <t>WIP, CASE (HALB)</t>
  </si>
  <si>
    <t>WIP Tote</t>
  </si>
  <si>
    <t>WIP, TOTE (HALB)</t>
  </si>
  <si>
    <t>Stated Weights/Case Count</t>
  </si>
  <si>
    <t>Stated Weight Applicable For</t>
  </si>
  <si>
    <t>Stated Weight Status</t>
  </si>
  <si>
    <t>Stated Net Weight UOM</t>
  </si>
  <si>
    <t>Case Count Status</t>
  </si>
  <si>
    <t>Package</t>
  </si>
  <si>
    <t>Estimated</t>
  </si>
  <si>
    <t>OZ</t>
  </si>
  <si>
    <t>Stated Net Weight</t>
  </si>
  <si>
    <t>number</t>
  </si>
  <si>
    <t>Inner Item/Pouch</t>
  </si>
  <si>
    <t>Finalized</t>
  </si>
  <si>
    <t>G</t>
  </si>
  <si>
    <t>Case Count</t>
  </si>
  <si>
    <t>Reference Material</t>
  </si>
  <si>
    <t>Like SKU / Reference Material Number</t>
  </si>
  <si>
    <t>references SAP db</t>
  </si>
  <si>
    <t>Product Determination Questions - Case</t>
  </si>
  <si>
    <t>Designated Customer Name</t>
  </si>
  <si>
    <t>Approved to sell via Ecommerce?</t>
  </si>
  <si>
    <t>BASKIN ROBINS</t>
  </si>
  <si>
    <t>Is product designated to one customer?</t>
  </si>
  <si>
    <t>DEMOULAS</t>
  </si>
  <si>
    <t>KROGER</t>
  </si>
  <si>
    <t>Include Designated Cust. In Material Desc?</t>
  </si>
  <si>
    <t>SODEXHO</t>
  </si>
  <si>
    <t>Variety Pack?</t>
  </si>
  <si>
    <t>WAL-MART</t>
  </si>
  <si>
    <t>Variety Pack components have UPC Codes?</t>
  </si>
  <si>
    <t>Build SKU Using Existing Package UPCs?</t>
  </si>
  <si>
    <t>Is this item owned by Away From Home?</t>
  </si>
  <si>
    <t>Is this an Export Product?</t>
  </si>
  <si>
    <t>List Existing Export UPC Codes</t>
  </si>
  <si>
    <t>freeform</t>
  </si>
  <si>
    <t>Private Label?</t>
  </si>
  <si>
    <t>Private Label Name</t>
  </si>
  <si>
    <t>Build SKU Using Existing Private UPCs?</t>
  </si>
  <si>
    <t>List Existing Private UPCs</t>
  </si>
  <si>
    <t>Data Sync(GDSN)?</t>
  </si>
  <si>
    <t>Product Determination Questions - Display</t>
  </si>
  <si>
    <t>Product Determination Questions - WIP</t>
  </si>
  <si>
    <t>Other UPC Requirements</t>
  </si>
  <si>
    <t>Material Prefix</t>
  </si>
  <si>
    <t>Is a Compressed UPC Required for the Components?</t>
  </si>
  <si>
    <t>Kellogg PT (38000)</t>
  </si>
  <si>
    <t>No</t>
  </si>
  <si>
    <t>Kellogg RKTBars (38000)</t>
  </si>
  <si>
    <t>Pouch</t>
  </si>
  <si>
    <t>Kellogg TownHouse (30100)</t>
  </si>
  <si>
    <t>Morningstar Farms (28989)</t>
  </si>
  <si>
    <t>Both</t>
  </si>
  <si>
    <t>Existing Printed Material Codes</t>
  </si>
  <si>
    <t>Compressed UPC Existing</t>
  </si>
  <si>
    <t>Package UPC Code</t>
  </si>
  <si>
    <t>Package K Number</t>
  </si>
  <si>
    <t>Pouch UPC Code</t>
  </si>
  <si>
    <t>Pouch K Number</t>
  </si>
  <si>
    <t>List UPC Codes If Already Assigned</t>
  </si>
  <si>
    <t>UPC Table</t>
  </si>
  <si>
    <t>The rows in this table are filled in automatically based on the Setup Type chosen</t>
  </si>
  <si>
    <t>Alt UOM</t>
  </si>
  <si>
    <t>Base UOM</t>
  </si>
  <si>
    <t>UPC Required?</t>
  </si>
  <si>
    <t>Unique UPC?</t>
  </si>
  <si>
    <t>List Existing K Numbers</t>
  </si>
  <si>
    <t>List Any Existing Knumbers That Will Be Used</t>
  </si>
  <si>
    <t>Special Packaging Requirements</t>
  </si>
  <si>
    <t>Additional Packaging for Launch</t>
  </si>
  <si>
    <t>Can</t>
  </si>
  <si>
    <t>Special Launch Number</t>
  </si>
  <si>
    <t>Tray</t>
  </si>
  <si>
    <t>Jar</t>
  </si>
  <si>
    <t>types of fields</t>
  </si>
  <si>
    <t>comments</t>
  </si>
  <si>
    <t>status</t>
  </si>
  <si>
    <t>autofill</t>
  </si>
  <si>
    <t>NIF Dashboard</t>
  </si>
  <si>
    <t>Person Responsible</t>
  </si>
  <si>
    <t>Flowchart: Product Type / Product Sub Type</t>
  </si>
  <si>
    <t>verify</t>
  </si>
  <si>
    <t>Requestor Initiate</t>
  </si>
  <si>
    <t>Material Number</t>
  </si>
  <si>
    <t>Product Hierarchy - Brand</t>
  </si>
  <si>
    <t>Alternate Hierarchy</t>
  </si>
  <si>
    <t>Product Details - Brand Derived</t>
  </si>
  <si>
    <t>Product Details</t>
  </si>
  <si>
    <t>Trade Channel &amp; Country Sold In</t>
  </si>
  <si>
    <t>Promotion</t>
  </si>
  <si>
    <t>BOM Setup</t>
  </si>
  <si>
    <t>Variety Pack 0200 BOM Setup</t>
  </si>
  <si>
    <t>EPM Finance</t>
  </si>
  <si>
    <t>Select Sub-Brand</t>
  </si>
  <si>
    <t>Nutrition Labeling</t>
  </si>
  <si>
    <t>Food Weights</t>
  </si>
  <si>
    <t>Food Weights in grams/ounces</t>
  </si>
  <si>
    <t>Data Sync Requirements - Nutrition Labeling</t>
  </si>
  <si>
    <t>Net Wt. Statement for Graphics</t>
  </si>
  <si>
    <t>R&amp;D Quality</t>
  </si>
  <si>
    <t>R &amp; D Quality</t>
  </si>
  <si>
    <t>Packaging Tech</t>
  </si>
  <si>
    <t>Packaging Details</t>
  </si>
  <si>
    <t>Alternate Units of Measure</t>
  </si>
  <si>
    <t>Packaging Components</t>
  </si>
  <si>
    <t>Values used to determine material description</t>
  </si>
  <si>
    <t>Manufacturing Locations</t>
  </si>
  <si>
    <t>Category Finance</t>
  </si>
  <si>
    <t>Pricing</t>
  </si>
  <si>
    <t>DTC Questions</t>
  </si>
  <si>
    <t>Material Group/Tax Data</t>
  </si>
  <si>
    <t>Product Hierarchy - Type and Sub-Type</t>
  </si>
  <si>
    <t>LIM Dashboard Returns</t>
  </si>
  <si>
    <t>Product Sub Types - found in NIFKEY doc</t>
  </si>
  <si>
    <t>CA DISPLAY, FULL MOD</t>
  </si>
  <si>
    <t>In Evolve NIF download, no Canada Displays appear</t>
  </si>
  <si>
    <t>CA DISPLAY, HALF MOD</t>
  </si>
  <si>
    <t>CA DISPLAY, SHIPPER</t>
  </si>
  <si>
    <t>DISPLAY, RAINBOW MOD</t>
  </si>
  <si>
    <t>Not sure if this one is used in the NIF</t>
  </si>
  <si>
    <t>General Product Data</t>
  </si>
  <si>
    <t>statuses of the workflow (X, R, C…)</t>
  </si>
  <si>
    <t>page(s) of Trng deck</t>
  </si>
  <si>
    <t>Material Prefix Description</t>
  </si>
  <si>
    <t>SAP db list</t>
  </si>
  <si>
    <t>used for naming NIF form</t>
  </si>
  <si>
    <t>LIM</t>
  </si>
  <si>
    <t>Requestor</t>
  </si>
  <si>
    <t>owner</t>
  </si>
  <si>
    <t>Masterfiles</t>
  </si>
  <si>
    <t>37-41</t>
  </si>
  <si>
    <t>32, 61</t>
  </si>
  <si>
    <t>23, 32, 61</t>
  </si>
  <si>
    <t>returning to previous team</t>
  </si>
  <si>
    <t>24, 33, 73</t>
  </si>
  <si>
    <t>74, 88</t>
  </si>
  <si>
    <t>LIM approval to setup Forecast sku</t>
  </si>
  <si>
    <t>Masterfiles setup of Forecast sku</t>
  </si>
  <si>
    <t>CA Finance Tax</t>
  </si>
  <si>
    <t>#fields enterable in Trng deck</t>
  </si>
  <si>
    <t>training needed?</t>
  </si>
  <si>
    <t>75, 86</t>
  </si>
  <si>
    <t>76, 86</t>
  </si>
  <si>
    <t>Data Integrity</t>
  </si>
  <si>
    <t>checkbox</t>
  </si>
  <si>
    <t>Review of NIF PDF format - Bev Tyler</t>
  </si>
  <si>
    <t>Grand Total</t>
  </si>
  <si>
    <t>Data Integrity (CA)</t>
  </si>
  <si>
    <t>Packaging Tech (Engineer)</t>
  </si>
  <si>
    <t>Packaging Tech (Menasha)</t>
  </si>
  <si>
    <t>Packaging The(Canada VAS)</t>
  </si>
  <si>
    <t>Select Packaging Tech Assignment</t>
  </si>
  <si>
    <t>Is this a Pringles product?</t>
  </si>
  <si>
    <t>Is this an RX Product?</t>
  </si>
  <si>
    <t>Supply Chain Budget Forecast SKU?</t>
  </si>
  <si>
    <t>VAS?</t>
  </si>
  <si>
    <t>Only Project Type:  KUBIC</t>
  </si>
  <si>
    <t>Approved to sell via Ecommerce</t>
  </si>
  <si>
    <t>Variety Pack components have UPC codes?</t>
  </si>
  <si>
    <t>dd: user roles</t>
  </si>
  <si>
    <t>dd: CASE, DISPLAY, WIP</t>
  </si>
  <si>
    <t>dd: US, CA, MX</t>
  </si>
  <si>
    <t>dd: reference list</t>
  </si>
  <si>
    <t>dd: KUBIC, PDR, PWR, SCR</t>
  </si>
  <si>
    <t>dd: PACKAGE, INNER ITEM/POUCH</t>
  </si>
  <si>
    <t>dd: ESTIMATED, FINALIZED</t>
  </si>
  <si>
    <t>dd: OZ, LB, G, KG</t>
  </si>
  <si>
    <t>dd: YES, NO</t>
  </si>
  <si>
    <t>Build SKU Using Existing Export UPCs?</t>
  </si>
  <si>
    <t>dd: NO, POUCH, PACKAGE, BOTH</t>
  </si>
  <si>
    <t>order in Trng deck</t>
  </si>
  <si>
    <t>section name</t>
  </si>
  <si>
    <t>Packaging Tech Assignment</t>
  </si>
  <si>
    <t>CASE Product Determination Questions - Case</t>
  </si>
  <si>
    <t>DISPLAY Product Determination Questions - Display</t>
  </si>
  <si>
    <t>WIP Product Determination Questions - WIP</t>
  </si>
  <si>
    <t>This section corresponds to the Setup Type that has been chosen, and will show you the UPC requirements.</t>
  </si>
  <si>
    <t>Priority</t>
  </si>
  <si>
    <t>radio button: NORMAL, CBP, URGENT</t>
  </si>
  <si>
    <t>Sale Samples may be needed</t>
  </si>
  <si>
    <t>NOT in BR.xlsx</t>
  </si>
  <si>
    <t>column referenced in BR.xlsx file (from Tamara)</t>
  </si>
  <si>
    <t>col BA</t>
  </si>
  <si>
    <t>col BN</t>
  </si>
  <si>
    <t>…not in Trng_deck.ppt</t>
  </si>
  <si>
    <t>col BP</t>
  </si>
  <si>
    <t>col BL</t>
  </si>
  <si>
    <t>col BJ</t>
  </si>
  <si>
    <t>col BH</t>
  </si>
  <si>
    <t>col BF</t>
  </si>
  <si>
    <t>col BD</t>
  </si>
  <si>
    <t>col BB</t>
  </si>
  <si>
    <t>col AY</t>
  </si>
  <si>
    <t>col AW</t>
  </si>
  <si>
    <t>col AU</t>
  </si>
  <si>
    <t>col AT</t>
  </si>
  <si>
    <t>col AT,BA??</t>
  </si>
  <si>
    <t>col AR</t>
  </si>
  <si>
    <t>col AP</t>
  </si>
  <si>
    <t>col AN</t>
  </si>
  <si>
    <t>col AL</t>
  </si>
  <si>
    <t>col AJ</t>
  </si>
  <si>
    <t>col AH</t>
  </si>
  <si>
    <t>col AF</t>
  </si>
  <si>
    <t>col AD</t>
  </si>
  <si>
    <t>col AB</t>
  </si>
  <si>
    <t>col Z</t>
  </si>
  <si>
    <t>col Y</t>
  </si>
  <si>
    <t>col W</t>
  </si>
  <si>
    <t>col U</t>
  </si>
  <si>
    <t>col S</t>
  </si>
  <si>
    <t>col Q</t>
  </si>
  <si>
    <t>col O</t>
  </si>
  <si>
    <t>col M</t>
  </si>
  <si>
    <t>(check name of field in NIF)</t>
  </si>
  <si>
    <t>col K</t>
  </si>
  <si>
    <t>col I</t>
  </si>
  <si>
    <t>col G</t>
  </si>
  <si>
    <t>col E</t>
  </si>
  <si>
    <t>col C</t>
  </si>
  <si>
    <t>col B</t>
  </si>
  <si>
    <t>col A</t>
  </si>
  <si>
    <t>24, 45</t>
  </si>
  <si>
    <t>dd = drop downs</t>
  </si>
  <si>
    <t>BR.xlsx file = https://demandchainai.sharepoint.com/:x:/s/KellanovaPOC/Ebpe4JJnLcJDsKN74E_FN2oBGy3SMnB3ieLdjMvL_nwzIg?e=VenuuF</t>
  </si>
  <si>
    <t>Trng_deck.ppt = https://demandchainai.sharepoint.com/:b:/s/KellanovaPOC/EUbYiN0y3vRHupu27Q5q6Q8BBsRldO5V1fX6na9le0eAuA?e=crBJEK</t>
  </si>
  <si>
    <t>PRIORITY (1..9)
1-highest
5-mid
9-lowest</t>
  </si>
  <si>
    <t>field names in Trng deck</t>
  </si>
  <si>
    <t>LIM REPORT section</t>
  </si>
  <si>
    <t>UPC, K#, and GTIN Codes</t>
  </si>
  <si>
    <t>Canada - Validate Food Form</t>
  </si>
  <si>
    <t>PDR and SCR is text (ex Tasty) PWR is numeric</t>
  </si>
  <si>
    <t>Be as detailed as possible and provide the flavor, package size and can size, if known</t>
  </si>
  <si>
    <t>Hours</t>
  </si>
  <si>
    <t>Complexity:</t>
  </si>
  <si>
    <t>Hours:</t>
  </si>
  <si>
    <t>Requestor - Project Initiation</t>
  </si>
  <si>
    <t>Sprint</t>
  </si>
  <si>
    <t>A</t>
  </si>
  <si>
    <t>B</t>
  </si>
  <si>
    <t>C</t>
  </si>
  <si>
    <t>D</t>
  </si>
  <si>
    <t>COMPLEXITY (3..1,0)
3-high
2-med
1-low
0-autofill</t>
  </si>
  <si>
    <t>Packaging Tech(BPS)</t>
  </si>
  <si>
    <t>additional roles who can modify</t>
  </si>
  <si>
    <t>read only form for exporting data to Excel</t>
  </si>
  <si>
    <t>export buttons</t>
  </si>
  <si>
    <t>K#</t>
  </si>
  <si>
    <t>UPC#</t>
  </si>
  <si>
    <t>Unique or Same UPC?</t>
  </si>
  <si>
    <t>GTIN Number</t>
  </si>
  <si>
    <t>GTIN Required?</t>
  </si>
  <si>
    <t>GTIN Prefix</t>
  </si>
  <si>
    <t>Unique or Same GTIN?</t>
  </si>
  <si>
    <t>rows - multiple possible</t>
  </si>
  <si>
    <t>rows of data: 4 (CS, PKG, LYR, UL);  PCH??</t>
  </si>
  <si>
    <t>MFG Company</t>
  </si>
  <si>
    <t>Material Group</t>
  </si>
  <si>
    <t>External Material Group</t>
  </si>
  <si>
    <t>Estimated Standard Cost</t>
  </si>
  <si>
    <t>Red K Price</t>
  </si>
  <si>
    <t>Transportation Group</t>
  </si>
  <si>
    <t>Net Case Weight</t>
  </si>
  <si>
    <t>Metric Stated Net Pkg Wt</t>
  </si>
  <si>
    <t>Imperial Stated Net Pkg Wt</t>
  </si>
  <si>
    <t>Country Sold In</t>
  </si>
  <si>
    <t>Location</t>
  </si>
  <si>
    <t>Location Description</t>
  </si>
  <si>
    <t>Inbound or Outbound?</t>
  </si>
  <si>
    <t>Kellogg Owned/Not Owned (Coman)</t>
  </si>
  <si>
    <t>Flavor</t>
  </si>
  <si>
    <t>Food Form</t>
  </si>
  <si>
    <t>Material Segment Description</t>
  </si>
  <si>
    <t>Material Segment #</t>
  </si>
  <si>
    <t>Category Descripotion</t>
  </si>
  <si>
    <t>Category #</t>
  </si>
  <si>
    <t>Sub-Category Description</t>
  </si>
  <si>
    <t>Sub-Category #</t>
  </si>
  <si>
    <t>Brand Description</t>
  </si>
  <si>
    <t>Brand Number</t>
  </si>
  <si>
    <t>Type Description</t>
  </si>
  <si>
    <t>Type #</t>
  </si>
  <si>
    <t>Sub-Type Description</t>
  </si>
  <si>
    <t>Sub-Type #</t>
  </si>
  <si>
    <t>Forecast Entry Options</t>
  </si>
  <si>
    <t>X</t>
  </si>
  <si>
    <t>&lt;=&gt;</t>
  </si>
  <si>
    <t>Y</t>
  </si>
  <si>
    <t>Length</t>
  </si>
  <si>
    <t>Width</t>
  </si>
  <si>
    <t>Height</t>
  </si>
  <si>
    <t>Unit of Dimension</t>
  </si>
  <si>
    <t>Volume</t>
  </si>
  <si>
    <t>Volume Unit</t>
  </si>
  <si>
    <t>Gross Weight</t>
  </si>
  <si>
    <t>Weight Unit</t>
  </si>
  <si>
    <t>Language</t>
  </si>
  <si>
    <t>Material Description</t>
  </si>
  <si>
    <t>Material Description Length</t>
  </si>
  <si>
    <t>Suggested Material Desc</t>
  </si>
  <si>
    <t>Departure Country</t>
  </si>
  <si>
    <t>Tax Category</t>
  </si>
  <si>
    <t>Tax Classification</t>
  </si>
  <si>
    <t>Forecast SKU Requirements</t>
  </si>
  <si>
    <t>Fields Used for Material Description</t>
  </si>
  <si>
    <t>Product Hierarchy-Brand</t>
  </si>
  <si>
    <t>Material Description(s)</t>
  </si>
  <si>
    <t>Generate Material Description</t>
  </si>
  <si>
    <t>button</t>
  </si>
  <si>
    <t>Taxes</t>
  </si>
  <si>
    <t>based off SUB-TYPE DESCRIPTION</t>
  </si>
  <si>
    <t>based off TYPE DESCRIPTION</t>
  </si>
  <si>
    <t>based off BRAND DESCRIPTION</t>
  </si>
  <si>
    <t>dd: INBOUND, OUTBOUND</t>
  </si>
  <si>
    <t>dd: KELLOGG OWNED, NOT OWNED (COMAN)</t>
  </si>
  <si>
    <t>radio button: DEFAULTS, ESTIMATED, ACTUALS</t>
  </si>
  <si>
    <t>informational only</t>
  </si>
  <si>
    <t>Training Section</t>
  </si>
  <si>
    <t>LIM - Initial Review</t>
  </si>
  <si>
    <t>Requestor Name</t>
  </si>
  <si>
    <t>Requestor Email</t>
  </si>
  <si>
    <t>Requestor Date</t>
  </si>
  <si>
    <t>Version</t>
  </si>
  <si>
    <t>radio button: BPS, Menasha/12 Associates, Canada VAS</t>
  </si>
  <si>
    <t>LIM - LIM REPORT</t>
  </si>
  <si>
    <t>Masterfiles - Get Codes</t>
  </si>
  <si>
    <t>LIM - Forecast Approval</t>
  </si>
  <si>
    <t>Masterfiles - Get Codes Forecast</t>
  </si>
  <si>
    <t>45, 56</t>
  </si>
  <si>
    <t>47, 56, 113</t>
  </si>
  <si>
    <t>Forecast Scripts</t>
  </si>
  <si>
    <t>Create Forecast Material</t>
  </si>
  <si>
    <t>Manually Execute Scripts</t>
  </si>
  <si>
    <t>expand group with more buttons</t>
  </si>
  <si>
    <t>(fields referenced previously)</t>
  </si>
  <si>
    <t>LIM - Launch</t>
  </si>
  <si>
    <t>52, 58</t>
  </si>
  <si>
    <t>.</t>
  </si>
  <si>
    <t>if yes, there will be a BOM requirement in the form, and the Material Group will be set to REPACK.</t>
  </si>
  <si>
    <t>ZNIF Dashboard - view only</t>
  </si>
  <si>
    <t>Return to Team</t>
  </si>
  <si>
    <t>LIM Return Comments</t>
  </si>
  <si>
    <t>use this in the "return reason" (rejection reason)</t>
  </si>
  <si>
    <t>Requestor Update</t>
  </si>
  <si>
    <t>Proposed Red K Price</t>
  </si>
  <si>
    <t>Proposed Red K Currency</t>
  </si>
  <si>
    <t>Business Unit</t>
  </si>
  <si>
    <t>Material Group 1</t>
  </si>
  <si>
    <t>1st Arrival Date</t>
  </si>
  <si>
    <t>1st Arrival Date (Day)</t>
  </si>
  <si>
    <t>1st Ship Date</t>
  </si>
  <si>
    <t>FERT Type</t>
  </si>
  <si>
    <t>Pricing Validity Date</t>
  </si>
  <si>
    <t>Pack Type Use</t>
  </si>
  <si>
    <t>Planning Variant</t>
  </si>
  <si>
    <t>SKU Type</t>
  </si>
  <si>
    <t>Stop Ship/Target Discontinuance</t>
  </si>
  <si>
    <t>Remarket Date</t>
  </si>
  <si>
    <t>Specialty Channels Field Category</t>
  </si>
  <si>
    <t>Is this a SKU to SKU Transition?</t>
  </si>
  <si>
    <t>Conversion Case Code</t>
  </si>
  <si>
    <t>Conversion Date</t>
  </si>
  <si>
    <t>OTG Type</t>
  </si>
  <si>
    <t>Total shelf life</t>
  </si>
  <si>
    <t>Canada only</t>
  </si>
  <si>
    <t>dependent on FORM TYPE</t>
  </si>
  <si>
    <t>dependent on PRODUCT TYPE</t>
  </si>
  <si>
    <t>dependent on IS THIS A SKU TO SKU TRANSITION</t>
  </si>
  <si>
    <t>Max Storage Period/Ship Life</t>
  </si>
  <si>
    <t>R&amp;D Quality - Update</t>
  </si>
  <si>
    <t>date</t>
  </si>
  <si>
    <t>dependent on SKU TYPE</t>
  </si>
  <si>
    <t>Will this item be sold at the package level Direct To Consumer?</t>
  </si>
  <si>
    <t>Alternate Market Segment</t>
  </si>
  <si>
    <t>Alternate Category</t>
  </si>
  <si>
    <t>Alternate Sub-Category</t>
  </si>
  <si>
    <t>Trade Channel</t>
  </si>
  <si>
    <t>Promotion Description</t>
  </si>
  <si>
    <t>Royalty Product Type</t>
  </si>
  <si>
    <t>Promo Short Description</t>
  </si>
  <si>
    <t>Business Unit for Promo</t>
  </si>
  <si>
    <t>Royalty Licenser</t>
  </si>
  <si>
    <t>Royalty Licenser Abbreviation</t>
  </si>
  <si>
    <t>Sub-Food Form</t>
  </si>
  <si>
    <t>Food Count (Bars, Waffles, PT, Shakes, RKT)</t>
  </si>
  <si>
    <t>Special Pack Type</t>
  </si>
  <si>
    <t>Pringles Country for Material Description</t>
  </si>
  <si>
    <t>List Price (Red K)</t>
  </si>
  <si>
    <t>Base Material</t>
  </si>
  <si>
    <t>Gross Pkg Weight</t>
  </si>
  <si>
    <t>Gross Wt UOM</t>
  </si>
  <si>
    <t>Net Pkg Weight</t>
  </si>
  <si>
    <t>Net Wt UOM</t>
  </si>
  <si>
    <t>Component Pkgs Per Case</t>
  </si>
  <si>
    <t>Packages Per Mod Assortment</t>
  </si>
  <si>
    <t>Number of Cases Required</t>
  </si>
  <si>
    <t>Taxable?</t>
  </si>
  <si>
    <t>WIP SKU</t>
  </si>
  <si>
    <t>Pkgs Per Case or WIP</t>
  </si>
  <si>
    <t>Components Per Variety Pack</t>
  </si>
  <si>
    <t>Variety Packages Per Case</t>
  </si>
  <si>
    <t>Calculation Check</t>
  </si>
  <si>
    <t>LIM - Update</t>
  </si>
  <si>
    <t>Display Vehicle</t>
  </si>
  <si>
    <t>Material Freight Group</t>
  </si>
  <si>
    <t>Chocolate Enrobed</t>
  </si>
  <si>
    <t>dependent on FORM TYPE: DISPLAY</t>
  </si>
  <si>
    <t>Pouch Size</t>
  </si>
  <si>
    <t>Pouch Size UOM</t>
  </si>
  <si>
    <t>Package Size</t>
  </si>
  <si>
    <t>Package Size UOM</t>
  </si>
  <si>
    <t>Country of Origin</t>
  </si>
  <si>
    <t>Suggested Material Description</t>
  </si>
  <si>
    <t>Is the Manufacturing Location a Co-Man or Co-Packer?</t>
  </si>
  <si>
    <t>VAS Plant Groups</t>
  </si>
  <si>
    <t>for REPACKS &amp; DISPLAYS</t>
  </si>
  <si>
    <t>Sub-Brand</t>
  </si>
  <si>
    <t>EPM Finance - Update</t>
  </si>
  <si>
    <t>Data Integrity (DI) - Review</t>
  </si>
  <si>
    <t>Return button</t>
  </si>
  <si>
    <t>PES Food Review</t>
  </si>
  <si>
    <t>Defect Group</t>
  </si>
  <si>
    <t>Multi Defect Group</t>
  </si>
  <si>
    <t>Nutrition Labeling - Update</t>
  </si>
  <si>
    <t>Grams per piece</t>
  </si>
  <si>
    <t>Weight Measure</t>
  </si>
  <si>
    <t>Metric Stated Net Pouch Weight (g/kg)</t>
  </si>
  <si>
    <t>Metric Stated Net Pouch Size Unit</t>
  </si>
  <si>
    <t>Metric Stated Net Package Weight (g/kg)</t>
  </si>
  <si>
    <t>Metric Stated Net Package Weight Unit</t>
  </si>
  <si>
    <t>Package Net Weight for SAP</t>
  </si>
  <si>
    <t>Stated Net Pouch Weight (oz/lb)</t>
  </si>
  <si>
    <t>Stated Net Pouch Weight Unit</t>
  </si>
  <si>
    <t>Stated Net Package Weight(oz/lb)</t>
  </si>
  <si>
    <t>Stated Net Package Weight Unit</t>
  </si>
  <si>
    <t>radio button: IMPERIAL, METRIC</t>
  </si>
  <si>
    <t>dependent on: Weight Measure=METRIC</t>
  </si>
  <si>
    <t>dependent on: Weight Measure=IMPERIAL</t>
  </si>
  <si>
    <t>calculations</t>
  </si>
  <si>
    <t>Metric Stated Net Pouch Weight (g)</t>
  </si>
  <si>
    <t>Metric Stated Net Package Weight (g)</t>
  </si>
  <si>
    <t>Stated Net Pouch Weight (oz)</t>
  </si>
  <si>
    <t>Stated Net Package Weight (oz)</t>
  </si>
  <si>
    <t>Package Individual Unit Size</t>
  </si>
  <si>
    <t>Package Individual Unit Size UOM</t>
  </si>
  <si>
    <t>Package Inner Pack Quantity</t>
  </si>
  <si>
    <t>Did you check the Food Form?</t>
  </si>
  <si>
    <t>calculation</t>
  </si>
  <si>
    <t>dependent on: Form Type=BULK w/pkg upc</t>
  </si>
  <si>
    <t>dependent on: Product Country=CANADA</t>
  </si>
  <si>
    <t>Packaging Tech - Update</t>
  </si>
  <si>
    <t>Pringles Can Size</t>
  </si>
  <si>
    <t>Unit Load Stacking Factor</t>
  </si>
  <si>
    <t>Handling Platform Type</t>
  </si>
  <si>
    <t>RTEC/Pringles Cube Size</t>
  </si>
  <si>
    <t>Clamp Pressure</t>
  </si>
  <si>
    <t>Dim/Gross Wght Req</t>
  </si>
  <si>
    <t>Dim Details</t>
  </si>
  <si>
    <t>Gross Wght Dtls</t>
  </si>
  <si>
    <t>Component K#</t>
  </si>
  <si>
    <t>Component Description</t>
  </si>
  <si>
    <t>Unit of Measure</t>
  </si>
  <si>
    <t>Number Required per UOM</t>
  </si>
  <si>
    <t>Dieline</t>
  </si>
  <si>
    <t>Supplier</t>
  </si>
  <si>
    <t>Print?(Y/N)</t>
  </si>
  <si>
    <t>Add to BOM?</t>
  </si>
  <si>
    <t>Net Weight if no Nutrition Labeling</t>
  </si>
  <si>
    <t>Net Weight</t>
  </si>
  <si>
    <t>Packaging Profile</t>
  </si>
  <si>
    <t>Material Group 5</t>
  </si>
  <si>
    <t>Return to</t>
  </si>
  <si>
    <t>Final Red K List Price (cs)</t>
  </si>
  <si>
    <t>Estimated Standard Cost (cs)</t>
  </si>
  <si>
    <t>Category Finance - update</t>
  </si>
  <si>
    <t>Data Integrity (DI) Hierarchy - Update</t>
  </si>
  <si>
    <t>LIM - Approval/NIF Dashboard</t>
  </si>
  <si>
    <t>76, 81</t>
  </si>
  <si>
    <t>Masterfiles - Approval</t>
  </si>
  <si>
    <t>1st Ship Date (Day)</t>
  </si>
  <si>
    <t>Review Material Descriptions</t>
  </si>
  <si>
    <t>Z1 Material Description</t>
  </si>
  <si>
    <t>ZF Material Description</t>
  </si>
  <si>
    <t>Review - Derived Values</t>
  </si>
  <si>
    <t>Distribution Methods</t>
  </si>
  <si>
    <t>Step 1: Import Sales Orgs</t>
  </si>
  <si>
    <t>Step 2: Import Materials</t>
  </si>
  <si>
    <t>Tax Code</t>
  </si>
  <si>
    <t>Sales Organization Extension</t>
  </si>
  <si>
    <t>BAPI MATERIAL SAVEDATA Log</t>
  </si>
  <si>
    <t>Script Execution Log</t>
  </si>
  <si>
    <t>Create Classification View Log</t>
  </si>
  <si>
    <t>Country_Sold_in_Log</t>
  </si>
  <si>
    <t>Trade_Channel_Log</t>
  </si>
  <si>
    <t>Finished Goods Characteristic Log</t>
  </si>
  <si>
    <t>Country_of_Origin_LogField</t>
  </si>
  <si>
    <t>SUL_TUL_LogField</t>
  </si>
  <si>
    <t>MM02_NIF_Misc_Log</t>
  </si>
  <si>
    <t>ZMATTRANS_LogField</t>
  </si>
  <si>
    <t>MM02 Update Price Unit</t>
  </si>
  <si>
    <t>Distribution method Log</t>
  </si>
  <si>
    <t>DTC Characteristics Log</t>
  </si>
  <si>
    <t>Z1SYNC_LogField</t>
  </si>
  <si>
    <t>Set Future price to $1</t>
  </si>
  <si>
    <t>Non-Finished Goods Characteristics Log</t>
  </si>
  <si>
    <t>script logfield</t>
  </si>
  <si>
    <t>New Sales Organization</t>
  </si>
  <si>
    <t>New Distribution Channel</t>
  </si>
  <si>
    <t>Sales Org Log</t>
  </si>
  <si>
    <t>script button</t>
  </si>
  <si>
    <t>INDIVIDUAL SCRIPT RE-EXECUTION DASHBOARD</t>
  </si>
  <si>
    <t>Re-Execute Finished Goods Characteristics Script</t>
  </si>
  <si>
    <t>Re-Executed Non-Finished Goods Characteristics Script</t>
  </si>
  <si>
    <t>MM02 Update Z Fields (Log)</t>
  </si>
  <si>
    <t>Trade Channel (button)</t>
  </si>
  <si>
    <t>Country Sold In (button)</t>
  </si>
  <si>
    <t>Country of Origin (button)</t>
  </si>
  <si>
    <t>Create Classification View (button)</t>
  </si>
  <si>
    <t>MM02 Update Z Fields (button)</t>
  </si>
  <si>
    <t>ZMATTRANS (button)</t>
  </si>
  <si>
    <t>SUL TUL (button)</t>
  </si>
  <si>
    <t>MM02 NIF Misc (button)</t>
  </si>
  <si>
    <t>Ext Sales Org (buton)</t>
  </si>
  <si>
    <t>Update Price Unit (button)</t>
  </si>
  <si>
    <t>Distribution Method (button)</t>
  </si>
  <si>
    <t>DTC Characteristics (button)</t>
  </si>
  <si>
    <t>Z1SYNC (button)</t>
  </si>
  <si>
    <t>Update Future Price (button)</t>
  </si>
  <si>
    <t>Run Additional Material Scripts (button)</t>
  </si>
  <si>
    <t>Create New Material (button)</t>
  </si>
  <si>
    <t>BUSINESS_UNIT</t>
  </si>
  <si>
    <t>COUNT</t>
  </si>
  <si>
    <t>CUBE_SIZE</t>
  </si>
  <si>
    <t>DATA_SYNC</t>
  </si>
  <si>
    <t>FERT_PROJECT_DESCRIPTION</t>
  </si>
  <si>
    <t>FERT_TYPE</t>
  </si>
  <si>
    <t>MOD_DESCRIPTION</t>
  </si>
  <si>
    <t>PACK_TYPE_USE</t>
  </si>
  <si>
    <t>PACKAGE_SIZE</t>
  </si>
  <si>
    <t>PACKAGE_SIZE_UOM</t>
  </si>
  <si>
    <t>PCH_BAR_CODE_TYPE</t>
  </si>
  <si>
    <t>POUCH_SIZE</t>
  </si>
  <si>
    <t>POUCH_SIZE_UOM</t>
  </si>
  <si>
    <t>PRELIMINARY_FLAG</t>
  </si>
  <si>
    <t>SUB_TYPE</t>
  </si>
  <si>
    <t>SUB_BRAND</t>
  </si>
  <si>
    <t>SUB_FOOD_FORM</t>
  </si>
  <si>
    <t>FLAVOR</t>
  </si>
  <si>
    <t>FOOD_FORM</t>
  </si>
  <si>
    <t>MFG_COMPANY</t>
  </si>
  <si>
    <t>PACK_SIZE</t>
  </si>
  <si>
    <t>DISTRIBUTION_METHOD</t>
  </si>
  <si>
    <t>TYPE</t>
  </si>
  <si>
    <t>FG_Characteristic_Log</t>
  </si>
  <si>
    <t>PACKAGING_PROFILE</t>
  </si>
  <si>
    <t>ALT_CATEGORY</t>
  </si>
  <si>
    <t>ALT_MARKET_SEG</t>
  </si>
  <si>
    <t>ALT_SUB_CATEGORY</t>
  </si>
  <si>
    <t>BUSINESS_UNIT_PROMO</t>
  </si>
  <si>
    <t>CLAMP_PRESSURE</t>
  </si>
  <si>
    <t>CONV_CASE_CODE</t>
  </si>
  <si>
    <t>CONV_DATE</t>
  </si>
  <si>
    <t>FIRST_SHIP_DATE</t>
  </si>
  <si>
    <t>KSC_FIELD_CATEGORY</t>
  </si>
  <si>
    <t>LIKE_ITEM</t>
  </si>
  <si>
    <t>LONG_DESCRIPTION</t>
  </si>
  <si>
    <t>BASE_MATERIAL_NUMBER</t>
  </si>
  <si>
    <t>OTG_TYPE</t>
  </si>
  <si>
    <t>PALLET_IND</t>
  </si>
  <si>
    <t>PERCENT_BASE_ITEM</t>
  </si>
  <si>
    <t>PERCENT_MARGIN</t>
  </si>
  <si>
    <t>PROMOTED_PRICE</t>
  </si>
  <si>
    <t>REMARKETING_DATE</t>
  </si>
  <si>
    <t>ROYALTY_LICENSER</t>
  </si>
  <si>
    <t>ROYALTY_PRODUCT_TYPE</t>
  </si>
  <si>
    <t>SINGLE_SERVE</t>
  </si>
  <si>
    <t>SKUTYPE</t>
  </si>
  <si>
    <t>SMARTOPS_SUPPLYCHAIN</t>
  </si>
  <si>
    <t>SNP_Relevant</t>
  </si>
  <si>
    <t>SRP</t>
  </si>
  <si>
    <t>VARIANT</t>
  </si>
  <si>
    <t>Manyclass_LogField</t>
  </si>
  <si>
    <t>Material Create OK (button)</t>
  </si>
  <si>
    <t>PLATFORM_TYPE</t>
  </si>
  <si>
    <t>script update field</t>
  </si>
  <si>
    <t>Masterfiles Approval Returns</t>
  </si>
  <si>
    <t>Requestor Update Return Comments</t>
  </si>
  <si>
    <t>Category Finance Return Comments</t>
  </si>
  <si>
    <t>Nutrition Labeling Return Comments</t>
  </si>
  <si>
    <t>LIM Update</t>
  </si>
  <si>
    <t>LIM Update Return Comments</t>
  </si>
  <si>
    <t>Packagin Tech</t>
  </si>
  <si>
    <t>Packaging Tech Return Comments</t>
  </si>
  <si>
    <t>Send Returns (button)</t>
  </si>
  <si>
    <t>Masterfiles - Create Plant Extensions, pricing &amp; BOM's</t>
  </si>
  <si>
    <t>ZMMU_PLANT_Query</t>
  </si>
  <si>
    <t>Material Type</t>
  </si>
  <si>
    <t>Plant Category</t>
  </si>
  <si>
    <t>Retrive Plant List (button)</t>
  </si>
  <si>
    <t>Plant Number List</t>
  </si>
  <si>
    <t>Retrieve ZMMU_PLANT Data (button)</t>
  </si>
  <si>
    <t>Plant Extension Selection</t>
  </si>
  <si>
    <t>Create Plant Extension</t>
  </si>
  <si>
    <t>Plant</t>
  </si>
  <si>
    <t>Plant Extension Log</t>
  </si>
  <si>
    <t>Load Plant Extension Data (button)</t>
  </si>
  <si>
    <t>Create Plant Extension (button)</t>
  </si>
  <si>
    <t>VK11_MF_Regular_1001_04_21_22_23</t>
  </si>
  <si>
    <t>VK11_MF_Regular_1001_27_28</t>
  </si>
  <si>
    <t>VK11_MF_Regular_ZBAS</t>
  </si>
  <si>
    <t>DRY Pricing Conditions</t>
  </si>
  <si>
    <t>FROZEN Pricing Conditions</t>
  </si>
  <si>
    <t>VK11_FF_Bracket_Pricing</t>
  </si>
  <si>
    <t>VK11_FF_ZBAS</t>
  </si>
  <si>
    <t>CANADA Pricing Conditions</t>
  </si>
  <si>
    <t>VK11_Canada_1002_01_14</t>
  </si>
  <si>
    <t>VK11_Canada_LTL_1002_14</t>
  </si>
  <si>
    <t>VK11_Canada_OOH</t>
  </si>
  <si>
    <t>VK11_Canada_ZBAS</t>
  </si>
  <si>
    <t>PRINGLES Pricing Conditions</t>
  </si>
  <si>
    <t>VK11_PRG_ZBAS</t>
  </si>
  <si>
    <t>VK11_PRG_ZBCS_1001_27_28</t>
  </si>
  <si>
    <t>VK11_PRG_ZBCA_CustGrp5</t>
  </si>
  <si>
    <t>VK11_PRG_ZPRG_CustGrp5</t>
  </si>
  <si>
    <t>VK11_PRG_ZBCS_Military</t>
  </si>
  <si>
    <t>RX ZBAS PRICING</t>
  </si>
  <si>
    <t>RX Canada Pricing Conditions</t>
  </si>
  <si>
    <t>DISPLAY PRICING</t>
  </si>
  <si>
    <t>not functional at this time</t>
  </si>
  <si>
    <t>77, 124</t>
  </si>
  <si>
    <t>Packaging - Merge with BOM</t>
  </si>
  <si>
    <t>99, 125</t>
  </si>
  <si>
    <t>Original BOM Plant</t>
  </si>
  <si>
    <t>Component</t>
  </si>
  <si>
    <t>Quantity</t>
  </si>
  <si>
    <t>CS01-BOM_LogField</t>
  </si>
  <si>
    <t>Create BOM (button)</t>
  </si>
  <si>
    <t>VAS BOM Plant Assingments (CS07)</t>
  </si>
  <si>
    <t>Assign Plant</t>
  </si>
  <si>
    <t>Original Plant</t>
  </si>
  <si>
    <t>Newly Assigned Plant</t>
  </si>
  <si>
    <t>CS07 Log</t>
  </si>
  <si>
    <t>Create BOM Plant Assignments (button)</t>
  </si>
  <si>
    <t>Will a full case of this product be sold Direct to Consumer?</t>
  </si>
  <si>
    <t>DTC Package Price</t>
  </si>
  <si>
    <t>Masterfiles Manual Checklist</t>
  </si>
  <si>
    <t>Manually perform all steps</t>
  </si>
  <si>
    <t>12 questions</t>
  </si>
  <si>
    <t>Returns</t>
  </si>
  <si>
    <t>Updates Complete (button)</t>
  </si>
  <si>
    <t>Requestor - Req Launch DTC</t>
  </si>
  <si>
    <t>DTC Product Details</t>
  </si>
  <si>
    <t>Country</t>
  </si>
  <si>
    <t>Retail Material Number</t>
  </si>
  <si>
    <t>1. Validate Retail material Number (button)</t>
  </si>
  <si>
    <t>2. Import Alt UOM Table (button)</t>
  </si>
  <si>
    <t>Save and Route (button)</t>
  </si>
  <si>
    <t>Choose File</t>
  </si>
  <si>
    <t>Attachments</t>
  </si>
  <si>
    <t>DTC Launch Validation</t>
  </si>
  <si>
    <t>Did you submit DTC Form?</t>
  </si>
  <si>
    <t>DTC Form Launched (button)</t>
  </si>
  <si>
    <t>Launch Later (No Save) (button)</t>
  </si>
  <si>
    <t>dd: directory</t>
  </si>
  <si>
    <t>NO for WIP</t>
  </si>
  <si>
    <t>export (buttons)</t>
  </si>
  <si>
    <t>Total</t>
  </si>
  <si>
    <t>Count of field names in Trng deck</t>
  </si>
  <si>
    <t>52, 98</t>
  </si>
  <si>
    <t>74, 80</t>
  </si>
  <si>
    <t>30, 47, 56, 113</t>
  </si>
  <si>
    <t>29, 47, 52, 56, 98, 113</t>
  </si>
  <si>
    <t>29, 52, 98</t>
  </si>
  <si>
    <t>25, 26</t>
  </si>
  <si>
    <t>CASE and DISPLAY</t>
  </si>
  <si>
    <t>51, 75, 86</t>
  </si>
  <si>
    <t>CASE and WIP</t>
  </si>
  <si>
    <t>27, 28</t>
  </si>
  <si>
    <t>CASE, DISPLAY, and WIP</t>
  </si>
  <si>
    <t>25, 26, 27</t>
  </si>
  <si>
    <t>Category Finance (checkbox)</t>
  </si>
  <si>
    <t>51, 76</t>
  </si>
  <si>
    <t>26, 27, 28</t>
  </si>
  <si>
    <t>52, 105</t>
  </si>
  <si>
    <t>51, 107</t>
  </si>
  <si>
    <t>51, 74, 105</t>
  </si>
  <si>
    <t>Requestor, CA Finance Tax</t>
  </si>
  <si>
    <t>51, 76, 81</t>
  </si>
  <si>
    <t>51, 76, 81, 94</t>
  </si>
  <si>
    <t>Requestor, Nutrition Labeling</t>
  </si>
  <si>
    <t>51, 81</t>
  </si>
  <si>
    <t>81, 82</t>
  </si>
  <si>
    <t>CASE, DISPLAY and WIP</t>
  </si>
  <si>
    <t>Length (of Sugg Matl Desc)</t>
  </si>
  <si>
    <t>71, 111</t>
  </si>
  <si>
    <t>Requestor, Masterfiles</t>
  </si>
  <si>
    <t>51, 74</t>
  </si>
  <si>
    <t>Material Number (BOM setup)</t>
  </si>
  <si>
    <t>Material Number (Sales Org Extension)</t>
  </si>
  <si>
    <t>Nutrition Labeling (checkbox)</t>
  </si>
  <si>
    <t>Package Net Weight for SAP (Metric)</t>
  </si>
  <si>
    <t>Package Net Weight for SAP (Imperial)</t>
  </si>
  <si>
    <t>can only return to one group at a time</t>
  </si>
  <si>
    <t>Data Integrity (DI) - Hierarchy</t>
  </si>
  <si>
    <t>(MF) Requestor Update Return Comments</t>
  </si>
  <si>
    <t>(MF) Packaging Tech Return Comments</t>
  </si>
  <si>
    <t>(MF) Nutrition Labeling Return Comments</t>
  </si>
  <si>
    <t>(MF) LIM Update Return Comments</t>
  </si>
  <si>
    <t>(MF) Category Finance Return Comments</t>
  </si>
  <si>
    <t>(Pkg Tech) Return Comments</t>
  </si>
  <si>
    <t>(NL) Return Comments</t>
  </si>
  <si>
    <t>(DI Review) Return Comments</t>
  </si>
  <si>
    <t>(DI Hier) Return Comments</t>
  </si>
  <si>
    <t>(CA Fin Tax) Return Comments</t>
  </si>
  <si>
    <t>(LIM DB) Return to Team</t>
  </si>
  <si>
    <t>(LIM DB) LIM Return Comments</t>
  </si>
  <si>
    <t>(LIM Upd) Return Comments</t>
  </si>
  <si>
    <t>(EPM) Return Comments</t>
  </si>
  <si>
    <t>LIM Launch - Update</t>
  </si>
  <si>
    <t>(LIM Launch) Return Comments</t>
  </si>
  <si>
    <t>(MF Get Codes) Return Comments</t>
  </si>
  <si>
    <t>(LIM Initial) Return Comments</t>
  </si>
  <si>
    <t>Material Number (Plant Ext)</t>
  </si>
  <si>
    <t>Material Number (VAS BOM)</t>
  </si>
  <si>
    <t>LIM, Packaging Tech</t>
  </si>
  <si>
    <t>24, 33, 73, 99</t>
  </si>
  <si>
    <t>Brief Project Overview and Technical Notes</t>
  </si>
  <si>
    <t>used for naming NIF form, but do not incorporate into AI</t>
  </si>
  <si>
    <t>functionality of the SAP db is not needed in AI tool</t>
  </si>
  <si>
    <t>Product Determination Questions</t>
  </si>
  <si>
    <t>CASE</t>
  </si>
  <si>
    <t>Canada is always NO. Answer yes if this item is approved for sale on our CUSTOMERS' ecommerce platform, or is DTC/Direct To Consumer, where the item is intended for sale on KELLOGG’S ecommerce platform.</t>
  </si>
  <si>
    <t>verbage under field</t>
  </si>
  <si>
    <t>info from Trng Deck</t>
  </si>
  <si>
    <t>Answer yes if the new item is meant for sale to one customer (i.e. Walmart). This information will be used by the Data Sync team for item publication to customers. (CUSTOMER_SPECIFIC)</t>
  </si>
  <si>
    <t>Business Rule status</t>
  </si>
  <si>
    <t>Business Rules</t>
  </si>
  <si>
    <t>Special Launch K Number</t>
  </si>
  <si>
    <t>Ct</t>
  </si>
  <si>
    <t>also called "BOM_Taxable"</t>
  </si>
  <si>
    <t>Material Description (BOM Setup)</t>
  </si>
  <si>
    <t>51, 110</t>
  </si>
  <si>
    <t>51, 80</t>
  </si>
  <si>
    <t>75, 125</t>
  </si>
  <si>
    <t>(buttons) Returns</t>
  </si>
  <si>
    <t>Component K #</t>
  </si>
  <si>
    <t>K #</t>
  </si>
  <si>
    <t>Packaging Tech (BPS)</t>
  </si>
  <si>
    <t>Packaging Tech (Canada VAS)</t>
  </si>
  <si>
    <t>Stated Net Package Weight (oz/lb)</t>
  </si>
  <si>
    <t>52, 58, 81</t>
  </si>
  <si>
    <t>UPC #</t>
  </si>
  <si>
    <r>
      <rPr>
        <b/>
        <sz val="11"/>
        <color rgb="FFFF0000"/>
        <rFont val="Aptos Narrow"/>
        <family val="2"/>
        <scheme val="minor"/>
      </rPr>
      <t>UNIQUE FIELD #</t>
    </r>
    <r>
      <rPr>
        <b/>
        <sz val="11"/>
        <color theme="1"/>
        <rFont val="Aptos Narrow"/>
        <family val="2"/>
        <scheme val="minor"/>
      </rPr>
      <t xml:space="preserve"> (order in Trng deck)</t>
    </r>
  </si>
  <si>
    <r>
      <rPr>
        <b/>
        <sz val="11"/>
        <color rgb="FFFF0000"/>
        <rFont val="Aptos Narrow"/>
        <family val="2"/>
        <scheme val="minor"/>
      </rPr>
      <t>field names</t>
    </r>
    <r>
      <rPr>
        <b/>
        <sz val="11"/>
        <color theme="1"/>
        <rFont val="Aptos Narrow"/>
        <family val="2"/>
        <scheme val="minor"/>
      </rPr>
      <t xml:space="preserve"> in Trng deck</t>
    </r>
  </si>
  <si>
    <t>Complexity: 3 and 2 - AI guidance necessary:  49 unique fields</t>
  </si>
  <si>
    <t>Complexity: 1 - AI guidance possibly:  186 unique fields</t>
  </si>
  <si>
    <t>Complexity: 0 - definitions only:  63 unique fields</t>
  </si>
  <si>
    <t>3 Total</t>
  </si>
  <si>
    <t>2 Total</t>
  </si>
  <si>
    <t>1 Total</t>
  </si>
  <si>
    <t>0 Total</t>
  </si>
  <si>
    <t>(12 checkboxes)</t>
  </si>
  <si>
    <t>5 export (buttons)</t>
  </si>
  <si>
    <t>Complexity: ALL - Most complex sections at top, with number of fields represented in the grid per user role</t>
  </si>
  <si>
    <t>Trng Sectn Priority</t>
  </si>
  <si>
    <t>CASE only</t>
  </si>
  <si>
    <t>autofill by FORM TYPE: CASE=YES, DISPLAY=NO, and WIP=NO</t>
  </si>
  <si>
    <t>no more than 40 characters</t>
  </si>
  <si>
    <t>Packaging Tech task: For Pringles only, in the Packaging Details section, the Pringles Can Size and Pringles Cube Size are open for population, but not required. If not Pringles, both are grayed out/locked.</t>
  </si>
  <si>
    <t>Date: Field Last Reviewed for Business Rules</t>
  </si>
  <si>
    <t>Date: Expert System Rules updated (Excel)</t>
  </si>
  <si>
    <t>Date: Handed off to AI BOT team (Justin)</t>
  </si>
  <si>
    <t>same as field 1070</t>
  </si>
  <si>
    <t>(field 1013 is same but view only)</t>
  </si>
  <si>
    <t>1014: predecessor for: 1015, 1025</t>
  </si>
  <si>
    <t>1015: dependent on 1014 PROJECT TYPE: PDR and SCR is text (ex Tasty) PWR is numeric</t>
  </si>
  <si>
    <t>1025: dependent on 1014 PROJECT TYPE: KUBIC (required)</t>
  </si>
  <si>
    <t>…not in Trng_deck.ppt;
Bars, Crackers, Other Convenience, Salty Snacks, Frozen, Toaster Pastries, Veggies</t>
  </si>
  <si>
    <t>1027: predecessor to 1028, 1029</t>
  </si>
  <si>
    <t>BOM Setup (VAS)</t>
  </si>
  <si>
    <t>Flowchart: Build SKU / Existing Printed</t>
  </si>
  <si>
    <t>1033 predecessor to: external material group (1085)</t>
  </si>
  <si>
    <t>1035 dependent on 1034</t>
  </si>
  <si>
    <t>1034 predecessor to: external material group (1085), build sku..export (1035), list existing export (1036)</t>
  </si>
  <si>
    <t>1036 dependent on 1034</t>
  </si>
  <si>
    <t>1038 dependent on 1037</t>
  </si>
  <si>
    <t>1039 dependent on 1037</t>
  </si>
  <si>
    <t>1040 dependent on 1037</t>
  </si>
  <si>
    <t>1037 predecessor to 1038, 1039, 1040</t>
  </si>
  <si>
    <t>Tamara:  should always be YES per Shanan Walker; unless there are extinuating circumstances where they would not want the data to go to the customers</t>
  </si>
  <si>
    <t>Is this Non Sellable FERT WIP? (FALB)</t>
  </si>
  <si>
    <t>CASE only; defaulted to NO (for all form types), but can be changed</t>
  </si>
  <si>
    <t>no defaults exist; Used when space is limited (e.g., small packages or pouches)</t>
  </si>
  <si>
    <t>SAP Classification fields: PACKAGE BAR CODE TYPE, POUCH BAR CODE TYPE; no - (pkgcode=upc_a &amp; pouchcode=upc_a); pouch=(pouchcode=upc_e &amp; pkgcode=upc_a); pkg=(pkgcode=upc_e &amp; pouchcode=upc_a); both=(pkgcode=upc_e &amp; pouchcode=upc_e); Also drives how Masterfiles assigns the codes</t>
  </si>
  <si>
    <t>done</t>
  </si>
  <si>
    <t>code rules</t>
  </si>
  <si>
    <t>1235 dependent on "pringles" (1011) =open but not required</t>
  </si>
  <si>
    <t>1239 dependent on "pringles" (1011) =open but not required</t>
  </si>
  <si>
    <t>1131 dependent on: Suggested Material Desc (1130)</t>
  </si>
  <si>
    <t>1175 dependent on "pringles" (1011)=yes then required, and used for material descr with country</t>
  </si>
  <si>
    <t>1011 predecessor for pringles naming convention for country sold in as part of description (1175); plus Pringles Can Size (1235), and RTEC/Pringles Cube Size (1239) is required</t>
  </si>
  <si>
    <t>1166 dependent on 1026</t>
  </si>
  <si>
    <t>pending</t>
  </si>
  <si>
    <t>future</t>
  </si>
  <si>
    <t>Timing status</t>
  </si>
  <si>
    <t>current</t>
  </si>
  <si>
    <t>early</t>
  </si>
  <si>
    <t>upcoming</t>
  </si>
  <si>
    <t>complete</t>
  </si>
  <si>
    <t>Trng Sectn #</t>
  </si>
  <si>
    <t>E</t>
  </si>
  <si>
    <t>F</t>
  </si>
  <si>
    <t>H</t>
  </si>
  <si>
    <t>Week</t>
  </si>
  <si>
    <t>pull name from user logged in</t>
  </si>
  <si>
    <t>pull email from user logged in</t>
  </si>
  <si>
    <t>pull date from computer</t>
  </si>
  <si>
    <t>pull NIF version of the form</t>
  </si>
  <si>
    <t>no Business Rules</t>
  </si>
  <si>
    <t>LIM approval to setup Forecast sku; SAP Classification-Manufacturer Company</t>
  </si>
  <si>
    <t>1083 dependent on 1107 Brand</t>
  </si>
  <si>
    <t>if Product Type=BUNDLE (DTC) then MATERIAL Group=REPACK; otherwise select from dd</t>
  </si>
  <si>
    <t>no Business Rules, numbers and decimals only</t>
  </si>
  <si>
    <r>
      <rPr>
        <b/>
        <sz val="11"/>
        <color theme="1"/>
        <rFont val="Aptos Narrow"/>
        <family val="2"/>
        <scheme val="minor"/>
      </rPr>
      <t>duplicate</t>
    </r>
    <r>
      <rPr>
        <sz val="11"/>
        <color theme="1"/>
        <rFont val="Aptos Narrow"/>
        <family val="2"/>
        <scheme val="minor"/>
      </rPr>
      <t xml:space="preserve"> of 1070</t>
    </r>
  </si>
  <si>
    <t>1162 dependent on 1012 DTC</t>
  </si>
  <si>
    <t>Will this item be sold at the package level Direct To Consumer?  (DTC)</t>
  </si>
  <si>
    <t>Week Beginning Date</t>
  </si>
  <si>
    <t>CASE and DISPLAY only;   If YES, then loads record: TRADE CHANNEL (1166)=ONLINE</t>
  </si>
  <si>
    <t>Include Designated Cust In Material Desc?</t>
  </si>
  <si>
    <t>1188 dependent 1031 [VP], 1137 [VAS]</t>
  </si>
  <si>
    <t>1187 dependent on 1137 [VAS]</t>
  </si>
  <si>
    <t>1137 [VAS] predecessor for 1176-1192</t>
  </si>
  <si>
    <t>1031 predecessor to 1188-1192;  Flowchart: Variety Pack</t>
  </si>
  <si>
    <t>1067 predecessor to 1083-1097; if YES opens 1083+, if NO then skips Forecast section</t>
  </si>
  <si>
    <t>CASE only (not DISPLAY or WIP)</t>
  </si>
  <si>
    <t>1085 dependent on where CHANNEL=:  AFH/Specialty (1033), Canada (1008), Export (1034), CLUB, RX- where there is a subselection of the list for these areas; otherwise it shows RETAIL choices</t>
  </si>
  <si>
    <t>yes</t>
  </si>
  <si>
    <t>autofill to KELLANOVA</t>
  </si>
  <si>
    <t>no</t>
  </si>
  <si>
    <t>conditional</t>
  </si>
  <si>
    <t>1030 dependent on Product Type (1009) and Product Subtype (1010);  Flowchart: Variety Pack</t>
  </si>
  <si>
    <t>no, appears that blank is viable</t>
  </si>
  <si>
    <t>…not in Trng_deck.ppt; only open for US and required: STRAIGHT CASE (not Repack); DISPLAY &amp; WIP is locked/blank</t>
  </si>
  <si>
    <r>
      <t xml:space="preserve">(only displays for the requestor to review if the levels of the packaging look correct: ie is there a pouch level, if needed);  </t>
    </r>
    <r>
      <rPr>
        <b/>
        <sz val="11"/>
        <color theme="1"/>
        <rFont val="Aptos Narrow"/>
        <family val="2"/>
        <scheme val="minor"/>
      </rPr>
      <t>no need to put in AI BOT</t>
    </r>
    <r>
      <rPr>
        <sz val="11"/>
        <color theme="1"/>
        <rFont val="Aptos Narrow"/>
        <family val="2"/>
        <scheme val="minor"/>
      </rPr>
      <t xml:space="preserve">: </t>
    </r>
    <r>
      <rPr>
        <b/>
        <sz val="11"/>
        <color theme="1"/>
        <rFont val="Aptos Narrow"/>
        <family val="2"/>
        <scheme val="minor"/>
      </rPr>
      <t>unless there is a way to pull the table from the NIF Evolve business rules automatically</t>
    </r>
  </si>
  <si>
    <t>(not on pg 51), 74</t>
  </si>
  <si>
    <t>1090 predecessor to: If US then Imperial (1092) is required and Metric (1091) is open but not required, otherwise if NOT-US then Metric is required and Imperial is open but not required</t>
  </si>
  <si>
    <t>1091 dependent on 1090</t>
  </si>
  <si>
    <t>1092 dependent on 1090</t>
  </si>
  <si>
    <t>open not req</t>
  </si>
  <si>
    <t>no known BR based on data entered</t>
  </si>
  <si>
    <t>9/24/25 new field identified</t>
  </si>
  <si>
    <t xml:space="preserve">1026 dependent PRODUCT TYPE (1009)=ECOMM or DTC BUNDLE, then this is defaulted to YES (locks field);  
If Product Country (1008) CANADA then default to NO; Form Type (1007) DISPLAY=open but not required, CASE=required, WIP=not available
</t>
  </si>
  <si>
    <t>dd: WKKC, KELLANOVA</t>
  </si>
  <si>
    <t>Flavor_Abbrv from ref list;</t>
  </si>
  <si>
    <t>If VAS=yes, then required</t>
  </si>
  <si>
    <t>1130 predecessor to 1131; 40 max</t>
  </si>
  <si>
    <t>1129 dependent on 1029; run button</t>
  </si>
  <si>
    <t>populated based on the Brand</t>
  </si>
  <si>
    <t>has to be Thursday and for CANADA</t>
  </si>
  <si>
    <t>4 rules</t>
  </si>
  <si>
    <t>5 rules</t>
  </si>
  <si>
    <t>has to be Monday and for US</t>
  </si>
  <si>
    <t>Promo End Date</t>
  </si>
  <si>
    <t>if SKU Type=LIMITED then opens, then Remarket Date &amp; Stop Ship date are auto calculated; otherwise locked</t>
  </si>
  <si>
    <t>rule for formatting the date, check br doc; 14 days after Promo End Date</t>
  </si>
  <si>
    <t>2 rules - probably a month afterwards (28 days after Promo End Date)</t>
  </si>
  <si>
    <t>2 rules; opens next 2 fields</t>
  </si>
  <si>
    <t>no known BR based on data entered; there may be previous rule to open this only when Product Type is SINGLE SERVE and SS REPACK</t>
  </si>
  <si>
    <t>Pack Size</t>
  </si>
  <si>
    <t>Product Type=Club, Club Pack; =Single Serve, Single Serve; =anything else, Retail;;; find br rules</t>
  </si>
  <si>
    <t>dependent on FORM TYPE: DISPLAY; 4 rules; actually part of Requestor Update; after Pack Size</t>
  </si>
  <si>
    <t>5 rules - on R&amp;D QUALITY; doesn't appear anymore in DEV for REQ UPD;  Marie-if DISPLAY, then may be open and required on Req Upd; otherwise this would be open for R&amp;D QUALITY</t>
  </si>
  <si>
    <t>1127 dependent on 1009 Product Type='Rainbow' then RNBW must be at end of Material Description (for DataSync compliancy); max 40; dependent on 1304 "is this non sellable FERT WIP" = YES, then add WIP to end</t>
  </si>
  <si>
    <t>1304 predecessor to Planning Variant (1151) and Material Description (1127)</t>
  </si>
  <si>
    <t>9/24/25 - in NIF PROD this field is on the LIM - Forecast Approval training section</t>
  </si>
  <si>
    <t>9/25/25 new field identified</t>
  </si>
  <si>
    <t>display only - duplicate of Material Prefix Description (1042)</t>
  </si>
  <si>
    <t>if "Forecast Entry Options" is DEFAULTS, then "Y" (1116) [Numerator_for_Conversion_to_Base_Units_of_Measure]= '1' and "X" (1114) [Denominator_for_conversion_to_base_units_of_measure]= '1' and "Length" (1118) = '1' and "Width" (1119) = '1' and "Height" (1120) = '1'</t>
  </si>
  <si>
    <t>constant variable for display only</t>
  </si>
  <si>
    <t>Tech name: [Length] (5 rules)</t>
  </si>
  <si>
    <t>Tech name: [Width] (5 rules)</t>
  </si>
  <si>
    <t>Tech name: [Height] (5 rules)</t>
  </si>
  <si>
    <t>Tech name: [Volume] (1 rule)</t>
  </si>
  <si>
    <t>Tech name: [Gross_Weight] (14 rules); 
Tech name: [Gross_Weight_UL] (2 rules); 
Tech name: [Gross_Case_Weight] (1 rule)</t>
  </si>
  <si>
    <t>Tech name: [Tax_classification_material] (5 rules set this value, but rules are not on the field itself)</t>
  </si>
  <si>
    <t>Tech name: [Departure_country__country_from_which_the_goods_are_sent] (2 rules set this value, but rules are not on the field itself)</t>
  </si>
  <si>
    <t>Tech name: [Tax_category__sales_tax__federal_sales_tax_____] (1 rule) (2 other rules set this value, but they are not on the field itself)</t>
  </si>
  <si>
    <t>rule for formatting the date</t>
  </si>
  <si>
    <t>based off of RDL: ALT_UOM  (ie: CS, HUL, QUL, FUL, …)
Tech name: [Base_Unit_of_Measure] (referenced 3 times, but no rules on actual field)</t>
  </si>
  <si>
    <t xml:space="preserve">based off of RDL: ALT_UOM </t>
  </si>
  <si>
    <t>based off of RDL: ALT_UOM; different values depending on the level of the Alternate Units of Measure</t>
  </si>
  <si>
    <t xml:space="preserve">if "Product Country" is 'CA - Canada' then "1st Arrival Date" must be a Thursday; 
Tech name: [First_Arrival_Date] - set first_ship_date=first_arrival_date-11; set pricing_validity_date=first_arrival_date-11; </t>
  </si>
  <si>
    <t>Marie's notes: For Canada, First Arrival Date = Thursday; First Ship &amp; Pricing Dates are Sunday Prior (First Arrival - 11 days)</t>
  </si>
  <si>
    <t>Marie: field is owned by AFH (Speciality); default to GROCERY if it is not AFH; except might be for DISPLAY where it might be SHIPPER</t>
  </si>
  <si>
    <t>EDI references this to find which item is considered the Base Material. If items share package UPC’s, there can only be one that is considered the Base Material. The Planning Variant field is where thisis indicated within SAP. Other items(children sku’s) that use the same package UPC as the Base (most often seen with Repack/RCP’s and Promo Codes), will use National, Customer or Limited. Therefore, if yoursetup type IS NOT Repack/RCP that is using an existing package UPC, your Planning Variantshould always be Base Material. If yoursetup type IS a Repack/RCP that is using an existing package UPC, your Planning Variant needs to be National, Customer or Limited. In addition, if you are setting up a Repack/RCP that is using an existing package UPC, there may be special setup required if your customer is going to order by the package UPC. Click here for more information, and list of customers that order by the package UPC.</t>
  </si>
  <si>
    <t>EDI uses it to find the BASE MATERIAL; {Customers usually order with a CASE CODE, which is good.  But if they order with a PACKAGE CODE, EDI uses the XREF table to reference the proper CASE CODE related to the Customer for the PACKAGE CODE they are sending (like Dollar General has its own ~EDI PARTNER #)};
1151 dependent on FALB (1304)=yes then can't be BASE MATERIAL; 4 rules, but doesn't seem to include the FALB one, so make sure it's included</t>
  </si>
  <si>
    <t>dd: PERMANENT, LIMITED</t>
  </si>
  <si>
    <t xml:space="preserve">Tech name: [Special_Launch_Selection]; 1053 dependent on 1050; open for all Form Type=CASE, not required; not DISPLAY or WIP; if "Sale Samples may be needed" (1050)=yes, set 1053 to "Sales Sample Package K number 999 Variant (KXXXXXX999)"; </t>
  </si>
  <si>
    <t xml:space="preserve">Tech name: [Sales_Sample_Question]; 1050 predecessor to "additional pkg for launch" (1053); </t>
  </si>
  <si>
    <t>Category Description</t>
  </si>
  <si>
    <t>Bev - check w/TT regarding specific wording in drop down (not part of RDL list)</t>
  </si>
  <si>
    <t>Multiple rows possible.</t>
  </si>
  <si>
    <t>Multiple rows possible. because of languages;
dependent on "pringles"=yes</t>
  </si>
  <si>
    <t>1094 predecessor to 1095 populates from ref list; if VAS=yes, then In/Out required</t>
  </si>
  <si>
    <t>1095 dependent on 1094</t>
  </si>
  <si>
    <t>1173 dependent on 1099 required</t>
  </si>
  <si>
    <t xml:space="preserve">1099 predecessor to 1173; gets the Food_Form_Abbrv from ref list; </t>
  </si>
  <si>
    <t>dd: reference list: ADDITIONAL_PACKAGING_LAUNCH.XLSX</t>
  </si>
  <si>
    <t>dd: reference list: MATERIAL_PREFIX.XLSX</t>
  </si>
  <si>
    <t>dd: reference list: RDL_Categories.xlsx</t>
  </si>
  <si>
    <t>dd: reference list: PRODUCT_COUNTRY.XLSX</t>
  </si>
  <si>
    <t>dd: reference list: PRODUCT_SETUP_TYPE.XLSX, Setup_Type column</t>
  </si>
  <si>
    <t>dd: reference list: PRODUCT_SETUP_TYPE.XLSX, Setup_Qualifier column</t>
  </si>
  <si>
    <t>dd: reference list: PRL: Designated Customer Name</t>
  </si>
  <si>
    <t>dd: reference list: PRL: Private Label Customers</t>
  </si>
  <si>
    <t>dd: reference list: PRL: Material Group</t>
  </si>
  <si>
    <t>dd: reference list: PRL: External Material Group</t>
  </si>
  <si>
    <t>dd: reference list: PRL: KSC Field Category</t>
  </si>
  <si>
    <t>dd: reference list: PRL: Transportation Group</t>
  </si>
  <si>
    <t>dd: reference list: VAS_PLANTS.XLSX???</t>
  </si>
  <si>
    <t>dd: reference list: PRL: Flavor</t>
  </si>
  <si>
    <t>dd: reference list: PRL: Food Form</t>
  </si>
  <si>
    <t>dd: reference list: PRL: Sub Food Form</t>
  </si>
  <si>
    <t>dd: reference list: PRL: Product Hierarchy Brand</t>
  </si>
  <si>
    <t>dd: reference list: PRL: Product Hierarchy Type</t>
  </si>
  <si>
    <t>dd: reference list: PRL: Product Hierarchy Sub-Type</t>
  </si>
  <si>
    <t>dd: reference list: PRL: Product Hierarchy Market Segment</t>
  </si>
  <si>
    <t>dd: reference list: PRL: Product Hierarchy Market Category</t>
  </si>
  <si>
    <t>dd: reference list: PRL: Product Hierarchy Market Sub-Category</t>
  </si>
  <si>
    <t>dd: reference list: TAX_CLASSIFICATION.XLSX</t>
  </si>
  <si>
    <t>dd: reference list: PRL: Business Unit</t>
  </si>
  <si>
    <t>dd: reference list: PRL: Material Group 1</t>
  </si>
  <si>
    <t>dd: reference list: PRL: FERT Type</t>
  </si>
  <si>
    <t>dd: reference list: PRL: Pack Type Use</t>
  </si>
  <si>
    <t>dd: reference list: PRL: Planning Variant</t>
  </si>
  <si>
    <t>dd: reference list: PRL: OTG Type</t>
  </si>
  <si>
    <t>dd: reference list: PRL: Pack Size 
(CLUB PACK, RETAIL, SINGLE SERVE)</t>
  </si>
  <si>
    <t>dd: reference list: PRL: Trade Channel</t>
  </si>
  <si>
    <t>dd: reference list: PRL: Promotion</t>
  </si>
  <si>
    <t>dd: reference list: PRL: Business Unit for Promo</t>
  </si>
  <si>
    <t>dd: reference list: PRL: Royalty Product Type</t>
  </si>
  <si>
    <t>dd: reference list: PRL: Royalty Licenser</t>
  </si>
  <si>
    <t>dd: reference list: PRL: Special Pack Type</t>
  </si>
  <si>
    <t>dd: reference list: PRL: Display Vehicle</t>
  </si>
  <si>
    <t>dd: reference list: PRL: Material Freight Group</t>
  </si>
  <si>
    <t>dd: reference list: PRL: Country of Origin</t>
  </si>
  <si>
    <t>dd: reference list: PRL: Defect Group</t>
  </si>
  <si>
    <t>dd: reference list: PRL: Sub Brand (Finance)</t>
  </si>
  <si>
    <t>dd: reference list: VAS_PLANTS.XLSX</t>
  </si>
  <si>
    <t>dd: reference list: PRL: Stacking Factor</t>
  </si>
  <si>
    <t>dd: reference list: PRL: Packaging Profile</t>
  </si>
  <si>
    <t>dd: reference list: PRL: Handling Platform Type</t>
  </si>
  <si>
    <t>dd: reference list: PRL: Cube Size</t>
  </si>
  <si>
    <t>dd: reference list: PRL: Clamp Pressure</t>
  </si>
  <si>
    <t>dd: reference list: PRL: Material Group 5</t>
  </si>
  <si>
    <t>dd: reference list: DISTRIBUTION_METHODS.XLSX</t>
  </si>
  <si>
    <r>
      <rPr>
        <sz val="11"/>
        <color rgb="FFFF0000"/>
        <rFont val="Aptos Narrow"/>
        <family val="2"/>
        <scheme val="minor"/>
      </rPr>
      <t xml:space="preserve">9/29/25 - did not code: if AA then change to US (might be because Jon put US at the top of the list with the AA); </t>
    </r>
    <r>
      <rPr>
        <sz val="11"/>
        <color theme="1"/>
        <rFont val="Aptos Narrow"/>
        <family val="2"/>
        <scheme val="minor"/>
      </rPr>
      <t xml:space="preserve">
no other business rules</t>
    </r>
  </si>
  <si>
    <t>dd: reference list: PRL: Manufacturing Company</t>
  </si>
  <si>
    <t>Multiple rows possible.
9/29/25 - DataSync would like this to only be one answer, as it causes issues otherwise. (not yet in NIF code)</t>
  </si>
  <si>
    <t>dd: reference list: COUNTRY (not in RDL or PRL)</t>
  </si>
  <si>
    <t>autofill as default: if country=US then USD; country=CA then CAD</t>
  </si>
  <si>
    <t>dd: GM, OZ</t>
  </si>
  <si>
    <t>dd: OZ, LB</t>
  </si>
  <si>
    <t>dd: USD, CAD</t>
  </si>
  <si>
    <t>dd: reference list: ZMMU table (not in RDL or PRL)</t>
  </si>
  <si>
    <t>last week</t>
  </si>
  <si>
    <r>
      <t xml:space="preserve">1107 predecessor to 1083; 
Tech name [PH4_Brand_Desc] </t>
    </r>
    <r>
      <rPr>
        <b/>
        <sz val="11"/>
        <color theme="1"/>
        <rFont val="Aptos Narrow"/>
        <family val="2"/>
        <scheme val="minor"/>
      </rPr>
      <t>(26 rules)</t>
    </r>
  </si>
  <si>
    <r>
      <rPr>
        <b/>
        <sz val="10"/>
        <color rgb="FFFF0000"/>
        <rFont val="Aptos Narrow"/>
        <family val="2"/>
        <scheme val="minor"/>
      </rPr>
      <t>move these rules to the proper field:</t>
    </r>
    <r>
      <rPr>
        <sz val="10"/>
        <color theme="1"/>
        <rFont val="Aptos Narrow"/>
        <family val="2"/>
        <scheme val="minor"/>
      </rPr>
      <t xml:space="preserve">
if CA &amp; VAS=yes, BOM_plant=1460; 
if US &amp; VAS=yes &amp; Pringles=no, BOM_plant=1485; 
if US &amp;VAS=yes &amp; Pringles=yes, BOM_plant=1409;
if US &amp; VAS=yes &amp; Form_type=Case, BOM_plant=1485;
PH1_Material_Segment=40 &amp; VAS=yes, BOM_plant=1724;</t>
    </r>
  </si>
  <si>
    <t>required</t>
  </si>
  <si>
    <t>Is this a Pringles product</t>
  </si>
  <si>
    <t>Is this an RX Product</t>
  </si>
  <si>
    <t>1012 predecessor to: "Will product be sold DTC question" (1162), this will also kick off the DTC form at end of process;   Dependencies 1292, 1301, 1302</t>
  </si>
  <si>
    <t>Approved to sell via Ecommerce Displays are defaulted to No.</t>
  </si>
  <si>
    <t>Is product designated to one customer</t>
  </si>
  <si>
    <t>Is product designated to one customer Yes or No. This information will be use by the Data Sync team for item publication to customers.</t>
  </si>
  <si>
    <t>1028 dependent on: Is product designated to one customer (1027) =YES</t>
  </si>
  <si>
    <t>Include Designated Cust In Material Desc</t>
  </si>
  <si>
    <t>1029 dependent on: Is product designated to one customer (1027)=YES;  1029 predecessor to 1129</t>
  </si>
  <si>
    <t>Variety Pack</t>
  </si>
  <si>
    <t>Variety Pack components have UPC codes</t>
  </si>
  <si>
    <t>Build SKU Using Existing Package UPCs</t>
  </si>
  <si>
    <t>Is this item owned by Away From Home</t>
  </si>
  <si>
    <t>Is this an Export Product</t>
  </si>
  <si>
    <t>Build SKU Using Existing Export UPCs</t>
  </si>
  <si>
    <t>Private Label</t>
  </si>
  <si>
    <t>Build SKU Using Existing Private UPCs</t>
  </si>
  <si>
    <t>Data Sync(GDSN)</t>
  </si>
  <si>
    <t>Is a Compressed UPC Required for the Components</t>
  </si>
  <si>
    <t>Unique UPC</t>
  </si>
  <si>
    <t>This section corresponds to the Setup Type that has been chosen, and will show you the UPC requirements.
Not sure how this section gets triggered to pull in the correct data (as I can't seem to find it in the NIF Rules.docx).  Maybe from the RDL: ALT_UOM {Alternate Unit Of Meaure table}</t>
  </si>
  <si>
    <t>Supply Chain Budget Forecast SKU</t>
  </si>
  <si>
    <t>rows of data: 4 (CS, PKG, LYR, UL);  PCH</t>
  </si>
  <si>
    <t xml:space="preserve">value appears to be ZU; need to verify; "EAN Cat" </t>
  </si>
  <si>
    <t>UPC Required</t>
  </si>
  <si>
    <t>Unique or Same UPC</t>
  </si>
  <si>
    <t>GTIN Required</t>
  </si>
  <si>
    <t>Unique or Same GTIN</t>
  </si>
  <si>
    <t>Tamara to test - Canada
9/26/25 - Query not included in Expert System Rules</t>
  </si>
  <si>
    <t>numbers and decimals; runs query_tax_classification query (what does this do</t>
  </si>
  <si>
    <t>Inbound or Outbound</t>
  </si>
  <si>
    <t>9/28/25 - did not code flavor abbreviation; pull in at Material Description field</t>
  </si>
  <si>
    <t>9/28/25 - did not code food form abbreviation; pull in at Material Description field</t>
  </si>
  <si>
    <t>VAS</t>
  </si>
  <si>
    <t xml:space="preserve">Tech name: [First_Ship_Date] - 
if Country=US and first_ship_date=Monday and Forecast=Yes, then set "Pricing Validity Date" (1149)=first_ship_date-1; {what to do if Forecast=No};
if Country=CA, set "Pricing Validity Date" (1149)=first_arrival_date-11;
</t>
  </si>
  <si>
    <t>Is this a SKU to SKU Transition</t>
  </si>
  <si>
    <t>Will this item be sold at the package level Direct To Consumer  (DTC)</t>
  </si>
  <si>
    <t>Taxable</t>
  </si>
  <si>
    <t>Is the Manufacturing Location a Co-Man or Co-Packer</t>
  </si>
  <si>
    <t>Did you check the Food Form</t>
  </si>
  <si>
    <t>Print(Y/N)</t>
  </si>
  <si>
    <t>Add to BOM</t>
  </si>
  <si>
    <t>Sales_Org_CA_Tax  (LIM Forecast - field name: Canada Tax Code); see notes from 9/25/25</t>
  </si>
  <si>
    <t>Will a full case of this product be sold Direct to Consumer</t>
  </si>
  <si>
    <t xml:space="preserve"> 1292 dependent on 1012 DTC</t>
  </si>
  <si>
    <t>Did you submit DTC Form</t>
  </si>
  <si>
    <t xml:space="preserve"> 1301 dependent on 1012 DTC</t>
  </si>
  <si>
    <t xml:space="preserve"> 1302 dependent on 1012 DTC</t>
  </si>
  <si>
    <t>Is this Non Sellable FERT WIP</t>
  </si>
  <si>
    <r>
      <t xml:space="preserve">9/22/25 new field identified (FALB); 
</t>
    </r>
    <r>
      <rPr>
        <sz val="11"/>
        <color rgb="FFFF0000"/>
        <rFont val="Aptos Narrow"/>
        <family val="2"/>
        <scheme val="minor"/>
      </rPr>
      <t>currently on WIP form, but should be on CASE (Tamara to get NIF fixed) {as of 9/25/25 the distinction of the Form Type is not included in Expert System Rules}</t>
    </r>
  </si>
  <si>
    <t>These fields are open for updating: Project Type, Project Name or Number, Set Category, Brief Product Description, Brief Project Overview and Technical Notes, Stated Weights/Case Count section, Data Sync(GDSN)?</t>
  </si>
  <si>
    <r>
      <t xml:space="preserve">Tech name: [Denominator_for_conversion_to_base_units_of_measure] </t>
    </r>
    <r>
      <rPr>
        <b/>
        <sz val="11"/>
        <color theme="1"/>
        <rFont val="Aptos Narrow"/>
        <family val="2"/>
        <scheme val="minor"/>
      </rPr>
      <t>(10 rules)</t>
    </r>
    <r>
      <rPr>
        <sz val="11"/>
        <color theme="1"/>
        <rFont val="Aptos Narrow"/>
        <family val="2"/>
        <scheme val="minor"/>
      </rPr>
      <t xml:space="preserve"> then executed 4 times throughout rules</t>
    </r>
  </si>
  <si>
    <r>
      <t xml:space="preserve">Tech name: [Numerator_for_Conversion_to_Base_Units_of_Measure] </t>
    </r>
    <r>
      <rPr>
        <b/>
        <sz val="11"/>
        <color theme="1"/>
        <rFont val="Aptos Narrow"/>
        <family val="2"/>
        <scheme val="minor"/>
      </rPr>
      <t>(13 rules)</t>
    </r>
    <r>
      <rPr>
        <sz val="11"/>
        <color theme="1"/>
        <rFont val="Aptos Narrow"/>
        <family val="2"/>
        <scheme val="minor"/>
      </rPr>
      <t xml:space="preserve"> then executed 4 times throughout rules</t>
    </r>
  </si>
  <si>
    <t>Tech name: [Alternative_Unit_of_Measure_for_Stockkeeping_Unit]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</si>
</sst>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1"/>
      <color rgb="FFFF0000"/>
      <name val="Aptos Narrow"/>
      <family val="2"/>
      <scheme val="minor"/>
    </font>
    <font>
      <b/>
      <sz val="11"/>
      <name val="Aptos Narrow"/>
      <family val="2"/>
      <scheme val="minor"/>
    </font>
    <font>
      <sz val="9"/>
      <color indexed="81"/>
      <name val="Tahoma"/>
      <family val="2"/>
    </font>
    <font>
      <b/>
      <sz val="9"/>
      <color indexed="81"/>
      <name val="Tahoma"/>
      <family val="2"/>
    </font>
    <font>
      <sz val="11"/>
      <color indexed="8"/>
      <name val="Aptos Narrow"/>
      <family val="2"/>
      <scheme val="minor"/>
    </font>
    <font>
      <sz val="8"/>
      <color theme="1"/>
      <name val="Aptos Narrow"/>
      <family val="2"/>
      <scheme val="minor"/>
    </font>
    <font>
      <b/>
      <sz val="10"/>
      <color theme="1"/>
      <name val="Aptos Narrow"/>
      <family val="2"/>
      <scheme val="minor"/>
    </font>
    <font>
      <sz val="8"/>
      <name val="Aptos Narrow"/>
      <family val="2"/>
      <scheme val="minor"/>
    </font>
    <font>
      <sz val="9"/>
      <color indexed="81"/>
      <name val="Tahoma"/>
      <charset val="1"/>
    </font>
    <font>
      <b/>
      <sz val="9"/>
      <color indexed="81"/>
      <name val="Tahoma"/>
      <charset val="1"/>
    </font>
    <font>
      <i/>
      <sz val="11"/>
      <color theme="1"/>
      <name val="Aptos Narrow"/>
      <family val="2"/>
      <scheme val="minor"/>
    </font>
    <font>
      <sz val="11"/>
      <name val="Aptos Narrow"/>
      <family val="2"/>
      <scheme val="minor"/>
    </font>
    <font>
      <sz val="11"/>
      <color theme="1"/>
      <name val="Aptos Narrow"/>
      <family val="2"/>
      <scheme val="minor"/>
    </font>
    <font>
      <sz val="10"/>
      <color theme="1"/>
      <name val="Aptos Narrow"/>
      <family val="2"/>
      <scheme val="minor"/>
    </font>
    <font>
      <sz val="11"/>
      <color theme="1"/>
      <name val="Calibri"/>
      <family val="2"/>
    </font>
    <font>
      <b/>
      <sz val="10"/>
      <color rgb="FFFF0000"/>
      <name val="Aptos Narrow"/>
      <family val="2"/>
      <scheme val="minor"/>
    </font>
  </fonts>
  <fills count="12">
    <fill>
      <patternFill patternType="none"/>
    </fill>
    <fill>
      <patternFill patternType="gray125"/>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them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FFCC"/>
        <bgColor indexed="64"/>
      </patternFill>
    </fill>
    <fill>
      <patternFill patternType="solid">
        <fgColor theme="5" tint="0.79998168889431442"/>
        <bgColor indexed="64"/>
      </patternFill>
    </fill>
    <fill>
      <patternFill patternType="solid">
        <fgColor rgb="FFFFCCFF"/>
        <bgColor indexed="64"/>
      </patternFill>
    </fill>
  </fills>
  <borders count="9">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5" fillId="5" borderId="0">
      <alignment wrapText="1"/>
      <protection locked="0"/>
    </xf>
    <xf numFmtId="0" fontId="15" fillId="8" borderId="0">
      <alignment wrapText="1"/>
      <protection locked="0"/>
    </xf>
    <xf numFmtId="0" fontId="15" fillId="0" borderId="0">
      <alignment wrapText="1"/>
      <protection locked="0"/>
    </xf>
  </cellStyleXfs>
  <cellXfs count="87">
    <xf numFmtId="0" fontId="0" fillId="0" borderId="0" xfId="0"/>
    <xf numFmtId="0" fontId="2" fillId="0" borderId="0" xfId="0" applyFont="1"/>
    <xf numFmtId="0" fontId="1" fillId="0" borderId="0" xfId="0" applyFont="1"/>
    <xf numFmtId="0" fontId="0" fillId="2" borderId="0" xfId="0" applyFill="1"/>
    <xf numFmtId="0" fontId="3" fillId="0" borderId="0" xfId="0" applyFont="1"/>
    <xf numFmtId="0" fontId="4" fillId="0" borderId="0" xfId="0" applyFont="1"/>
    <xf numFmtId="0" fontId="3" fillId="0" borderId="1" xfId="0" applyFont="1" applyBorder="1"/>
    <xf numFmtId="0" fontId="0" fillId="3" borderId="0" xfId="0" applyFill="1"/>
    <xf numFmtId="0" fontId="2" fillId="4" borderId="0" xfId="0" applyFont="1" applyFill="1"/>
    <xf numFmtId="0" fontId="2" fillId="0" borderId="1" xfId="0" applyFont="1" applyBorder="1"/>
    <xf numFmtId="0" fontId="7" fillId="0" borderId="0" xfId="0" applyFont="1"/>
    <xf numFmtId="0" fontId="0" fillId="0" borderId="0" xfId="0" applyAlignment="1">
      <alignment wrapText="1"/>
    </xf>
    <xf numFmtId="0" fontId="2" fillId="0" borderId="0" xfId="0" applyFont="1" applyAlignment="1">
      <alignment wrapText="1"/>
    </xf>
    <xf numFmtId="0" fontId="0" fillId="0" borderId="0" xfId="0" applyAlignment="1">
      <alignment horizontal="right"/>
    </xf>
    <xf numFmtId="0" fontId="0" fillId="0" borderId="0" xfId="0" applyAlignment="1">
      <alignment horizontal="right" vertical="top" wrapText="1"/>
    </xf>
    <xf numFmtId="0" fontId="0" fillId="6" borderId="0" xfId="0" applyFill="1"/>
    <xf numFmtId="0" fontId="0" fillId="7" borderId="0" xfId="0" applyFill="1" applyAlignment="1">
      <alignment vertical="top" wrapText="1"/>
    </xf>
    <xf numFmtId="0" fontId="0" fillId="0" borderId="0" xfId="0" pivotButton="1"/>
    <xf numFmtId="0" fontId="2" fillId="7" borderId="0" xfId="0" applyFont="1" applyFill="1"/>
    <xf numFmtId="0" fontId="8" fillId="0" borderId="0" xfId="0" applyFont="1"/>
    <xf numFmtId="0" fontId="8" fillId="0" borderId="0" xfId="0" applyFont="1" applyAlignment="1">
      <alignment wrapText="1"/>
    </xf>
    <xf numFmtId="0" fontId="0" fillId="8" borderId="0" xfId="0" applyFill="1"/>
    <xf numFmtId="0" fontId="8" fillId="8" borderId="0" xfId="0" applyFont="1" applyFill="1"/>
    <xf numFmtId="0" fontId="0" fillId="8" borderId="0" xfId="0" applyFill="1" applyAlignment="1">
      <alignment horizontal="right"/>
    </xf>
    <xf numFmtId="0" fontId="0" fillId="8" borderId="0" xfId="0" applyFill="1" applyAlignment="1">
      <alignment wrapText="1"/>
    </xf>
    <xf numFmtId="0" fontId="0" fillId="0" borderId="0" xfId="0" applyAlignment="1">
      <alignment vertical="top" wrapText="1"/>
    </xf>
    <xf numFmtId="0" fontId="10" fillId="0" borderId="0" xfId="0" applyFont="1"/>
    <xf numFmtId="0" fontId="0" fillId="5" borderId="0" xfId="0" applyFill="1"/>
    <xf numFmtId="49" fontId="0" fillId="0" borderId="0" xfId="0" quotePrefix="1" applyNumberFormat="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9" borderId="0" xfId="0" applyFill="1" applyAlignment="1">
      <alignment horizontal="center"/>
    </xf>
    <xf numFmtId="14" fontId="0" fillId="0" borderId="0" xfId="0" applyNumberFormat="1" applyAlignment="1">
      <alignment horizontal="center"/>
    </xf>
    <xf numFmtId="0" fontId="0" fillId="8" borderId="0" xfId="0" applyFill="1" applyAlignment="1">
      <alignment horizontal="center"/>
    </xf>
    <xf numFmtId="0" fontId="0" fillId="0" borderId="4" xfId="0" applyBorder="1" applyAlignment="1">
      <alignment horizontal="center"/>
    </xf>
    <xf numFmtId="0" fontId="0" fillId="0" borderId="7" xfId="0" applyBorder="1" applyAlignment="1">
      <alignment horizontal="center"/>
    </xf>
    <xf numFmtId="0" fontId="9" fillId="7" borderId="0" xfId="0" applyFont="1" applyFill="1" applyAlignment="1">
      <alignment horizontal="left" wrapText="1"/>
    </xf>
    <xf numFmtId="0" fontId="9" fillId="0" borderId="0" xfId="0" applyFont="1" applyAlignment="1">
      <alignment horizontal="left" wrapText="1"/>
    </xf>
    <xf numFmtId="0" fontId="2" fillId="0" borderId="0" xfId="0" applyFont="1" applyAlignment="1">
      <alignment horizontal="left"/>
    </xf>
    <xf numFmtId="0" fontId="2" fillId="7" borderId="0" xfId="0" applyFont="1" applyFill="1" applyAlignment="1">
      <alignment wrapText="1"/>
    </xf>
    <xf numFmtId="0" fontId="0" fillId="0" borderId="0" xfId="0" quotePrefix="1" applyAlignment="1">
      <alignment horizontal="right"/>
    </xf>
    <xf numFmtId="0" fontId="2" fillId="5" borderId="0" xfId="0" applyFont="1" applyFill="1"/>
    <xf numFmtId="0" fontId="0" fillId="0" borderId="0" xfId="0" applyProtection="1">
      <protection locked="0"/>
    </xf>
    <xf numFmtId="0" fontId="0" fillId="0" borderId="0" xfId="0" applyAlignment="1" applyProtection="1">
      <alignment horizontal="right"/>
      <protection locked="0"/>
    </xf>
    <xf numFmtId="0" fontId="0" fillId="0" borderId="0" xfId="0" applyAlignment="1" applyProtection="1">
      <alignment wrapText="1"/>
      <protection locked="0"/>
    </xf>
    <xf numFmtId="0" fontId="0" fillId="0" borderId="0" xfId="0" applyAlignment="1" applyProtection="1">
      <alignment horizontal="center"/>
      <protection locked="0"/>
    </xf>
    <xf numFmtId="0" fontId="0" fillId="7" borderId="0" xfId="0" applyFill="1" applyAlignment="1" applyProtection="1">
      <alignment vertical="top" wrapText="1"/>
      <protection locked="0"/>
    </xf>
    <xf numFmtId="0" fontId="2" fillId="0" borderId="0" xfId="0" applyFont="1" applyAlignment="1" applyProtection="1">
      <alignment wrapText="1"/>
      <protection locked="0"/>
    </xf>
    <xf numFmtId="0" fontId="2" fillId="7" borderId="0" xfId="0" applyFont="1" applyFill="1" applyProtection="1">
      <protection locked="0"/>
    </xf>
    <xf numFmtId="0" fontId="2" fillId="7" borderId="0" xfId="0" applyFont="1" applyFill="1" applyAlignment="1" applyProtection="1">
      <alignment wrapText="1"/>
      <protection locked="0"/>
    </xf>
    <xf numFmtId="0" fontId="2" fillId="0" borderId="0" xfId="0" applyFont="1" applyProtection="1">
      <protection locked="0"/>
    </xf>
    <xf numFmtId="0" fontId="9" fillId="7" borderId="0" xfId="0" applyFont="1" applyFill="1" applyAlignment="1" applyProtection="1">
      <alignment horizontal="left" wrapText="1"/>
      <protection locked="0"/>
    </xf>
    <xf numFmtId="0" fontId="9" fillId="0" borderId="0" xfId="0" applyFont="1" applyAlignment="1" applyProtection="1">
      <alignment horizontal="left" wrapText="1"/>
      <protection locked="0"/>
    </xf>
    <xf numFmtId="0" fontId="2" fillId="0" borderId="0" xfId="0" applyFont="1" applyAlignment="1" applyProtection="1">
      <alignment horizontal="left"/>
      <protection locked="0"/>
    </xf>
    <xf numFmtId="0" fontId="0" fillId="9" borderId="0" xfId="0" applyFill="1" applyAlignment="1" applyProtection="1">
      <alignment horizontal="center"/>
      <protection locked="0"/>
    </xf>
    <xf numFmtId="14" fontId="0" fillId="0" borderId="0" xfId="0" applyNumberFormat="1" applyAlignment="1" applyProtection="1">
      <alignment horizontal="center"/>
      <protection locked="0"/>
    </xf>
    <xf numFmtId="14" fontId="0" fillId="0" borderId="0" xfId="0" applyNumberFormat="1" applyProtection="1">
      <protection locked="0"/>
    </xf>
    <xf numFmtId="0" fontId="0" fillId="5" borderId="0" xfId="0" applyFill="1" applyAlignment="1" applyProtection="1">
      <alignment wrapText="1"/>
      <protection locked="0"/>
    </xf>
    <xf numFmtId="0" fontId="13" fillId="0" borderId="0" xfId="0" applyFont="1" applyAlignment="1" applyProtection="1">
      <alignment wrapText="1"/>
      <protection locked="0"/>
    </xf>
    <xf numFmtId="0" fontId="8" fillId="0" borderId="0" xfId="0" applyFont="1" applyAlignment="1" applyProtection="1">
      <alignment wrapText="1"/>
      <protection locked="0"/>
    </xf>
    <xf numFmtId="0" fontId="0" fillId="0" borderId="0" xfId="0" applyAlignment="1" applyProtection="1">
      <alignment horizontal="right" wrapText="1"/>
      <protection locked="0"/>
    </xf>
    <xf numFmtId="0" fontId="0" fillId="6" borderId="0" xfId="0" applyFill="1" applyProtection="1">
      <protection locked="0"/>
    </xf>
    <xf numFmtId="0" fontId="10" fillId="0" borderId="0" xfId="0" applyFont="1" applyAlignment="1" applyProtection="1">
      <alignment wrapText="1"/>
      <protection locked="0"/>
    </xf>
    <xf numFmtId="0" fontId="0" fillId="7" borderId="0" xfId="0" applyFill="1"/>
    <xf numFmtId="0" fontId="2" fillId="5" borderId="0" xfId="0" applyFont="1" applyFill="1" applyAlignment="1" applyProtection="1">
      <alignment wrapText="1"/>
      <protection locked="0"/>
    </xf>
    <xf numFmtId="0" fontId="0" fillId="9" borderId="0" xfId="0" applyFill="1" applyProtection="1">
      <protection locked="0"/>
    </xf>
    <xf numFmtId="0" fontId="0" fillId="8" borderId="0" xfId="0" applyFill="1" applyAlignment="1" applyProtection="1">
      <alignment horizontal="center"/>
      <protection locked="0"/>
    </xf>
    <xf numFmtId="0" fontId="0" fillId="8" borderId="0" xfId="0" applyFill="1" applyAlignment="1" applyProtection="1">
      <alignment wrapText="1"/>
      <protection locked="0"/>
    </xf>
    <xf numFmtId="0" fontId="0" fillId="8" borderId="0" xfId="0" applyFill="1" applyProtection="1">
      <protection locked="0"/>
    </xf>
    <xf numFmtId="0" fontId="8" fillId="8" borderId="0" xfId="0" applyFont="1" applyFill="1" applyAlignment="1" applyProtection="1">
      <alignment wrapText="1"/>
      <protection locked="0"/>
    </xf>
    <xf numFmtId="14" fontId="0" fillId="9" borderId="0" xfId="0" applyNumberFormat="1" applyFill="1" applyProtection="1">
      <protection locked="0"/>
    </xf>
    <xf numFmtId="14" fontId="0" fillId="8" borderId="0" xfId="0" applyNumberFormat="1" applyFill="1" applyProtection="1">
      <protection locked="0"/>
    </xf>
    <xf numFmtId="0" fontId="14" fillId="0" borderId="0" xfId="0" applyFont="1" applyProtection="1">
      <protection locked="0"/>
    </xf>
    <xf numFmtId="0" fontId="0" fillId="0" borderId="8" xfId="0" applyBorder="1" applyAlignment="1" applyProtection="1">
      <alignment wrapText="1"/>
      <protection locked="0"/>
    </xf>
    <xf numFmtId="0" fontId="0" fillId="2" borderId="0" xfId="0" applyFill="1" applyAlignment="1" applyProtection="1">
      <alignment horizontal="center"/>
      <protection locked="0"/>
    </xf>
    <xf numFmtId="0" fontId="0" fillId="10" borderId="0" xfId="0" applyFill="1" applyAlignment="1" applyProtection="1">
      <alignment horizontal="center"/>
      <protection locked="0"/>
    </xf>
    <xf numFmtId="0" fontId="0" fillId="10" borderId="0" xfId="0" applyFill="1" applyAlignment="1" applyProtection="1">
      <alignment wrapText="1"/>
      <protection locked="0"/>
    </xf>
    <xf numFmtId="0" fontId="17" fillId="8" borderId="0" xfId="0" applyFont="1" applyFill="1" applyAlignment="1">
      <alignment wrapText="1"/>
    </xf>
    <xf numFmtId="0" fontId="8" fillId="10" borderId="0" xfId="0" applyFont="1" applyFill="1" applyAlignment="1" applyProtection="1">
      <alignment wrapText="1"/>
      <protection locked="0"/>
    </xf>
    <xf numFmtId="0" fontId="15" fillId="0" borderId="0" xfId="3">
      <alignment wrapText="1"/>
      <protection locked="0"/>
    </xf>
    <xf numFmtId="0" fontId="1" fillId="0" borderId="0" xfId="0" applyFont="1" applyAlignment="1" applyProtection="1">
      <alignment wrapText="1"/>
      <protection locked="0"/>
    </xf>
    <xf numFmtId="0" fontId="16" fillId="8" borderId="0" xfId="0" applyFont="1" applyFill="1" applyAlignment="1" applyProtection="1">
      <alignment wrapText="1"/>
      <protection locked="0"/>
    </xf>
    <xf numFmtId="0" fontId="0" fillId="11" borderId="0" xfId="0" applyFill="1" applyProtection="1">
      <protection locked="0"/>
    </xf>
    <xf numFmtId="0" fontId="15" fillId="5" borderId="0" xfId="1">
      <alignment wrapText="1"/>
      <protection locked="0"/>
    </xf>
  </cellXfs>
  <cellStyles count="4">
    <cellStyle name="NO COLOR" xfId="3" xr:uid="{B5F9648B-16A9-4B26-A4C3-52FA01F89439}"/>
    <cellStyle name="Normal" xfId="0" builtinId="0"/>
    <cellStyle name="PINK" xfId="2" xr:uid="{EFFF450C-EE21-47C5-AEC7-30404DBFDFDA}"/>
    <cellStyle name="YELLOW" xfId="1" xr:uid="{2F5BD319-99B9-4ADA-8FA4-10BFB6544DB8}"/>
  </cellStyles>
  <dxfs count="14">
    <dxf>
      <font>
        <color rgb="FF9C0006"/>
      </font>
      <fill>
        <patternFill>
          <bgColor rgb="FFFFC7CE"/>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color rgb="FF9C0006"/>
      </font>
      <fill>
        <patternFill>
          <bgColor rgb="FFFFC7CE"/>
        </patternFill>
      </fill>
    </dxf>
    <dxf>
      <font>
        <color rgb="FF9C0006"/>
      </font>
      <fill>
        <patternFill>
          <bgColor rgb="FFFFC7CE"/>
        </patternFill>
      </fill>
    </dxf>
    <dxf>
      <fill>
        <patternFill>
          <bgColor theme="2"/>
        </patternFill>
      </fill>
    </dxf>
    <dxf>
      <fill>
        <patternFill>
          <bgColor theme="2"/>
        </patternFill>
      </fill>
    </dxf>
    <dxf>
      <fill>
        <patternFill>
          <bgColor theme="2"/>
        </patternFill>
      </fill>
    </dxf>
    <dxf>
      <font>
        <color rgb="FF9C0006"/>
      </font>
      <fill>
        <patternFill>
          <bgColor rgb="FFFFC7CE"/>
        </patternFill>
      </fill>
    </dxf>
    <dxf>
      <fill>
        <patternFill patternType="solid">
          <bgColor theme="9" tint="0.79998168889431442"/>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v Tyler" refreshedDate="45929.532330208334" createdVersion="8" refreshedVersion="8" minRefreshableVersion="3" recordCount="307" xr:uid="{1AD12B81-C2AA-478A-9185-28F616E06FA2}">
  <cacheSource type="worksheet">
    <worksheetSource ref="A1:V308" sheet="All sections of NIF PDF"/>
  </cacheSource>
  <cacheFields count="22">
    <cacheField name="UNIQUE FIELD # (order in Trng deck)" numFmtId="0">
      <sharedItems containsSemiMixedTypes="0" containsString="0" containsNumber="1" containsInteger="1" minValue="1001" maxValue="1307"/>
    </cacheField>
    <cacheField name="Training Section" numFmtId="0">
      <sharedItems/>
    </cacheField>
    <cacheField name="section name" numFmtId="0">
      <sharedItems count="63">
        <s v="Requestor Initiate"/>
        <s v="Person Responsible"/>
        <s v="Product Setup"/>
        <s v="Stated Weights/Case Count"/>
        <s v="Reference Material"/>
        <s v="Product Determination Questions"/>
        <s v="Other UPC Requirements"/>
        <s v="Existing Printed Material Codes"/>
        <s v="Special Packaging Requirements"/>
        <s v="UPC Table"/>
        <s v="List Existing K Numbers"/>
        <s v="Priority"/>
        <s v="Packaging Tech Assignment"/>
        <s v="(buttons) Returns"/>
        <s v="LIM REPORT section"/>
        <s v="Material Number"/>
        <s v="UPC, K#, and GTIN Codes"/>
        <s v="Forecast SKU Requirements"/>
        <s v="Product Details"/>
        <s v="Fields Used for Material Description"/>
        <s v="Product Hierarchy-Brand"/>
        <s v="Alternate Units of Measure"/>
        <s v="Material Description(s)"/>
        <s v="Taxes"/>
        <s v="Forecast Scripts"/>
        <s v="NIF Dashboard"/>
        <s v="Alternate Hierarchy"/>
        <s v="Trade Channel &amp; Country Sold In"/>
        <s v="Promotion"/>
        <s v="Values used to determine material description"/>
        <s v="BOM Setup (VAS)"/>
        <s v="Variety Pack 0200 BOM Setup"/>
        <s v="General Product Data"/>
        <s v="Manufacturing Locations"/>
        <s v="Select Sub-Brand"/>
        <s v="Product Details - Brand Derived"/>
        <s v="R &amp; D Quality"/>
        <s v="Food Weights"/>
        <s v="Food Weights in grams/ounces"/>
        <s v="Data Sync Requirements - Nutrition Labeling"/>
        <s v="Canada - Validate Food Form"/>
        <s v="Net Wt. Statement for Graphics"/>
        <s v="Packaging Details"/>
        <s v="Packaging Components"/>
        <s v="Net Weight if no Nutrition Labeling"/>
        <s v="Material Group/Tax Data"/>
        <s v="Pricing"/>
        <s v="LIM Dashboard Returns"/>
        <s v="Review Material Descriptions"/>
        <s v="Review - Derived Values"/>
        <s v="Sales Organization Extension"/>
        <s v="Masterfiles Approval Returns"/>
        <s v="ZMMU_PLANT_Query"/>
        <s v="Plant Extension Selection"/>
        <s v="Packaging - Merge with BOM"/>
        <s v="VAS BOM Plant Assingments (CS07)"/>
        <s v="DTC Questions"/>
        <s v="Masterfiles Manual Checklist"/>
        <s v="Returns"/>
        <s v="DTC Product Details"/>
        <s v="Attachments"/>
        <s v="DTC Launch Validation"/>
        <s v="BOM Setup" u="1"/>
      </sharedItems>
    </cacheField>
    <cacheField name="field names in Trng deck" numFmtId="0">
      <sharedItems count="310">
        <s v="Requestor Name"/>
        <s v="Requestor Email"/>
        <s v="Requestor Date"/>
        <s v="Version"/>
        <s v="Requestor"/>
        <s v="LIM"/>
        <s v="Business Area"/>
        <s v="Form Type"/>
        <s v="Product Country"/>
        <s v="Product Type"/>
        <s v="Product Sub Type"/>
        <s v="Is this a Pringles product?"/>
        <s v="Is this an RX Product?"/>
        <s v="SAP Material Number"/>
        <s v="Project Type"/>
        <s v="Project Name or Number"/>
        <s v="Set Category"/>
        <s v="Brief Product Description"/>
        <s v="Brief Project Overview and Technical Notes"/>
        <s v="Stated Weight Applicable For"/>
        <s v="Stated Weight Status"/>
        <s v="Stated Net Weight"/>
        <s v="Stated Net Weight UOM"/>
        <s v="Case Count Status"/>
        <s v="Case Count"/>
        <s v="Like SKU / Reference Material Number"/>
        <s v="Approved to sell via Ecommerce"/>
        <s v="Is product designated to one customer?"/>
        <s v="Designated Customer Name"/>
        <s v="Include Designated Cust In Material Desc?"/>
        <s v="Variety Pack?"/>
        <s v="Variety Pack components have UPC codes?"/>
        <s v="Build SKU Using Existing Package UPCs?"/>
        <s v="Is this item owned by Away From Home?"/>
        <s v="Is this an Export Product?"/>
        <s v="Build SKU Using Existing Export UPCs?"/>
        <s v="List Existing Export UPC Codes"/>
        <s v="Private Label?"/>
        <s v="Private Label Name"/>
        <s v="Build SKU Using Existing Private UPCs?"/>
        <s v="List Existing Private UPCs"/>
        <s v="Data Sync(GDSN)?"/>
        <s v="Is this Non Sellable FERT WIP? (FALB)"/>
        <s v="Material Prefix Description"/>
        <s v="Is a Compressed UPC Required for the Components?"/>
        <s v="Package UPC Code"/>
        <s v="Package K Number"/>
        <s v="Pouch UPC Code"/>
        <s v="Pouch K Number"/>
        <s v="List UPC Codes If Already Assigned"/>
        <s v="Compressed UPC Existing"/>
        <s v="Sale Samples may be needed"/>
        <s v="Unique UPC?"/>
        <s v="List Any Existing Knumbers That Will Be Used"/>
        <s v="Additional Packaging for Launch"/>
        <s v="Priority"/>
        <s v="Select Packaging Tech Assignment"/>
        <s v="Masterfiles"/>
        <s v="EPM Finance"/>
        <s v="Data Integrity"/>
        <s v="Data Integrity (CA)"/>
        <s v="R&amp;D Quality"/>
        <s v="Nutrition Labeling"/>
        <s v="Packaging Tech (Engineer)"/>
        <s v="Category Finance"/>
        <s v="Packaging Tech (BPS)"/>
        <s v="Packaging Tech (Menasha)"/>
        <s v="Packaging Tech (Canada VAS)"/>
        <s v="Supply Chain Budget Forecast SKU?"/>
        <s v="(LIM Initial) Return Comments"/>
        <s v="5 export (buttons)"/>
        <s v="Material Number"/>
        <s v="Alt UOM"/>
        <s v="UPC #"/>
        <s v="K #"/>
        <s v="Ct"/>
        <s v="UPC Required?"/>
        <s v="Unique or Same UPC?"/>
        <s v="GTIN Number"/>
        <s v="GTIN Required?"/>
        <s v="GTIN Prefix"/>
        <s v="Unique or Same GTIN?"/>
        <s v="Special Launch K Number"/>
        <s v="(MF Get Codes) Return Comments"/>
        <s v="MFG Company"/>
        <s v="Material Group"/>
        <s v="External Material Group"/>
        <s v="Estimated Standard Cost"/>
        <s v="Specialty Channels Field Category"/>
        <s v="Red K Price"/>
        <s v="Material Prefix"/>
        <s v="Transportation Group"/>
        <s v="Net Case Weight"/>
        <s v="Metric Stated Net Pkg Wt"/>
        <s v="Imperial Stated Net Pkg Wt"/>
        <s v="Country Sold In"/>
        <s v="Location"/>
        <s v="Location Description"/>
        <s v="Inbound or Outbound?"/>
        <s v="Kellogg Owned/Not Owned (Coman)"/>
        <s v="Flavor"/>
        <s v="Food Form"/>
        <s v="Sub-Food Form"/>
        <s v="Material Segment Description"/>
        <s v="Material Segment #"/>
        <s v="Category Description"/>
        <s v="Category #"/>
        <s v="Sub-Category Description"/>
        <s v="Sub-Category #"/>
        <s v="Brand Description"/>
        <s v="Brand Number"/>
        <s v="Type Description"/>
        <s v="Type #"/>
        <s v="Sub-Type Description"/>
        <s v="Sub-Type #"/>
        <s v="Forecast Entry Options"/>
        <s v="X"/>
        <s v="&lt;=&gt;"/>
        <s v="Y"/>
        <s v="Base UOM"/>
        <s v="Length"/>
        <s v="Width"/>
        <s v="Height"/>
        <s v="Unit of Dimension"/>
        <s v="Volume"/>
        <s v="Volume Unit"/>
        <s v="Gross Weight"/>
        <s v="Weight Unit"/>
        <s v="Language"/>
        <s v="Material Description"/>
        <s v="Material Description Length"/>
        <s v="Generate Material Description"/>
        <s v="Suggested Material Desc"/>
        <s v="Length (of Sugg Matl Desc)"/>
        <s v="Departure Country"/>
        <s v="Tax Category"/>
        <s v="Tax Classification"/>
        <s v="Create Forecast Material"/>
        <s v="Manually Execute Scripts"/>
        <s v="VAS?"/>
        <s v="(LIM Launch) Return Comments"/>
        <s v="statuses of the workflow (X, R, C…)"/>
        <s v="Proposed Red K Price"/>
        <s v="Proposed Red K Currency"/>
        <s v="Business Unit"/>
        <s v="Material Group 1"/>
        <s v="1st Arrival Date"/>
        <s v="1st Arrival Date (Day)"/>
        <s v="1st Ship Date"/>
        <s v="1st Ship Date (Day)"/>
        <s v="FERT Type"/>
        <s v="Pricing Validity Date"/>
        <s v="Pack Type Use"/>
        <s v="Planning Variant"/>
        <s v="SKU Type"/>
        <s v="Promo End Date"/>
        <s v="Stop Ship/Target Discontinuance"/>
        <s v="Remarket Date"/>
        <s v="Is this a SKU to SKU Transition?"/>
        <s v="Conversion Case Code"/>
        <s v="Conversion Date"/>
        <s v="OTG Type"/>
        <s v="Single Serve"/>
        <s v="Pack Size"/>
        <s v="Total shelf life"/>
        <s v="Will this item be sold at the package level Direct To Consumer?  (DTC)"/>
        <s v="Alternate Market Segment"/>
        <s v="Alternate Category"/>
        <s v="Alternate Sub-Category"/>
        <s v="Trade Channel"/>
        <s v="Promotion Description"/>
        <s v="Promo Short Description"/>
        <s v="Business Unit for Promo"/>
        <s v="Royalty Product Type"/>
        <s v="Royalty Licenser"/>
        <s v="Royalty Licenser Abbreviation"/>
        <s v="Food Count (Bars, Waffles, PT, Shakes, RKT)"/>
        <s v="Special Pack Type"/>
        <s v="Pringles Country for Material Description"/>
        <s v="Material Number (BOM setup)"/>
        <s v="Material Description (BOM Setup)"/>
        <s v="List Price (Red K)"/>
        <s v="Base Material"/>
        <s v="Gross Pkg Weight"/>
        <s v="Gross Wt UOM"/>
        <s v="Net Pkg Weight"/>
        <s v="Net Wt UOM"/>
        <s v="Component Pkgs Per Case"/>
        <s v="Packages Per Mod Assortment"/>
        <s v="Number of Cases Required"/>
        <s v="Taxable?"/>
        <s v="WIP SKU"/>
        <s v="Pkgs Per Case or WIP"/>
        <s v="Components Per Variety Pack"/>
        <s v="Variety Packages Per Case"/>
        <s v="Calculation Check"/>
        <s v="Display Vehicle"/>
        <s v="Material Freight Group"/>
        <s v="Chocolate Enrobed"/>
        <s v="Pouch Size"/>
        <s v="Pouch Size UOM"/>
        <s v="Package Size"/>
        <s v="Package Size UOM"/>
        <s v="Country of Origin"/>
        <s v="Is the Manufacturing Location a Co-Man or Co-Packer?"/>
        <s v="(LIM Upd) Return Comments"/>
        <s v="VAS Plant Groups"/>
        <s v="Sub-Brand"/>
        <s v="(EPM) Return Comments"/>
        <s v="(DI Review) Return Comments"/>
        <s v="Max Storage Period/Ship Life"/>
        <s v="PES Food Review"/>
        <s v="Defect Group"/>
        <s v="Multi Defect Group"/>
        <s v="Grams per piece"/>
        <s v="Weight Measure"/>
        <s v="Metric Stated Net Pouch Weight (g/kg)"/>
        <s v="Metric Stated Net Pouch Size Unit"/>
        <s v="Metric Stated Net Package Weight (g/kg)"/>
        <s v="Metric Stated Net Package Weight Unit"/>
        <s v="Package Net Weight for SAP (Metric)"/>
        <s v="Stated Net Pouch Weight (oz/lb)"/>
        <s v="Stated Net Pouch Weight Unit"/>
        <s v="Stated Net Package Weight (oz/lb)"/>
        <s v="Stated Net Package Weight Unit"/>
        <s v="Package Net Weight for SAP (Imperial)"/>
        <s v="Metric Stated Net Pouch Weight (g)"/>
        <s v="Metric Stated Net Package Weight (g)"/>
        <s v="Stated Net Pouch Weight (oz)"/>
        <s v="Stated Net Package Weight (oz)"/>
        <s v="Package Individual Unit Size"/>
        <s v="Package Individual Unit Size UOM"/>
        <s v="Package Inner Pack Quantity"/>
        <s v="Did you check the Food Form?"/>
        <s v="Pouch"/>
        <s v="Package"/>
        <s v="Case"/>
        <s v="(NL) Return Comments"/>
        <s v="Pringles Can Size"/>
        <s v="Unit Load Stacking Factor"/>
        <s v="Packaging Profile"/>
        <s v="Handling Platform Type"/>
        <s v="RTEC/Pringles Cube Size"/>
        <s v="Clamp Pressure"/>
        <s v="Dim/Gross Wght Req"/>
        <s v="Dim Details"/>
        <s v="Gross Wght Dtls"/>
        <s v="Component K #"/>
        <s v="Component Description"/>
        <s v="Unit of Measure"/>
        <s v="Number Required per UOM"/>
        <s v="Dieline"/>
        <s v="Supplier"/>
        <s v="Print?(Y/N)"/>
        <s v="Add to BOM?"/>
        <s v="Net Weight"/>
        <s v="(Pkg Tech) Return Comments"/>
        <s v="Material Group 5"/>
        <s v="(CA Fin Tax) Return Comments"/>
        <s v="Final Red K List Price (cs)"/>
        <s v="(DI Hier) Return Comments"/>
        <s v="(LIM DB) Return to Team"/>
        <s v="(LIM DB) LIM Return Comments"/>
        <s v="Z1 Material Description"/>
        <s v="ZF Material Description"/>
        <s v="Distribution Methods"/>
        <s v="Material Number (Sales Org Extension)"/>
        <s v="New Sales Organization"/>
        <s v="New Distribution Channel"/>
        <s v="Tax Code"/>
        <s v="Requestor Update"/>
        <s v="(MF) Requestor Update Return Comments"/>
        <s v="Category Finance (checkbox)"/>
        <s v="(MF) Category Finance Return Comments"/>
        <s v="Nutrition Labeling (checkbox)"/>
        <s v="(MF) Nutrition Labeling Return Comments"/>
        <s v="LIM Update"/>
        <s v="(MF) LIM Update Return Comments"/>
        <s v="Packaging Tech"/>
        <s v="(MF) Packaging Tech Return Comments"/>
        <s v="Send Returns (button)"/>
        <s v="Material Type"/>
        <s v="Plant Category"/>
        <s v="Plant Number List"/>
        <s v="Create Plant Extension"/>
        <s v="Plant"/>
        <s v="Material Number (Plant Ext)"/>
        <s v="Original BOM Plant"/>
        <s v="Component"/>
        <s v="Quantity"/>
        <s v="Assign Plant"/>
        <s v="Material Number (VAS BOM)"/>
        <s v="Original Plant"/>
        <s v="Newly Assigned Plant"/>
        <s v="Will a full case of this product be sold Direct to Consumer?"/>
        <s v="DTC Package Price"/>
        <s v="(12 checkboxes)"/>
        <s v="Updates Complete (button)"/>
        <s v="Country"/>
        <s v="Retail Material Number"/>
        <s v="1. Validate Retail material Number (button)"/>
        <s v="2. Import Alt UOM Table (button)"/>
        <s v="Save and Route (button)"/>
        <s v="Choose File"/>
        <s v="Did you submit DTC Form?"/>
        <s v="DTC Form Launched (button)"/>
        <s v="Launch Later (No Save) (button)"/>
        <s v="Category Descripotion" u="1"/>
        <s v="Include Designated Cust. In Material Desc?" u="1"/>
        <s v="Will this item be sold at the package level Direct To Consumer?" u="1"/>
      </sharedItems>
    </cacheField>
    <cacheField name="#fields enterable in Trng deck" numFmtId="0">
      <sharedItems containsSemiMixedTypes="0" containsString="0" containsNumber="1" containsInteger="1" minValue="0" maxValue="1"/>
    </cacheField>
    <cacheField name="page(s) of Trng deck" numFmtId="0">
      <sharedItems containsMixedTypes="1" containsNumber="1" containsInteger="1" minValue="0" maxValue="130"/>
    </cacheField>
    <cacheField name="types of fields" numFmtId="0">
      <sharedItems count="80">
        <s v="autofill"/>
        <s v="dd: user roles"/>
        <s v="dd: WKKC, KELLANOVA"/>
        <s v="dd: CASE, DISPLAY, WIP"/>
        <s v="dd: reference list: PRODUCT_COUNTRY.XLSX"/>
        <s v="dd: reference list: PRODUCT_SETUP_TYPE.XLSX, Setup_Type column"/>
        <s v="dd: reference list: PRODUCT_SETUP_TYPE.XLSX, Setup_Qualifier column"/>
        <s v="dd: YES, NO"/>
        <s v="free form"/>
        <s v="dd: KUBIC, PDR, PWR, SCR"/>
        <s v="dd: reference list: RDL_Categories.xlsx"/>
        <s v="dd: PACKAGE, INNER ITEM/POUCH"/>
        <s v="dd: ESTIMATED, FINALIZED"/>
        <s v="dd: OZ, LB, G, KG"/>
        <s v="SAP db list"/>
        <s v="dd: reference list: PRL: Designated Customer Name"/>
        <s v="dd: reference list: PRL: Private Label Customers"/>
        <s v="dd: reference list: MATERIAL_PREFIX.XLSX"/>
        <s v="dd: NO, POUCH, PACKAGE, BOTH"/>
        <s v="dd: reference list: ADDITIONAL_PACKAGING_LAUNCH.XLSX"/>
        <s v="radio button: NORMAL, CBP, URGENT"/>
        <s v="radio button: BPS, Menasha/12 Associates, Canada VAS"/>
        <s v="export buttons"/>
        <s v="dd: reference list: PRL: Manufacturing Company"/>
        <s v="dd: reference list: PRL: Material Group"/>
        <s v="dd: reference list: PRL: External Material Group"/>
        <s v="dd: reference list: PRL: KSC Field Category"/>
        <s v="dd: reference list: PRL: Transportation Group"/>
        <s v="dd: reference list"/>
        <s v="dd: reference list: VAS_PLANTS.XLSX???"/>
        <s v="dd: INBOUND, OUTBOUND"/>
        <s v="dd: KELLOGG OWNED, NOT OWNED (COMAN)"/>
        <s v="dd: reference list: PRL: Flavor"/>
        <s v="dd: reference list: PRL: Food Form"/>
        <s v="dd: reference list: PRL: Sub Food Form"/>
        <s v="dd: reference list: PRL: Product Hierarchy Market Segment"/>
        <s v="dd: reference list: PRL: Product Hierarchy Market Category"/>
        <s v="dd: reference list: PRL: Product Hierarchy Market Sub-Category"/>
        <s v="dd: reference list: PRL: Product Hierarchy Brand"/>
        <s v="dd: reference list: PRL: Product Hierarchy Type"/>
        <s v="dd: reference list: PRL: Product Hierarchy Sub-Type"/>
        <s v="radio button: DEFAULTS, ESTIMATED, ACTUALS"/>
        <s v="button"/>
        <s v="dd: reference list: TAX_CLASSIFICATION.XLSX"/>
        <s v="expand group with more buttons"/>
        <s v="dd: reference list: PRL: Business Unit"/>
        <s v="dd: reference list: PRL: Material Group 1"/>
        <s v="date"/>
        <s v="dd: reference list: PRL: FERT Type"/>
        <s v="dd: reference list: PRL: Pack Type Use"/>
        <s v="dd: reference list: PRL: Planning Variant"/>
        <s v="dd: PERMANENT, LIMITED"/>
        <s v="dd: reference list: PRL: OTG Type"/>
        <s v="dd: reference list: PRL: Pack Size _x000a_(CLUB PACK, RETAIL, SINGLE SERVE)"/>
        <s v="dd: reference list: PRL: Trade Channel"/>
        <s v="dd: reference list: PRL: Promotion"/>
        <s v="dd: reference list: PRL: Business Unit for Promo"/>
        <s v="dd: reference list: PRL: Royalty Product Type"/>
        <s v="dd: reference list: PRL: Royalty Licenser"/>
        <s v="dd: reference list: PRL: Special Pack Type"/>
        <s v="dd: reference list: PRL: Display Vehicle"/>
        <s v="dd: reference list: PRL: Material Freight Group"/>
        <s v="dd: reference list: PRL: Country of Origin"/>
        <s v="dd: reference list: VAS_PLANTS.XLSX"/>
        <s v="dd: reference list: PRL: Sub Brand (Finance)"/>
        <s v="dd: reference list: PRL: Defect Group"/>
        <s v="radio button: IMPERIAL, METRIC"/>
        <s v="calculation"/>
        <s v="checkbox"/>
        <s v="dd: reference list: PRL: Stacking Factor"/>
        <s v="dd: reference list: PRL: Packaging Profile"/>
        <s v="dd: reference list: PRL: Handling Platform Type"/>
        <s v="dd: reference list: PRL: Cube Size"/>
        <s v="dd: reference list: PRL: Clamp Pressure"/>
        <s v="dd: reference list: PRL: Material Group 5"/>
        <s v="dd: reference list: DISTRIBUTION_METHODS.XLSX"/>
        <s v="script button"/>
        <s v="dd: directory"/>
        <s v="dd: US, CA, MX" u="1"/>
        <s v="dd: CLUB PACK, RETAIL, SINGLE SERVE" u="1"/>
      </sharedItems>
    </cacheField>
    <cacheField name="required?" numFmtId="0">
      <sharedItems containsBlank="1"/>
    </cacheField>
    <cacheField name="owner" numFmtId="0">
      <sharedItems count="10">
        <s v="Requestor"/>
        <s v="Masterfiles"/>
        <s v="LIM"/>
        <s v="EPM Finance"/>
        <s v="Data Integrity"/>
        <s v="R&amp;D Quality"/>
        <s v="Nutrition Labeling"/>
        <s v="Packaging Tech"/>
        <s v="CA Finance Tax"/>
        <s v="Category Finance"/>
      </sharedItems>
    </cacheField>
    <cacheField name="additional roles who can modify" numFmtId="0">
      <sharedItems containsBlank="1"/>
    </cacheField>
    <cacheField name="column referenced in BR.xlsx file (from Tamara)" numFmtId="0">
      <sharedItems containsBlank="1"/>
    </cacheField>
    <cacheField name="comments" numFmtId="0">
      <sharedItems containsBlank="1" longText="1"/>
    </cacheField>
    <cacheField name="Business Rules" numFmtId="0">
      <sharedItems containsBlank="1" longText="1"/>
    </cacheField>
    <cacheField name="Business Rule status" numFmtId="0">
      <sharedItems/>
    </cacheField>
    <cacheField name="Timing status" numFmtId="0">
      <sharedItems/>
    </cacheField>
    <cacheField name="Trng Sectn #" numFmtId="0">
      <sharedItems containsString="0" containsBlank="1" containsNumber="1" containsInteger="1" minValue="10" maxValue="230"/>
    </cacheField>
    <cacheField name="Trng Sectn Priority" numFmtId="0">
      <sharedItems containsBlank="1"/>
    </cacheField>
    <cacheField name="Week" numFmtId="0">
      <sharedItems containsBlank="1"/>
    </cacheField>
    <cacheField name="Week Beginning Date" numFmtId="14">
      <sharedItems containsNonDate="0" containsDate="1" containsString="0" containsBlank="1" minDate="2025-09-16T00:00:00" maxDate="2025-10-14T00:00:00"/>
    </cacheField>
    <cacheField name="PRIORITY (1..9)_x000a_1-highest_x000a_5-mid_x000a_9-lowest" numFmtId="0">
      <sharedItems containsString="0" containsBlank="1" containsNumber="1" containsInteger="1" minValue="1" maxValue="9"/>
    </cacheField>
    <cacheField name="COMPLEXITY (3..1,0)_x000a_3-high_x000a_2-med_x000a_1-low_x000a_0-autofill" numFmtId="0">
      <sharedItems containsSemiMixedTypes="0" containsString="0" containsNumber="1" containsInteger="1" minValue="0" maxValue="3" count="4">
        <n v="0"/>
        <n v="1"/>
        <n v="3"/>
        <n v="2"/>
      </sharedItems>
    </cacheField>
    <cacheField name="Hours" numFmtId="0">
      <sharedItems containsSemiMixedTypes="0" containsString="0" containsNumber="1" minValue="0" maxValue="1.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v Tyler" refreshedDate="45929.856268518517" createdVersion="8" refreshedVersion="8" minRefreshableVersion="3" recordCount="307" xr:uid="{AB01B678-BBEB-421A-9CFE-085687D50F58}">
  <cacheSource type="worksheet">
    <worksheetSource ref="A1:Z308" sheet="All sections of NIF PDF"/>
  </cacheSource>
  <cacheFields count="26">
    <cacheField name="UNIQUE FIELD # (order in Trng deck)" numFmtId="0">
      <sharedItems containsSemiMixedTypes="0" containsString="0" containsNumber="1" containsInteger="1" minValue="1001" maxValue="1307" count="307">
        <n v="1001"/>
        <n v="1002"/>
        <n v="1003"/>
        <n v="1004"/>
        <n v="1005"/>
        <n v="1006"/>
        <n v="1305"/>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304"/>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155"/>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306"/>
        <n v="1153"/>
        <n v="1154"/>
        <n v="1156"/>
        <n v="1157"/>
        <n v="1158"/>
        <n v="1159"/>
        <n v="1160"/>
        <n v="1307"/>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sharedItems>
    </cacheField>
    <cacheField name="Training Section" numFmtId="0">
      <sharedItems count="23">
        <s v="Requestor - Project Initiation"/>
        <s v="LIM - Initial Review"/>
        <s v="LIM - LIM REPORT"/>
        <s v="Masterfiles - Get Codes"/>
        <s v="LIM - Forecast Approval"/>
        <s v="Requestor Update"/>
        <s v="Masterfiles - Get Codes Forecast"/>
        <s v="LIM - Launch"/>
        <s v="LIM Launch - Update"/>
        <s v="ZNIF Dashboard - view only"/>
        <s v="LIM - Update"/>
        <s v="EPM Finance - Update"/>
        <s v="Data Integrity (DI) - Review"/>
        <s v="R&amp;D Quality - Update"/>
        <s v="Nutrition Labeling - Update"/>
        <s v="Packaging Tech - Update"/>
        <s v="CA Finance Tax"/>
        <s v="Category Finance - update"/>
        <s v="Data Integrity (DI) - Hierarchy"/>
        <s v="LIM - Approval/NIF Dashboard"/>
        <s v="Masterfiles - Approval"/>
        <s v="Masterfiles - Create Plant Extensions, pricing &amp; BOM's"/>
        <s v="Requestor - Req Launch DTC"/>
      </sharedItems>
    </cacheField>
    <cacheField name="section name" numFmtId="0">
      <sharedItems/>
    </cacheField>
    <cacheField name="field names in Trng deck" numFmtId="0">
      <sharedItems count="308">
        <s v="Requestor Name"/>
        <s v="Requestor Email"/>
        <s v="Requestor Date"/>
        <s v="Version"/>
        <s v="Requestor"/>
        <s v="LIM"/>
        <s v="Business Area"/>
        <s v="Form Type"/>
        <s v="Product Country"/>
        <s v="Product Type"/>
        <s v="Product Sub Type"/>
        <s v="Is this a Pringles product?"/>
        <s v="Is this an RX Product?"/>
        <s v="SAP Material Number"/>
        <s v="Project Type"/>
        <s v="Project Name or Number"/>
        <s v="Set Category"/>
        <s v="Brief Product Description"/>
        <s v="Brief Project Overview and Technical Notes"/>
        <s v="Stated Weight Applicable For"/>
        <s v="Stated Weight Status"/>
        <s v="Stated Net Weight"/>
        <s v="Stated Net Weight UOM"/>
        <s v="Case Count Status"/>
        <s v="Case Count"/>
        <s v="Like SKU / Reference Material Number"/>
        <s v="Approved to sell via Ecommerce"/>
        <s v="Is product designated to one customer?"/>
        <s v="Designated Customer Name"/>
        <s v="Include Designated Cust In Material Desc?"/>
        <s v="Variety Pack?"/>
        <s v="Variety Pack components have UPC codes?"/>
        <s v="Build SKU Using Existing Package UPCs?"/>
        <s v="Is this item owned by Away From Home?"/>
        <s v="Is this an Export Product?"/>
        <s v="Build SKU Using Existing Export UPCs?"/>
        <s v="List Existing Export UPC Codes"/>
        <s v="Private Label?"/>
        <s v="Private Label Name"/>
        <s v="Build SKU Using Existing Private UPCs?"/>
        <s v="List Existing Private UPCs"/>
        <s v="Data Sync(GDSN)?"/>
        <s v="Is this Non Sellable FERT WIP? (FALB)"/>
        <s v="Material Prefix Description"/>
        <s v="Is a Compressed UPC Required for the Components?"/>
        <s v="Package UPC Code"/>
        <s v="Package K Number"/>
        <s v="Pouch UPC Code"/>
        <s v="Pouch K Number"/>
        <s v="List UPC Codes If Already Assigned"/>
        <s v="Compressed UPC Existing"/>
        <s v="Sale Samples may be needed"/>
        <s v="Unique UPC?"/>
        <s v="List Any Existing Knumbers That Will Be Used"/>
        <s v="Additional Packaging for Launch"/>
        <s v="Priority"/>
        <s v="Select Packaging Tech Assignment"/>
        <s v="Masterfiles"/>
        <s v="EPM Finance"/>
        <s v="Data Integrity"/>
        <s v="Data Integrity (CA)"/>
        <s v="R&amp;D Quality"/>
        <s v="Nutrition Labeling"/>
        <s v="Packaging Tech (Engineer)"/>
        <s v="Category Finance"/>
        <s v="Packaging Tech (BPS)"/>
        <s v="Packaging Tech (Menasha)"/>
        <s v="Packaging Tech (Canada VAS)"/>
        <s v="Supply Chain Budget Forecast SKU?"/>
        <s v="(LIM Initial) Return Comments"/>
        <s v="5 export (buttons)"/>
        <s v="Material Number"/>
        <s v="Alt UOM"/>
        <s v="UPC #"/>
        <s v="K #"/>
        <s v="Ct"/>
        <s v="UPC Required?"/>
        <s v="Unique or Same UPC?"/>
        <s v="GTIN Number"/>
        <s v="GTIN Required?"/>
        <s v="GTIN Prefix"/>
        <s v="Unique or Same GTIN?"/>
        <s v="Special Launch K Number"/>
        <s v="(MF Get Codes) Return Comments"/>
        <s v="MFG Company"/>
        <s v="Material Group"/>
        <s v="External Material Group"/>
        <s v="Estimated Standard Cost"/>
        <s v="Specialty Channels Field Category"/>
        <s v="Red K Price"/>
        <s v="Material Prefix"/>
        <s v="Transportation Group"/>
        <s v="Net Case Weight"/>
        <s v="Metric Stated Net Pkg Wt"/>
        <s v="Imperial Stated Net Pkg Wt"/>
        <s v="Country Sold In"/>
        <s v="Location"/>
        <s v="Location Description"/>
        <s v="Inbound or Outbound?"/>
        <s v="Kellogg Owned/Not Owned (Coman)"/>
        <s v="Flavor"/>
        <s v="Food Form"/>
        <s v="Sub-Food Form"/>
        <s v="Material Segment Description"/>
        <s v="Material Segment #"/>
        <s v="Category Description"/>
        <s v="Category #"/>
        <s v="Sub-Category Description"/>
        <s v="Sub-Category #"/>
        <s v="Brand Description"/>
        <s v="Brand Number"/>
        <s v="Type Description"/>
        <s v="Type #"/>
        <s v="Sub-Type Description"/>
        <s v="Sub-Type #"/>
        <s v="Forecast Entry Options"/>
        <s v="X"/>
        <s v="&lt;=&gt;"/>
        <s v="Y"/>
        <s v="Base UOM"/>
        <s v="Length"/>
        <s v="Width"/>
        <s v="Height"/>
        <s v="Unit of Dimension"/>
        <s v="Volume"/>
        <s v="Volume Unit"/>
        <s v="Gross Weight"/>
        <s v="Weight Unit"/>
        <s v="Language"/>
        <s v="Material Description"/>
        <s v="Material Description Length"/>
        <s v="Generate Material Description"/>
        <s v="Suggested Material Desc"/>
        <s v="Length (of Sugg Matl Desc)"/>
        <s v="Departure Country"/>
        <s v="Tax Category"/>
        <s v="Tax Classification"/>
        <s v="Create Forecast Material"/>
        <s v="Manually Execute Scripts"/>
        <s v="VAS?"/>
        <s v="(LIM Launch) Return Comments"/>
        <s v="statuses of the workflow (X, R, C…)"/>
        <s v="Proposed Red K Price"/>
        <s v="Proposed Red K Currency"/>
        <s v="Business Unit"/>
        <s v="Material Group 1"/>
        <s v="1st Arrival Date"/>
        <s v="1st Arrival Date (Day)"/>
        <s v="1st Ship Date"/>
        <s v="1st Ship Date (Day)"/>
        <s v="FERT Type"/>
        <s v="Pricing Validity Date"/>
        <s v="Pack Type Use"/>
        <s v="Planning Variant"/>
        <s v="SKU Type"/>
        <s v="Promo End Date"/>
        <s v="Stop Ship/Target Discontinuance"/>
        <s v="Remarket Date"/>
        <s v="Is this a SKU to SKU Transition?"/>
        <s v="Conversion Case Code"/>
        <s v="Conversion Date"/>
        <s v="OTG Type"/>
        <s v="Single Serve"/>
        <s v="Pack Size"/>
        <s v="Total shelf life"/>
        <s v="Will this item be sold at the package level Direct To Consumer?  (DTC)"/>
        <s v="Alternate Market Segment"/>
        <s v="Alternate Category"/>
        <s v="Alternate Sub-Category"/>
        <s v="Trade Channel"/>
        <s v="Promotion Description"/>
        <s v="Promo Short Description"/>
        <s v="Business Unit for Promo"/>
        <s v="Royalty Product Type"/>
        <s v="Royalty Licenser"/>
        <s v="Royalty Licenser Abbreviation"/>
        <s v="Food Count (Bars, Waffles, PT, Shakes, RKT)"/>
        <s v="Special Pack Type"/>
        <s v="Pringles Country for Material Description"/>
        <s v="Material Number (BOM setup)"/>
        <s v="Material Description (BOM Setup)"/>
        <s v="List Price (Red K)"/>
        <s v="Base Material"/>
        <s v="Gross Pkg Weight"/>
        <s v="Gross Wt UOM"/>
        <s v="Net Pkg Weight"/>
        <s v="Net Wt UOM"/>
        <s v="Component Pkgs Per Case"/>
        <s v="Packages Per Mod Assortment"/>
        <s v="Number of Cases Required"/>
        <s v="Taxable?"/>
        <s v="WIP SKU"/>
        <s v="Pkgs Per Case or WIP"/>
        <s v="Components Per Variety Pack"/>
        <s v="Variety Packages Per Case"/>
        <s v="Calculation Check"/>
        <s v="Display Vehicle"/>
        <s v="Material Freight Group"/>
        <s v="Chocolate Enrobed"/>
        <s v="Pouch Size"/>
        <s v="Pouch Size UOM"/>
        <s v="Package Size"/>
        <s v="Package Size UOM"/>
        <s v="Country of Origin"/>
        <s v="Is the Manufacturing Location a Co-Man or Co-Packer?"/>
        <s v="(LIM Upd) Return Comments"/>
        <s v="VAS Plant Groups"/>
        <s v="Sub-Brand"/>
        <s v="(EPM) Return Comments"/>
        <s v="(DI Review) Return Comments"/>
        <s v="Max Storage Period/Ship Life"/>
        <s v="PES Food Review"/>
        <s v="Defect Group"/>
        <s v="Multi Defect Group"/>
        <s v="Grams per piece"/>
        <s v="Weight Measure"/>
        <s v="Metric Stated Net Pouch Weight (g/kg)"/>
        <s v="Metric Stated Net Pouch Size Unit"/>
        <s v="Metric Stated Net Package Weight (g/kg)"/>
        <s v="Metric Stated Net Package Weight Unit"/>
        <s v="Package Net Weight for SAP (Metric)"/>
        <s v="Stated Net Pouch Weight (oz/lb)"/>
        <s v="Stated Net Pouch Weight Unit"/>
        <s v="Stated Net Package Weight (oz/lb)"/>
        <s v="Stated Net Package Weight Unit"/>
        <s v="Package Net Weight for SAP (Imperial)"/>
        <s v="Metric Stated Net Pouch Weight (g)"/>
        <s v="Metric Stated Net Package Weight (g)"/>
        <s v="Stated Net Pouch Weight (oz)"/>
        <s v="Stated Net Package Weight (oz)"/>
        <s v="Package Individual Unit Size"/>
        <s v="Package Individual Unit Size UOM"/>
        <s v="Package Inner Pack Quantity"/>
        <s v="Did you check the Food Form?"/>
        <s v="Pouch"/>
        <s v="Package"/>
        <s v="Case"/>
        <s v="(NL) Return Comments"/>
        <s v="Pringles Can Size"/>
        <s v="Unit Load Stacking Factor"/>
        <s v="Packaging Profile"/>
        <s v="Handling Platform Type"/>
        <s v="RTEC/Pringles Cube Size"/>
        <s v="Clamp Pressure"/>
        <s v="Dim/Gross Wght Req"/>
        <s v="Dim Details"/>
        <s v="Gross Wght Dtls"/>
        <s v="Component K #"/>
        <s v="Component Description"/>
        <s v="Unit of Measure"/>
        <s v="Number Required per UOM"/>
        <s v="Dieline"/>
        <s v="Supplier"/>
        <s v="Print?(Y/N)"/>
        <s v="Add to BOM?"/>
        <s v="Net Weight"/>
        <s v="(Pkg Tech) Return Comments"/>
        <s v="Material Group 5"/>
        <s v="(CA Fin Tax) Return Comments"/>
        <s v="Final Red K List Price (cs)"/>
        <s v="(DI Hier) Return Comments"/>
        <s v="(LIM DB) Return to Team"/>
        <s v="(LIM DB) LIM Return Comments"/>
        <s v="Z1 Material Description"/>
        <s v="ZF Material Description"/>
        <s v="Distribution Methods"/>
        <s v="Material Number (Sales Org Extension)"/>
        <s v="New Sales Organization"/>
        <s v="New Distribution Channel"/>
        <s v="Tax Code"/>
        <s v="Requestor Update"/>
        <s v="(MF) Requestor Update Return Comments"/>
        <s v="Category Finance (checkbox)"/>
        <s v="(MF) Category Finance Return Comments"/>
        <s v="Nutrition Labeling (checkbox)"/>
        <s v="(MF) Nutrition Labeling Return Comments"/>
        <s v="LIM Update"/>
        <s v="(MF) LIM Update Return Comments"/>
        <s v="Packaging Tech"/>
        <s v="(MF) Packaging Tech Return Comments"/>
        <s v="Send Returns (button)"/>
        <s v="Material Type"/>
        <s v="Plant Category"/>
        <s v="Plant Number List"/>
        <s v="Create Plant Extension"/>
        <s v="Plant"/>
        <s v="Material Number (Plant Ext)"/>
        <s v="Original BOM Plant"/>
        <s v="Component"/>
        <s v="Quantity"/>
        <s v="Assign Plant"/>
        <s v="Material Number (VAS BOM)"/>
        <s v="Original Plant"/>
        <s v="Newly Assigned Plant"/>
        <s v="Will a full case of this product be sold Direct to Consumer?"/>
        <s v="DTC Package Price"/>
        <s v="(12 checkboxes)"/>
        <s v="Updates Complete (button)"/>
        <s v="Country"/>
        <s v="Retail Material Number"/>
        <s v="1. Validate Retail material Number (button)"/>
        <s v="2. Import Alt UOM Table (button)"/>
        <s v="Save and Route (button)"/>
        <s v="Choose File"/>
        <s v="Did you submit DTC Form?"/>
        <s v="DTC Form Launched (button)"/>
        <s v="Launch Later (No Save) (button)"/>
        <s v="Category Descripotion" u="1"/>
      </sharedItems>
    </cacheField>
    <cacheField name="#fields enterable in Trng deck" numFmtId="0">
      <sharedItems containsSemiMixedTypes="0" containsString="0" containsNumber="1" containsInteger="1" minValue="0" maxValue="1"/>
    </cacheField>
    <cacheField name="page(s) of Trng deck" numFmtId="0">
      <sharedItems containsMixedTypes="1" containsNumber="1" containsInteger="1" minValue="0" maxValue="130"/>
    </cacheField>
    <cacheField name="types of fields" numFmtId="0">
      <sharedItems/>
    </cacheField>
    <cacheField name="required?" numFmtId="0">
      <sharedItems containsBlank="1"/>
    </cacheField>
    <cacheField name="owner" numFmtId="0">
      <sharedItems count="10">
        <s v="Requestor"/>
        <s v="Masterfiles"/>
        <s v="LIM"/>
        <s v="EPM Finance"/>
        <s v="Data Integrity"/>
        <s v="R&amp;D Quality"/>
        <s v="Nutrition Labeling"/>
        <s v="Packaging Tech"/>
        <s v="CA Finance Tax"/>
        <s v="Category Finance"/>
      </sharedItems>
    </cacheField>
    <cacheField name="additional roles who can modify" numFmtId="0">
      <sharedItems containsBlank="1"/>
    </cacheField>
    <cacheField name="column referenced in BR.xlsx file (from Tamara)" numFmtId="0">
      <sharedItems containsBlank="1"/>
    </cacheField>
    <cacheField name="comments" numFmtId="0">
      <sharedItems containsBlank="1" longText="1"/>
    </cacheField>
    <cacheField name="Business Rules" numFmtId="0">
      <sharedItems containsBlank="1" longText="1"/>
    </cacheField>
    <cacheField name="Business Rule status" numFmtId="0">
      <sharedItems containsBlank="1" count="7">
        <s v="done"/>
        <s v="upcoming"/>
        <s v="code rules"/>
        <s v="pending"/>
        <s v="hand off" u="1"/>
        <s v="duplicate field" u="1"/>
        <m u="1"/>
      </sharedItems>
    </cacheField>
    <cacheField name="Timing status" numFmtId="0">
      <sharedItems/>
    </cacheField>
    <cacheField name="Trng Sectn #" numFmtId="0">
      <sharedItems containsString="0" containsBlank="1" containsNumber="1" containsInteger="1" minValue="10" maxValue="230" count="24">
        <n v="10"/>
        <n v="20"/>
        <n v="30"/>
        <n v="40"/>
        <n v="50"/>
        <n v="100"/>
        <n v="60"/>
        <n v="70"/>
        <n v="80"/>
        <n v="90"/>
        <m/>
        <n v="110"/>
        <n v="120"/>
        <n v="130"/>
        <n v="140"/>
        <n v="150"/>
        <n v="160"/>
        <n v="170"/>
        <n v="180"/>
        <n v="190"/>
        <n v="200"/>
        <n v="210"/>
        <n v="220"/>
        <n v="230"/>
      </sharedItems>
    </cacheField>
    <cacheField name="Trng Sectn Priority" numFmtId="0">
      <sharedItems containsBlank="1" containsMixedTypes="1" containsNumber="1" containsInteger="1" minValue="0" maxValue="230" count="34">
        <s v="AA"/>
        <s v="DD"/>
        <s v="II"/>
        <s v="GG"/>
        <s v="BB"/>
        <s v="CC"/>
        <m/>
        <s v="FF"/>
        <s v="EE"/>
        <s v="HH"/>
        <n v="0" u="1"/>
        <n v="10" u="1"/>
        <n v="20" u="1"/>
        <n v="30" u="1"/>
        <n v="40" u="1"/>
        <n v="50" u="1"/>
        <n v="60" u="1"/>
        <n v="70" u="1"/>
        <n v="80" u="1"/>
        <n v="90" u="1"/>
        <n v="100" u="1"/>
        <n v="110" u="1"/>
        <n v="120" u="1"/>
        <n v="130" u="1"/>
        <n v="140" u="1"/>
        <n v="150" u="1"/>
        <n v="160" u="1"/>
        <n v="170" u="1"/>
        <n v="180" u="1"/>
        <n v="190" u="1"/>
        <n v="200" u="1"/>
        <n v="210" u="1"/>
        <n v="220" u="1"/>
        <n v="230" u="1"/>
      </sharedItems>
    </cacheField>
    <cacheField name="Week" numFmtId="0">
      <sharedItems containsBlank="1" count="6">
        <s v="WK2"/>
        <s v="WK1"/>
        <s v="WK3"/>
        <s v="WK5"/>
        <m/>
        <s v="WK4"/>
      </sharedItems>
    </cacheField>
    <cacheField name="Week Beginning Date" numFmtId="14">
      <sharedItems containsNonDate="0" containsDate="1" containsString="0" containsBlank="1" minDate="2025-09-16T00:00:00" maxDate="2025-10-14T00:00:00" count="6">
        <d v="2025-09-22T00:00:00"/>
        <d v="2025-09-16T00:00:00"/>
        <d v="2025-09-29T00:00:00"/>
        <d v="2025-10-13T00:00:00"/>
        <m/>
        <d v="2025-10-06T00:00:00"/>
      </sharedItems>
    </cacheField>
    <cacheField name="PRIORITY (1..9)_x000a_1-highest_x000a_5-mid_x000a_9-lowest" numFmtId="0">
      <sharedItems containsString="0" containsBlank="1" containsNumber="1" containsInteger="1" minValue="1" maxValue="9"/>
    </cacheField>
    <cacheField name="COMPLEXITY (3..1,0)_x000a_3-high_x000a_2-med_x000a_1-low_x000a_0-autofill" numFmtId="0">
      <sharedItems containsSemiMixedTypes="0" containsString="0" containsNumber="1" containsInteger="1" minValue="0" maxValue="3" count="4">
        <n v="0"/>
        <n v="1"/>
        <n v="3"/>
        <n v="2"/>
      </sharedItems>
    </cacheField>
    <cacheField name="Hours" numFmtId="0">
      <sharedItems containsSemiMixedTypes="0" containsString="0" containsNumber="1" minValue="0" maxValue="1.5"/>
    </cacheField>
    <cacheField name="Sprint" numFmtId="0">
      <sharedItems containsDate="1" containsBlank="1" containsMixedTypes="1" minDate="2025-09-19T00:00:00" maxDate="2025-09-23T00:00:00" count="11">
        <s v="E"/>
        <s v="D"/>
        <s v="A"/>
        <s v="B"/>
        <s v="C"/>
        <s v="F"/>
        <s v="H"/>
        <s v="G"/>
        <m u="1"/>
        <d v="2025-09-22T00:00:00" u="1"/>
        <d v="2025-09-19T00:00:00" u="1"/>
      </sharedItems>
    </cacheField>
    <cacheField name="Date: Field Last Reviewed for Business Rules" numFmtId="0">
      <sharedItems containsNonDate="0" containsDate="1" containsString="0" containsBlank="1" minDate="2025-09-18T00:00:00" maxDate="2025-09-26T00:00:00"/>
    </cacheField>
    <cacheField name="Date: Expert System Rules updated (Excel)" numFmtId="0">
      <sharedItems containsNonDate="0" containsDate="1" containsString="0" containsBlank="1" minDate="2025-09-19T00:00:00" maxDate="2025-09-30T00:00:00"/>
    </cacheField>
    <cacheField name="Date: Handed off to AI BOT team (Justin)" numFmtId="0">
      <sharedItems containsNonDate="0" containsDate="1" containsString="0" containsBlank="1" minDate="2025-09-19T00:00:00" maxDate="2025-09-30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7">
  <r>
    <n v="1001"/>
    <s v="Requestor - Project Initiation"/>
    <x v="0"/>
    <x v="0"/>
    <n v="0"/>
    <n v="23"/>
    <x v="0"/>
    <s v="yes"/>
    <x v="0"/>
    <m/>
    <m/>
    <m/>
    <s v="pull name from user logged in"/>
    <s v="hand off"/>
    <s v="current"/>
    <n v="10"/>
    <s v="AA"/>
    <s v="WK2"/>
    <d v="2025-09-22T00:00:00"/>
    <n v="9"/>
    <x v="0"/>
    <n v="0"/>
  </r>
  <r>
    <n v="1002"/>
    <s v="Requestor - Project Initiation"/>
    <x v="0"/>
    <x v="1"/>
    <n v="0"/>
    <n v="23"/>
    <x v="0"/>
    <s v="yes"/>
    <x v="0"/>
    <m/>
    <m/>
    <m/>
    <s v="pull email from user logged in"/>
    <s v="hand off"/>
    <s v="current"/>
    <n v="10"/>
    <s v="AA"/>
    <s v="WK2"/>
    <d v="2025-09-22T00:00:00"/>
    <n v="9"/>
    <x v="0"/>
    <n v="0"/>
  </r>
  <r>
    <n v="1003"/>
    <s v="Requestor - Project Initiation"/>
    <x v="0"/>
    <x v="2"/>
    <n v="0"/>
    <n v="23"/>
    <x v="0"/>
    <s v="yes"/>
    <x v="0"/>
    <m/>
    <m/>
    <m/>
    <s v="pull date from computer"/>
    <s v="hand off"/>
    <s v="current"/>
    <n v="10"/>
    <s v="AA"/>
    <s v="WK2"/>
    <d v="2025-09-22T00:00:00"/>
    <n v="9"/>
    <x v="0"/>
    <n v="0"/>
  </r>
  <r>
    <n v="1004"/>
    <s v="Requestor - Project Initiation"/>
    <x v="0"/>
    <x v="3"/>
    <n v="0"/>
    <n v="23"/>
    <x v="0"/>
    <s v="yes"/>
    <x v="0"/>
    <m/>
    <m/>
    <m/>
    <s v="pull NIF version of the form"/>
    <s v="hand off"/>
    <s v="current"/>
    <n v="10"/>
    <s v="AA"/>
    <s v="WK2"/>
    <d v="2025-09-22T00:00:00"/>
    <n v="9"/>
    <x v="0"/>
    <n v="0"/>
  </r>
  <r>
    <n v="1005"/>
    <s v="Requestor - Project Initiation"/>
    <x v="1"/>
    <x v="4"/>
    <n v="0"/>
    <n v="23"/>
    <x v="1"/>
    <s v="yes"/>
    <x v="0"/>
    <m/>
    <m/>
    <m/>
    <s v="pull name from user logged in"/>
    <s v="hand off"/>
    <s v="current"/>
    <n v="10"/>
    <s v="AA"/>
    <s v="WK2"/>
    <d v="2025-09-22T00:00:00"/>
    <n v="9"/>
    <x v="0"/>
    <n v="0"/>
  </r>
  <r>
    <n v="1006"/>
    <s v="Requestor - Project Initiation"/>
    <x v="1"/>
    <x v="5"/>
    <n v="1"/>
    <s v="23, 32, 61"/>
    <x v="1"/>
    <s v="yes"/>
    <x v="0"/>
    <s v="LIM"/>
    <m/>
    <m/>
    <s v="no Business Rules"/>
    <s v="hand off"/>
    <s v="current"/>
    <n v="10"/>
    <s v="AA"/>
    <s v="WK2"/>
    <d v="2025-09-22T00:00:00"/>
    <n v="4"/>
    <x v="1"/>
    <n v="0.5"/>
  </r>
  <r>
    <n v="1305"/>
    <s v="Requestor - Project Initiation"/>
    <x v="2"/>
    <x v="6"/>
    <n v="0"/>
    <n v="0"/>
    <x v="2"/>
    <s v="yes"/>
    <x v="0"/>
    <m/>
    <m/>
    <s v="9/24/25 new field identified"/>
    <s v="autofill to KELLANOVA"/>
    <s v="hand off"/>
    <s v="current"/>
    <n v="10"/>
    <s v="AA"/>
    <s v="WK2"/>
    <d v="2025-09-22T00:00:00"/>
    <m/>
    <x v="1"/>
    <n v="0"/>
  </r>
  <r>
    <n v="1007"/>
    <s v="Requestor - Project Initiation"/>
    <x v="2"/>
    <x v="7"/>
    <n v="1"/>
    <n v="24"/>
    <x v="3"/>
    <s v="yes"/>
    <x v="0"/>
    <m/>
    <s v="col A"/>
    <m/>
    <s v="Flowchart: Product Type / Product Sub Type"/>
    <s v="done"/>
    <s v="complete"/>
    <n v="10"/>
    <s v="AA"/>
    <s v="WK1"/>
    <d v="2025-09-16T00:00:00"/>
    <n v="1"/>
    <x v="2"/>
    <n v="1.5"/>
  </r>
  <r>
    <n v="1008"/>
    <s v="Requestor - Project Initiation"/>
    <x v="2"/>
    <x v="8"/>
    <n v="1"/>
    <n v="24"/>
    <x v="4"/>
    <s v="yes"/>
    <x v="0"/>
    <m/>
    <s v="NOT in BR.xlsx"/>
    <m/>
    <s v="Flowchart: Product Type / Product Sub Type"/>
    <s v="done"/>
    <s v="complete"/>
    <n v="10"/>
    <s v="AA"/>
    <s v="WK1"/>
    <d v="2025-09-16T00:00:00"/>
    <n v="1"/>
    <x v="2"/>
    <n v="1.5"/>
  </r>
  <r>
    <n v="1009"/>
    <s v="Requestor - Project Initiation"/>
    <x v="2"/>
    <x v="9"/>
    <n v="1"/>
    <n v="24"/>
    <x v="5"/>
    <s v="yes"/>
    <x v="0"/>
    <m/>
    <s v="col B"/>
    <s v="dependent on FORM TYPE"/>
    <s v="Flowchart: Product Type / Product Sub Type"/>
    <s v="hand off"/>
    <s v="complete"/>
    <n v="10"/>
    <s v="AA"/>
    <s v="WK1"/>
    <d v="2025-09-16T00:00:00"/>
    <n v="1"/>
    <x v="2"/>
    <n v="1.5"/>
  </r>
  <r>
    <n v="1010"/>
    <s v="Requestor - Project Initiation"/>
    <x v="2"/>
    <x v="10"/>
    <n v="1"/>
    <n v="24"/>
    <x v="6"/>
    <s v="yes"/>
    <x v="0"/>
    <m/>
    <s v="col C"/>
    <s v="dependent on PRODUCT TYPE"/>
    <s v="Flowchart: Product Type / Product Sub Type"/>
    <s v="done"/>
    <s v="complete"/>
    <n v="10"/>
    <s v="AA"/>
    <s v="WK1"/>
    <d v="2025-09-16T00:00:00"/>
    <n v="1"/>
    <x v="2"/>
    <n v="1.5"/>
  </r>
  <r>
    <n v="1011"/>
    <s v="Requestor - Project Initiation"/>
    <x v="2"/>
    <x v="11"/>
    <n v="1"/>
    <n v="24"/>
    <x v="7"/>
    <s v="yes"/>
    <x v="0"/>
    <m/>
    <s v="NOT in BR.xlsx"/>
    <m/>
    <s v="1011 predecessor for pringles naming convention for country sold in as part of description (1175); plus Pringles Can Size (1235), and RTEC/Pringles Cube Size (1239) is required"/>
    <s v="done"/>
    <s v="current"/>
    <n v="10"/>
    <s v="AA"/>
    <s v="WK1"/>
    <d v="2025-09-16T00:00:00"/>
    <n v="1"/>
    <x v="1"/>
    <n v="0.5"/>
  </r>
  <r>
    <n v="1012"/>
    <s v="Requestor - Project Initiation"/>
    <x v="2"/>
    <x v="12"/>
    <n v="1"/>
    <n v="24"/>
    <x v="7"/>
    <s v="yes"/>
    <x v="0"/>
    <m/>
    <s v="NOT in BR.xlsx"/>
    <m/>
    <s v="1012 predecessor to: &quot;Will product be sold DTC question&quot; (1162), this will also kick off the DTC form at end of process;  ?? Dependencies 1292, 1301, 1302"/>
    <s v="done"/>
    <s v="current"/>
    <n v="10"/>
    <s v="AA"/>
    <s v="WK1"/>
    <d v="2025-09-16T00:00:00"/>
    <n v="1"/>
    <x v="1"/>
    <n v="0.5"/>
  </r>
  <r>
    <n v="1013"/>
    <s v="Requestor - Project Initiation"/>
    <x v="2"/>
    <x v="13"/>
    <n v="0"/>
    <s v="24, 45"/>
    <x v="8"/>
    <s v="no"/>
    <x v="1"/>
    <m/>
    <m/>
    <s v="same as field 1070"/>
    <s v="duplicate of 1070"/>
    <s v="done"/>
    <s v="complete"/>
    <n v="10"/>
    <s v="AA"/>
    <s v="WK1"/>
    <d v="2025-09-16T00:00:00"/>
    <n v="1"/>
    <x v="1"/>
    <n v="0"/>
  </r>
  <r>
    <n v="1014"/>
    <s v="Requestor - Project Initiation"/>
    <x v="2"/>
    <x v="14"/>
    <n v="1"/>
    <n v="24"/>
    <x v="9"/>
    <s v="yes"/>
    <x v="0"/>
    <m/>
    <s v="col E"/>
    <m/>
    <s v="1014: predecessor for: 1015, 1025"/>
    <s v="done"/>
    <s v="complete"/>
    <n v="10"/>
    <s v="AA"/>
    <s v="WK1"/>
    <d v="2025-09-16T00:00:00"/>
    <n v="1"/>
    <x v="3"/>
    <n v="1"/>
  </r>
  <r>
    <n v="1015"/>
    <s v="Requestor - Project Initiation"/>
    <x v="2"/>
    <x v="15"/>
    <n v="1"/>
    <n v="24"/>
    <x v="8"/>
    <s v="yes"/>
    <x v="0"/>
    <m/>
    <s v="col G"/>
    <m/>
    <s v="1015: dependent on 1014 PROJECT TYPE: PDR and SCR is text (ex Tasty) PWR is numeric"/>
    <s v="done"/>
    <s v="complete"/>
    <n v="10"/>
    <s v="AA"/>
    <s v="WK1"/>
    <d v="2025-09-16T00:00:00"/>
    <n v="1"/>
    <x v="1"/>
    <n v="0.5"/>
  </r>
  <r>
    <n v="1016"/>
    <s v="Requestor - Project Initiation"/>
    <x v="2"/>
    <x v="16"/>
    <n v="1"/>
    <n v="0"/>
    <x v="10"/>
    <s v="yes"/>
    <x v="0"/>
    <m/>
    <s v="col I"/>
    <s v="…not in Trng_deck.ppt;_x000a_Bars, Crackers, Other Convenience, Salty Snacks, Frozen, Toaster Pastries, Veggies"/>
    <s v="no known BR based on data entered"/>
    <s v="done"/>
    <s v="complete"/>
    <n v="10"/>
    <s v="AA"/>
    <s v="WK1"/>
    <d v="2025-09-16T00:00:00"/>
    <n v="1"/>
    <x v="1"/>
    <n v="0.5"/>
  </r>
  <r>
    <n v="1017"/>
    <s v="Requestor - Project Initiation"/>
    <x v="2"/>
    <x v="17"/>
    <n v="1"/>
    <s v="24, 33, 73"/>
    <x v="8"/>
    <s v="yes"/>
    <x v="0"/>
    <s v="LIM"/>
    <s v="col K"/>
    <s v="used for naming NIF form, but do not incorporate into AI"/>
    <s v="no more than 40 characters"/>
    <s v="done"/>
    <s v="complete"/>
    <n v="10"/>
    <s v="AA"/>
    <s v="WK1"/>
    <d v="2025-09-16T00:00:00"/>
    <n v="1"/>
    <x v="3"/>
    <n v="1"/>
  </r>
  <r>
    <n v="1018"/>
    <s v="Requestor - Project Initiation"/>
    <x v="2"/>
    <x v="18"/>
    <n v="1"/>
    <s v="24, 33, 73"/>
    <x v="8"/>
    <s v="yes"/>
    <x v="0"/>
    <s v="LIM"/>
    <s v="col M"/>
    <s v="Be as detailed as possible and provide the flavor, package size and can size, if known"/>
    <s v="no known BR based on data entered"/>
    <s v="done"/>
    <s v="complete"/>
    <n v="10"/>
    <s v="AA"/>
    <s v="WK1"/>
    <d v="2025-09-16T00:00:00"/>
    <n v="1"/>
    <x v="3"/>
    <n v="1"/>
  </r>
  <r>
    <n v="1019"/>
    <s v="Requestor - Project Initiation"/>
    <x v="3"/>
    <x v="19"/>
    <n v="1"/>
    <s v="24, 33, 73"/>
    <x v="11"/>
    <s v="yes"/>
    <x v="0"/>
    <s v="LIM"/>
    <s v="col O"/>
    <s v="informational only"/>
    <s v="no known BR based on data entered"/>
    <s v="hand off"/>
    <s v="current"/>
    <n v="10"/>
    <s v="AA"/>
    <s v="WK1"/>
    <d v="2025-09-16T00:00:00"/>
    <n v="2"/>
    <x v="3"/>
    <n v="1"/>
  </r>
  <r>
    <n v="1020"/>
    <s v="Requestor - Project Initiation"/>
    <x v="3"/>
    <x v="20"/>
    <n v="1"/>
    <s v="24, 33, 73"/>
    <x v="12"/>
    <s v="yes"/>
    <x v="0"/>
    <s v="LIM"/>
    <s v="col Q"/>
    <s v="informational only"/>
    <s v="no known BR based on data entered"/>
    <s v="hand off"/>
    <s v="current"/>
    <n v="10"/>
    <s v="AA"/>
    <s v="WK1"/>
    <d v="2025-09-16T00:00:00"/>
    <n v="2"/>
    <x v="3"/>
    <n v="1"/>
  </r>
  <r>
    <n v="1021"/>
    <s v="Requestor - Project Initiation"/>
    <x v="3"/>
    <x v="21"/>
    <n v="1"/>
    <s v="24, 33, 73, 99"/>
    <x v="8"/>
    <s v="yes"/>
    <x v="0"/>
    <s v="LIM, Packaging Tech"/>
    <s v="col S"/>
    <s v="informational only"/>
    <s v="no known BR based on data entered"/>
    <s v="hand off"/>
    <s v="current"/>
    <n v="10"/>
    <s v="AA"/>
    <s v="WK1"/>
    <d v="2025-09-16T00:00:00"/>
    <n v="2"/>
    <x v="1"/>
    <n v="0.5"/>
  </r>
  <r>
    <n v="1022"/>
    <s v="Requestor - Project Initiation"/>
    <x v="3"/>
    <x v="22"/>
    <n v="1"/>
    <s v="24, 33, 73"/>
    <x v="13"/>
    <s v="yes"/>
    <x v="0"/>
    <s v="LIM"/>
    <s v="col U"/>
    <s v="informational only"/>
    <s v="no known BR based on data entered"/>
    <s v="hand off"/>
    <s v="current"/>
    <n v="10"/>
    <s v="AA"/>
    <s v="WK1"/>
    <d v="2025-09-16T00:00:00"/>
    <n v="2"/>
    <x v="1"/>
    <n v="0.5"/>
  </r>
  <r>
    <n v="1023"/>
    <s v="Requestor - Project Initiation"/>
    <x v="3"/>
    <x v="23"/>
    <n v="1"/>
    <s v="24, 33, 73"/>
    <x v="12"/>
    <s v="yes"/>
    <x v="0"/>
    <s v="LIM"/>
    <s v="col W"/>
    <s v="informational only"/>
    <s v="no known BR based on data entered"/>
    <s v="hand off"/>
    <s v="current"/>
    <n v="10"/>
    <s v="AA"/>
    <s v="WK1"/>
    <d v="2025-09-16T00:00:00"/>
    <n v="2"/>
    <x v="3"/>
    <n v="1"/>
  </r>
  <r>
    <n v="1024"/>
    <s v="Requestor - Project Initiation"/>
    <x v="3"/>
    <x v="24"/>
    <n v="1"/>
    <s v="24, 33, 73"/>
    <x v="8"/>
    <s v="yes"/>
    <x v="0"/>
    <s v="LIM"/>
    <s v="col Y"/>
    <s v="informational only"/>
    <s v="no known BR based on data entered"/>
    <s v="hand off"/>
    <s v="current"/>
    <n v="10"/>
    <s v="AA"/>
    <s v="WK1"/>
    <d v="2025-09-16T00:00:00"/>
    <n v="2"/>
    <x v="2"/>
    <n v="1.5"/>
  </r>
  <r>
    <n v="1025"/>
    <s v="Requestor - Project Initiation"/>
    <x v="4"/>
    <x v="25"/>
    <n v="1"/>
    <n v="25"/>
    <x v="14"/>
    <s v="conditional"/>
    <x v="0"/>
    <m/>
    <s v="NOT in BR.xlsx"/>
    <s v="functionality of the SAP db is not needed in AI tool"/>
    <s v="1025: dependent on 1014 PROJECT TYPE: KUBIC (required)"/>
    <s v="hand off"/>
    <s v="current"/>
    <n v="10"/>
    <s v="AA"/>
    <s v="WK1"/>
    <d v="2025-09-16T00:00:00"/>
    <n v="3"/>
    <x v="2"/>
    <n v="1.5"/>
  </r>
  <r>
    <n v="1026"/>
    <s v="Requestor - Project Initiation"/>
    <x v="5"/>
    <x v="26"/>
    <n v="1"/>
    <s v="25, 26"/>
    <x v="7"/>
    <s v="yes"/>
    <x v="0"/>
    <m/>
    <s v="col Z"/>
    <s v="CASE and DISPLAY only;   If YES, then loads record: TRADE CHANNEL (1166)=ONLINE"/>
    <s v="1026 dependent PRODUCT TYPE (1009)=ECOMM or DTC BUNDLE, then this is defaulted to YES (locks field);  _x000a_If Product Country (1008) CANADA then default to NO; Form Type (1007) DISPLAY=open but not required, CASE=required, WIP=not available_x000a_"/>
    <s v="hand off"/>
    <s v="current"/>
    <n v="10"/>
    <s v="AA"/>
    <s v="WK1"/>
    <d v="2025-09-16T00:00:00"/>
    <n v="3"/>
    <x v="1"/>
    <n v="0.5"/>
  </r>
  <r>
    <n v="1027"/>
    <s v="Requestor - Project Initiation"/>
    <x v="5"/>
    <x v="27"/>
    <n v="1"/>
    <s v="25, 26"/>
    <x v="7"/>
    <s v="yes"/>
    <x v="0"/>
    <m/>
    <s v="col AB"/>
    <s v="CASE and DISPLAY"/>
    <s v="1027: predecessor to 1028, 1029"/>
    <s v="hand off"/>
    <s v="current"/>
    <n v="10"/>
    <s v="AA"/>
    <s v="WK1"/>
    <d v="2025-09-16T00:00:00"/>
    <n v="3"/>
    <x v="1"/>
    <n v="0.5"/>
  </r>
  <r>
    <n v="1028"/>
    <s v="Requestor - Project Initiation"/>
    <x v="5"/>
    <x v="28"/>
    <n v="1"/>
    <s v="25, 26"/>
    <x v="15"/>
    <s v="conditional"/>
    <x v="0"/>
    <m/>
    <s v="col AD"/>
    <s v="CASE and DISPLAY"/>
    <s v="1028 dependent on: Is product designated to one customer? (1027) =YES"/>
    <s v="hand off"/>
    <s v="current"/>
    <n v="10"/>
    <s v="AA"/>
    <s v="WK1"/>
    <d v="2025-09-16T00:00:00"/>
    <n v="3"/>
    <x v="3"/>
    <n v="1"/>
  </r>
  <r>
    <n v="1029"/>
    <s v="Requestor - Project Initiation"/>
    <x v="5"/>
    <x v="29"/>
    <n v="1"/>
    <s v="25, 26"/>
    <x v="7"/>
    <s v="yes"/>
    <x v="0"/>
    <m/>
    <s v="col AF"/>
    <s v="CASE and DISPLAY"/>
    <s v="1029 dependent on: Is product designated to one customer? (1027)=YES;  1029 predecessor to 1129"/>
    <s v="hand off"/>
    <s v="current"/>
    <n v="10"/>
    <s v="AA"/>
    <s v="WK1"/>
    <d v="2025-09-16T00:00:00"/>
    <n v="3"/>
    <x v="1"/>
    <n v="0.5"/>
  </r>
  <r>
    <n v="1030"/>
    <s v="Requestor - Project Initiation"/>
    <x v="5"/>
    <x v="30"/>
    <n v="1"/>
    <n v="25"/>
    <x v="7"/>
    <s v="yes"/>
    <x v="0"/>
    <m/>
    <s v="col AH"/>
    <s v="CASE"/>
    <s v="1030 dependent on Product Type (1009) and Product Subtype (1010);  Flowchart: Variety Pack"/>
    <s v="hand off"/>
    <s v="current"/>
    <n v="10"/>
    <s v="AA"/>
    <s v="WK1"/>
    <d v="2025-09-16T00:00:00"/>
    <n v="3"/>
    <x v="1"/>
    <n v="0.5"/>
  </r>
  <r>
    <n v="1031"/>
    <s v="Requestor - Project Initiation"/>
    <x v="5"/>
    <x v="31"/>
    <n v="1"/>
    <n v="25"/>
    <x v="7"/>
    <s v="yes"/>
    <x v="0"/>
    <m/>
    <s v="col AJ"/>
    <s v="CASE"/>
    <s v="1031 predecessor to 1188-1192;  Flowchart: Variety Pack"/>
    <s v="hand off"/>
    <s v="current"/>
    <n v="10"/>
    <s v="AA"/>
    <s v="WK1"/>
    <d v="2025-09-16T00:00:00"/>
    <n v="3"/>
    <x v="1"/>
    <n v="0.5"/>
  </r>
  <r>
    <n v="1032"/>
    <s v="Requestor - Project Initiation"/>
    <x v="5"/>
    <x v="32"/>
    <n v="1"/>
    <s v="25, 26, 27"/>
    <x v="7"/>
    <s v="yes"/>
    <x v="0"/>
    <m/>
    <s v="col AL"/>
    <s v="autofill by FORM TYPE: CASE=YES, DISPLAY=NO, and WIP=NO"/>
    <s v="Flowchart: Build SKU / Existing Printed"/>
    <s v="hand off"/>
    <s v="current"/>
    <n v="10"/>
    <s v="AA"/>
    <s v="WK2"/>
    <d v="2025-09-22T00:00:00"/>
    <n v="3"/>
    <x v="1"/>
    <n v="0.5"/>
  </r>
  <r>
    <n v="1033"/>
    <s v="Requestor - Project Initiation"/>
    <x v="5"/>
    <x v="33"/>
    <n v="1"/>
    <s v="25, 26, 27"/>
    <x v="7"/>
    <s v="yes"/>
    <x v="0"/>
    <m/>
    <s v="col AN"/>
    <s v="CASE, DISPLAY and WIP"/>
    <s v="1033 predecessor to: external material group (1085)"/>
    <s v="hand off"/>
    <s v="current"/>
    <n v="10"/>
    <s v="AA"/>
    <s v="WK2"/>
    <d v="2025-09-22T00:00:00"/>
    <n v="3"/>
    <x v="1"/>
    <n v="0.5"/>
  </r>
  <r>
    <n v="1034"/>
    <s v="Requestor - Project Initiation"/>
    <x v="5"/>
    <x v="34"/>
    <n v="1"/>
    <s v="26, 27, 28"/>
    <x v="7"/>
    <s v="yes"/>
    <x v="0"/>
    <m/>
    <s v="col AP"/>
    <s v="CASE, DISPLAY and WIP"/>
    <s v="1034 predecessor to: external material group (1085), build sku..export (1035), list existing export (1036)"/>
    <s v="hand off"/>
    <s v="current"/>
    <n v="10"/>
    <s v="AA"/>
    <s v="WK2"/>
    <d v="2025-09-22T00:00:00"/>
    <n v="3"/>
    <x v="1"/>
    <n v="0.5"/>
  </r>
  <r>
    <n v="1035"/>
    <s v="Requestor - Project Initiation"/>
    <x v="5"/>
    <x v="35"/>
    <n v="1"/>
    <s v="27, 28"/>
    <x v="7"/>
    <s v="yes"/>
    <x v="0"/>
    <m/>
    <s v="col AR"/>
    <s v="CASE and WIP"/>
    <s v="1035 dependent on 1034"/>
    <s v="hand off"/>
    <s v="current"/>
    <n v="10"/>
    <s v="AA"/>
    <s v="WK2"/>
    <d v="2025-09-22T00:00:00"/>
    <n v="3"/>
    <x v="1"/>
    <n v="0.5"/>
  </r>
  <r>
    <n v="1036"/>
    <s v="Requestor - Project Initiation"/>
    <x v="5"/>
    <x v="36"/>
    <n v="1"/>
    <s v="27, 28"/>
    <x v="8"/>
    <s v="conditional"/>
    <x v="0"/>
    <m/>
    <s v="col AT"/>
    <s v="CASE and WIP"/>
    <s v="1036 dependent on 1034"/>
    <s v="hand off"/>
    <s v="current"/>
    <n v="10"/>
    <s v="AA"/>
    <s v="WK2"/>
    <d v="2025-09-22T00:00:00"/>
    <n v="3"/>
    <x v="3"/>
    <n v="1"/>
  </r>
  <r>
    <n v="1037"/>
    <s v="Requestor - Project Initiation"/>
    <x v="5"/>
    <x v="37"/>
    <n v="1"/>
    <s v="27, 28"/>
    <x v="7"/>
    <s v="yes"/>
    <x v="0"/>
    <m/>
    <s v="col AU"/>
    <s v="CASE and WIP"/>
    <s v="1037 predecessor to 1038, 1039, 1040"/>
    <s v="hand off"/>
    <s v="current"/>
    <n v="10"/>
    <s v="AA"/>
    <s v="WK2"/>
    <d v="2025-09-22T00:00:00"/>
    <n v="3"/>
    <x v="1"/>
    <n v="0.5"/>
  </r>
  <r>
    <n v="1038"/>
    <s v="Requestor - Project Initiation"/>
    <x v="5"/>
    <x v="38"/>
    <n v="1"/>
    <s v="27, 28"/>
    <x v="16"/>
    <s v="conditional"/>
    <x v="0"/>
    <m/>
    <s v="col AW"/>
    <s v="CASE and WIP"/>
    <s v="1038 dependent on 1037"/>
    <s v="hand off"/>
    <s v="current"/>
    <n v="10"/>
    <s v="AA"/>
    <s v="WK2"/>
    <d v="2025-09-22T00:00:00"/>
    <n v="3"/>
    <x v="3"/>
    <n v="1"/>
  </r>
  <r>
    <n v="1039"/>
    <s v="Requestor - Project Initiation"/>
    <x v="5"/>
    <x v="39"/>
    <n v="1"/>
    <s v="27, 28"/>
    <x v="7"/>
    <s v="yes"/>
    <x v="0"/>
    <m/>
    <s v="col AY"/>
    <s v="CASE and WIP"/>
    <s v="1039 dependent on 1037"/>
    <s v="hand off"/>
    <s v="current"/>
    <n v="10"/>
    <s v="AA"/>
    <s v="WK2"/>
    <d v="2025-09-22T00:00:00"/>
    <n v="3"/>
    <x v="1"/>
    <n v="0.5"/>
  </r>
  <r>
    <n v="1040"/>
    <s v="Requestor - Project Initiation"/>
    <x v="5"/>
    <x v="40"/>
    <n v="1"/>
    <s v="27, 28"/>
    <x v="8"/>
    <s v="conditional"/>
    <x v="0"/>
    <m/>
    <s v="col BA"/>
    <s v="CASE and WIP"/>
    <s v="1040 dependent on 1037"/>
    <s v="hand off"/>
    <s v="current"/>
    <n v="10"/>
    <s v="AA"/>
    <s v="WK2"/>
    <d v="2025-09-22T00:00:00"/>
    <n v="3"/>
    <x v="3"/>
    <n v="1"/>
  </r>
  <r>
    <n v="1041"/>
    <s v="Requestor - Project Initiation"/>
    <x v="5"/>
    <x v="41"/>
    <n v="1"/>
    <s v="26, 27, 28"/>
    <x v="7"/>
    <s v="no, appears that blank is viable"/>
    <x v="0"/>
    <m/>
    <s v="NOT in BR.xlsx"/>
    <s v="CASE, DISPLAY, and WIP"/>
    <s v="Tamara:  should always be YES per Shanan Walker; unless there are extinuating circumstances where they would not want the data to go to the customers"/>
    <s v="hand off"/>
    <s v="current"/>
    <n v="10"/>
    <s v="AA"/>
    <s v="WK2"/>
    <d v="2025-09-22T00:00:00"/>
    <n v="3"/>
    <x v="1"/>
    <n v="0.5"/>
  </r>
  <r>
    <n v="1304"/>
    <s v="Requestor - Project Initiation"/>
    <x v="5"/>
    <x v="42"/>
    <n v="1"/>
    <n v="0"/>
    <x v="7"/>
    <s v="no, appears that blank is viable"/>
    <x v="0"/>
    <m/>
    <s v="NOT in BR.xlsx"/>
    <s v="9/22/25 new field identified; _x000a_currently on WIP form, but should be on CASE (Tamara to get NIF fixed) {as of 9/25/25 the distinction of the Form Type is not included in Expert System Rules}"/>
    <s v="1304 predecessor to Planning Variant (1151) and Material Description (1127)"/>
    <s v="hand off"/>
    <s v="current"/>
    <n v="10"/>
    <s v="AA"/>
    <s v="WK2"/>
    <d v="2025-09-22T00:00:00"/>
    <n v="3"/>
    <x v="2"/>
    <n v="1.5"/>
  </r>
  <r>
    <n v="1042"/>
    <s v="Requestor - Project Initiation"/>
    <x v="6"/>
    <x v="43"/>
    <n v="1"/>
    <n v="28"/>
    <x v="17"/>
    <s v="yes"/>
    <x v="0"/>
    <m/>
    <s v="col BB"/>
    <m/>
    <s v="no known BR based on data entered"/>
    <s v="hand off"/>
    <s v="current"/>
    <n v="10"/>
    <s v="AA"/>
    <s v="WK2"/>
    <d v="2025-09-22T00:00:00"/>
    <n v="3"/>
    <x v="3"/>
    <n v="1"/>
  </r>
  <r>
    <n v="1043"/>
    <s v="Requestor - Project Initiation"/>
    <x v="6"/>
    <x v="44"/>
    <n v="1"/>
    <n v="28"/>
    <x v="18"/>
    <s v="no, appears that blank is viable"/>
    <x v="0"/>
    <m/>
    <s v="col BD"/>
    <s v="no defaults exist; Used when space is limited (e.g., small packages or pouches)"/>
    <s v="SAP Classification fields: PACKAGE BAR CODE TYPE, POUCH BAR CODE TYPE; no - (pkgcode=upc_a &amp; pouchcode=upc_a); pouch=(pouchcode=upc_e &amp; pkgcode=upc_a); pkg=(pkgcode=upc_e &amp; pouchcode=upc_a); both=(pkgcode=upc_e &amp; pouchcode=upc_e); Also drives how Masterfiles assigns the codes"/>
    <s v="hand off"/>
    <s v="current"/>
    <n v="10"/>
    <s v="AA"/>
    <s v="WK2"/>
    <d v="2025-09-22T00:00:00"/>
    <n v="3"/>
    <x v="3"/>
    <n v="1"/>
  </r>
  <r>
    <n v="1044"/>
    <s v="Requestor - Project Initiation"/>
    <x v="7"/>
    <x v="45"/>
    <n v="1"/>
    <n v="29"/>
    <x v="8"/>
    <s v="no"/>
    <x v="0"/>
    <m/>
    <s v="col BF"/>
    <s v="CASE only"/>
    <s v="Flowchart: Build SKU / Existing Printed"/>
    <s v="hand off"/>
    <s v="current"/>
    <n v="10"/>
    <s v="AA"/>
    <s v="WK2"/>
    <d v="2025-09-22T00:00:00"/>
    <n v="4"/>
    <x v="3"/>
    <n v="1"/>
  </r>
  <r>
    <n v="1045"/>
    <s v="Requestor - Project Initiation"/>
    <x v="7"/>
    <x v="46"/>
    <n v="1"/>
    <n v="29"/>
    <x v="8"/>
    <s v="no"/>
    <x v="0"/>
    <m/>
    <s v="col BH"/>
    <s v="CASE only"/>
    <s v="Flowchart: Build SKU / Existing Printed"/>
    <s v="hand off"/>
    <s v="current"/>
    <n v="10"/>
    <s v="AA"/>
    <s v="WK2"/>
    <d v="2025-09-22T00:00:00"/>
    <n v="4"/>
    <x v="3"/>
    <n v="1"/>
  </r>
  <r>
    <n v="1046"/>
    <s v="Requestor - Project Initiation"/>
    <x v="7"/>
    <x v="47"/>
    <n v="1"/>
    <n v="29"/>
    <x v="8"/>
    <s v="no"/>
    <x v="0"/>
    <m/>
    <s v="col BJ"/>
    <s v="CASE only"/>
    <s v="Flowchart: Build SKU / Existing Printed"/>
    <s v="hand off"/>
    <s v="current"/>
    <n v="10"/>
    <s v="AA"/>
    <s v="WK2"/>
    <d v="2025-09-22T00:00:00"/>
    <n v="4"/>
    <x v="3"/>
    <n v="1"/>
  </r>
  <r>
    <n v="1047"/>
    <s v="Requestor - Project Initiation"/>
    <x v="7"/>
    <x v="48"/>
    <n v="1"/>
    <n v="29"/>
    <x v="8"/>
    <s v="no"/>
    <x v="0"/>
    <m/>
    <s v="col BL"/>
    <s v="CASE only"/>
    <s v="Flowchart: Build SKU / Existing Printed"/>
    <s v="hand off"/>
    <s v="current"/>
    <n v="10"/>
    <s v="AA"/>
    <s v="WK2"/>
    <d v="2025-09-22T00:00:00"/>
    <n v="4"/>
    <x v="3"/>
    <n v="1"/>
  </r>
  <r>
    <n v="1048"/>
    <s v="Requestor - Project Initiation"/>
    <x v="7"/>
    <x v="49"/>
    <n v="1"/>
    <n v="29"/>
    <x v="8"/>
    <s v="no"/>
    <x v="0"/>
    <m/>
    <s v="NOT in BR.xlsx"/>
    <s v="CASE only"/>
    <s v="Flowchart: Build SKU / Existing Printed"/>
    <s v="hand off"/>
    <s v="current"/>
    <n v="10"/>
    <s v="AA"/>
    <s v="WK2"/>
    <d v="2025-09-22T00:00:00"/>
    <n v="4"/>
    <x v="3"/>
    <n v="1"/>
  </r>
  <r>
    <n v="1049"/>
    <s v="Requestor - Project Initiation"/>
    <x v="7"/>
    <x v="50"/>
    <n v="1"/>
    <n v="29"/>
    <x v="18"/>
    <s v="no"/>
    <x v="0"/>
    <m/>
    <s v="NOT in BR.xlsx"/>
    <s v="CASE only; defaulted to NO (for all form types), but can be changed"/>
    <s v="Flowchart: Build SKU / Existing Printed"/>
    <s v="hand off"/>
    <s v="current"/>
    <n v="10"/>
    <s v="AA"/>
    <s v="WK2"/>
    <d v="2025-09-22T00:00:00"/>
    <n v="4"/>
    <x v="3"/>
    <n v="1"/>
  </r>
  <r>
    <n v="1050"/>
    <s v="Requestor - Project Initiation"/>
    <x v="8"/>
    <x v="51"/>
    <n v="1"/>
    <n v="0"/>
    <x v="7"/>
    <s v="no, appears that blank is viable"/>
    <x v="0"/>
    <m/>
    <s v="col BN"/>
    <s v="…not in Trng_deck.ppt; only open for US and required: STRAIGHT CASE (not Repack); DISPLAY &amp; WIP is locked/blank"/>
    <s v="Tech name: [Sales_Sample_Question]; 1050 predecessor to &quot;additional pkg for launch&quot; (1053); "/>
    <s v="hand off"/>
    <s v="current"/>
    <n v="10"/>
    <s v="AA"/>
    <s v="WK2"/>
    <d v="2025-09-22T00:00:00"/>
    <n v="4"/>
    <x v="1"/>
    <n v="0.5"/>
  </r>
  <r>
    <n v="1051"/>
    <s v="Requestor - Project Initiation"/>
    <x v="9"/>
    <x v="52"/>
    <n v="0"/>
    <n v="29"/>
    <x v="0"/>
    <s v="no"/>
    <x v="0"/>
    <m/>
    <m/>
    <s v="This section corresponds to the Setup Type that has been chosen, and will show you the UPC requirements._x000a_Not sure how this section gets triggered to pull in the correct data (as I can't seem to find it in the NIF Rules.docx).  Maybe from the RDL: ALT_UOM {Alternate Unit Of Meaure table???}"/>
    <s v="(only displays for the requestor to review if the levels of the packaging look correct: ie is there a pouch level, if needed);  no need to put in AI BOT: unless there is a way to pull the table from the NIF Evolve business rules automatically"/>
    <s v="hand off"/>
    <s v="current"/>
    <n v="10"/>
    <s v="AA"/>
    <s v="WK2"/>
    <d v="2025-09-22T00:00:00"/>
    <n v="9"/>
    <x v="0"/>
    <n v="0"/>
  </r>
  <r>
    <n v="1052"/>
    <s v="Requestor - Project Initiation"/>
    <x v="10"/>
    <x v="53"/>
    <n v="1"/>
    <n v="30"/>
    <x v="8"/>
    <s v="no"/>
    <x v="0"/>
    <m/>
    <s v="NOT in BR.xlsx"/>
    <m/>
    <s v="no known BR based on data entered"/>
    <s v="hand off"/>
    <s v="current"/>
    <n v="10"/>
    <s v="AA"/>
    <s v="WK2"/>
    <d v="2025-09-22T00:00:00"/>
    <n v="4"/>
    <x v="3"/>
    <n v="1"/>
  </r>
  <r>
    <n v="1053"/>
    <s v="Requestor - Project Initiation"/>
    <x v="8"/>
    <x v="54"/>
    <n v="1"/>
    <s v="30, 47, 56, 113"/>
    <x v="19"/>
    <s v="conditional"/>
    <x v="0"/>
    <s v="Masterfiles"/>
    <s v="col BP"/>
    <s v="Multiple rows possible."/>
    <s v="Tech name: [Special_Launch_Selection]; 1053 dependent on 1050; open for all Form Type=CASE, not required; not DISPLAY or WIP; if &quot;Sale Samples may be needed&quot; (1050)=yes, set 1053 to &quot;Sales Sample Package K number 999 Variant (KXXXXXX999)&quot;; "/>
    <s v="hand off"/>
    <s v="current"/>
    <n v="10"/>
    <s v="AA"/>
    <s v="WK2"/>
    <d v="2025-09-22T00:00:00"/>
    <n v="4"/>
    <x v="3"/>
    <n v="1"/>
  </r>
  <r>
    <n v="1054"/>
    <s v="LIM - Initial Review"/>
    <x v="11"/>
    <x v="55"/>
    <n v="1"/>
    <n v="31"/>
    <x v="20"/>
    <m/>
    <x v="2"/>
    <m/>
    <m/>
    <s v="used for naming NIF form"/>
    <m/>
    <s v="upcoming"/>
    <s v="future"/>
    <n v="20"/>
    <s v="DD"/>
    <s v="WK3"/>
    <d v="2025-09-29T00:00:00"/>
    <m/>
    <x v="1"/>
    <n v="0.5"/>
  </r>
  <r>
    <n v="1055"/>
    <s v="LIM - Initial Review"/>
    <x v="12"/>
    <x v="56"/>
    <n v="1"/>
    <s v="32, 61"/>
    <x v="21"/>
    <m/>
    <x v="2"/>
    <m/>
    <m/>
    <m/>
    <m/>
    <s v="upcoming"/>
    <s v="future"/>
    <n v="20"/>
    <s v="DD"/>
    <s v="WK3"/>
    <d v="2025-09-29T00:00:00"/>
    <m/>
    <x v="1"/>
    <n v="0.5"/>
  </r>
  <r>
    <n v="1056"/>
    <s v="LIM - Initial Review"/>
    <x v="1"/>
    <x v="57"/>
    <n v="1"/>
    <s v="32, 61"/>
    <x v="1"/>
    <m/>
    <x v="2"/>
    <m/>
    <m/>
    <m/>
    <m/>
    <s v="upcoming"/>
    <s v="future"/>
    <n v="20"/>
    <s v="DD"/>
    <s v="WK3"/>
    <d v="2025-09-29T00:00:00"/>
    <m/>
    <x v="1"/>
    <n v="0.5"/>
  </r>
  <r>
    <n v="1057"/>
    <s v="LIM - Initial Review"/>
    <x v="1"/>
    <x v="58"/>
    <n v="1"/>
    <s v="32, 61"/>
    <x v="1"/>
    <m/>
    <x v="2"/>
    <m/>
    <m/>
    <m/>
    <m/>
    <s v="upcoming"/>
    <s v="future"/>
    <n v="20"/>
    <s v="DD"/>
    <s v="WK3"/>
    <d v="2025-09-29T00:00:00"/>
    <m/>
    <x v="1"/>
    <n v="0.5"/>
  </r>
  <r>
    <n v="1058"/>
    <s v="LIM - Initial Review"/>
    <x v="1"/>
    <x v="59"/>
    <n v="1"/>
    <s v="32, 61"/>
    <x v="1"/>
    <m/>
    <x v="2"/>
    <m/>
    <m/>
    <m/>
    <m/>
    <s v="upcoming"/>
    <s v="future"/>
    <n v="20"/>
    <s v="DD"/>
    <s v="WK3"/>
    <d v="2025-09-29T00:00:00"/>
    <m/>
    <x v="1"/>
    <n v="0.5"/>
  </r>
  <r>
    <n v="1059"/>
    <s v="LIM - Initial Review"/>
    <x v="1"/>
    <x v="60"/>
    <n v="1"/>
    <s v="32, 61"/>
    <x v="1"/>
    <m/>
    <x v="2"/>
    <m/>
    <m/>
    <m/>
    <m/>
    <s v="upcoming"/>
    <s v="future"/>
    <n v="20"/>
    <s v="DD"/>
    <s v="WK3"/>
    <d v="2025-09-29T00:00:00"/>
    <m/>
    <x v="1"/>
    <n v="0.5"/>
  </r>
  <r>
    <n v="1060"/>
    <s v="LIM - Initial Review"/>
    <x v="1"/>
    <x v="61"/>
    <n v="1"/>
    <s v="32, 61"/>
    <x v="1"/>
    <m/>
    <x v="2"/>
    <m/>
    <m/>
    <m/>
    <m/>
    <s v="upcoming"/>
    <s v="future"/>
    <n v="20"/>
    <s v="DD"/>
    <s v="WK3"/>
    <d v="2025-09-29T00:00:00"/>
    <m/>
    <x v="1"/>
    <n v="0.5"/>
  </r>
  <r>
    <n v="1061"/>
    <s v="LIM - Initial Review"/>
    <x v="1"/>
    <x v="62"/>
    <n v="1"/>
    <s v="32, 61"/>
    <x v="1"/>
    <m/>
    <x v="2"/>
    <m/>
    <m/>
    <m/>
    <m/>
    <s v="upcoming"/>
    <s v="future"/>
    <n v="20"/>
    <s v="DD"/>
    <s v="WK3"/>
    <d v="2025-09-29T00:00:00"/>
    <m/>
    <x v="1"/>
    <n v="0.5"/>
  </r>
  <r>
    <n v="1062"/>
    <s v="LIM - Initial Review"/>
    <x v="1"/>
    <x v="63"/>
    <n v="1"/>
    <s v="32, 61"/>
    <x v="1"/>
    <m/>
    <x v="2"/>
    <m/>
    <m/>
    <m/>
    <m/>
    <s v="upcoming"/>
    <s v="future"/>
    <n v="20"/>
    <s v="DD"/>
    <s v="WK3"/>
    <d v="2025-09-29T00:00:00"/>
    <m/>
    <x v="1"/>
    <n v="0.5"/>
  </r>
  <r>
    <n v="1063"/>
    <s v="LIM - Initial Review"/>
    <x v="1"/>
    <x v="64"/>
    <n v="1"/>
    <s v="32, 61"/>
    <x v="1"/>
    <m/>
    <x v="2"/>
    <m/>
    <m/>
    <m/>
    <m/>
    <s v="upcoming"/>
    <s v="future"/>
    <n v="20"/>
    <s v="DD"/>
    <s v="WK3"/>
    <d v="2025-09-29T00:00:00"/>
    <m/>
    <x v="1"/>
    <n v="0.5"/>
  </r>
  <r>
    <n v="1064"/>
    <s v="LIM - Initial Review"/>
    <x v="1"/>
    <x v="65"/>
    <n v="1"/>
    <s v="32, 61"/>
    <x v="1"/>
    <m/>
    <x v="2"/>
    <m/>
    <m/>
    <m/>
    <m/>
    <s v="upcoming"/>
    <s v="future"/>
    <n v="20"/>
    <s v="DD"/>
    <s v="WK3"/>
    <d v="2025-09-29T00:00:00"/>
    <m/>
    <x v="1"/>
    <n v="0.5"/>
  </r>
  <r>
    <n v="1065"/>
    <s v="LIM - Initial Review"/>
    <x v="1"/>
    <x v="66"/>
    <n v="1"/>
    <s v="32, 61"/>
    <x v="1"/>
    <m/>
    <x v="2"/>
    <m/>
    <m/>
    <m/>
    <m/>
    <s v="upcoming"/>
    <s v="future"/>
    <n v="20"/>
    <s v="DD"/>
    <s v="WK3"/>
    <d v="2025-09-29T00:00:00"/>
    <m/>
    <x v="1"/>
    <n v="0.5"/>
  </r>
  <r>
    <n v="1066"/>
    <s v="LIM - Initial Review"/>
    <x v="1"/>
    <x v="67"/>
    <n v="1"/>
    <s v="32, 61"/>
    <x v="1"/>
    <m/>
    <x v="2"/>
    <m/>
    <m/>
    <m/>
    <m/>
    <s v="upcoming"/>
    <s v="future"/>
    <n v="20"/>
    <s v="DD"/>
    <s v="WK3"/>
    <d v="2025-09-29T00:00:00"/>
    <m/>
    <x v="1"/>
    <n v="0.5"/>
  </r>
  <r>
    <n v="1067"/>
    <s v="LIM - Initial Review"/>
    <x v="2"/>
    <x v="68"/>
    <n v="1"/>
    <n v="33"/>
    <x v="7"/>
    <m/>
    <x v="2"/>
    <m/>
    <m/>
    <s v="CASE only (not DISPLAY or WIP)"/>
    <s v="1067 predecessor to 1083-1097; if YES opens 1083+, if NO then skips Forecast section"/>
    <s v="code rules"/>
    <s v="future"/>
    <n v="20"/>
    <s v="DD"/>
    <s v="WK3"/>
    <d v="2025-09-29T00:00:00"/>
    <m/>
    <x v="3"/>
    <n v="1"/>
  </r>
  <r>
    <n v="1068"/>
    <s v="LIM - Initial Review"/>
    <x v="13"/>
    <x v="69"/>
    <n v="1"/>
    <n v="36"/>
    <x v="8"/>
    <m/>
    <x v="2"/>
    <m/>
    <m/>
    <m/>
    <m/>
    <s v="upcoming"/>
    <s v="future"/>
    <n v="20"/>
    <s v="DD"/>
    <s v="WK3"/>
    <d v="2025-09-29T00:00:00"/>
    <m/>
    <x v="1"/>
    <n v="0.5"/>
  </r>
  <r>
    <n v="1069"/>
    <s v="LIM - LIM REPORT"/>
    <x v="14"/>
    <x v="70"/>
    <n v="1"/>
    <s v="37-41"/>
    <x v="22"/>
    <m/>
    <x v="2"/>
    <m/>
    <m/>
    <s v="read only form for exporting data to Excel"/>
    <m/>
    <s v="upcoming"/>
    <s v="future"/>
    <n v="30"/>
    <s v="II"/>
    <s v="WK5"/>
    <d v="2025-10-13T00:00:00"/>
    <m/>
    <x v="1"/>
    <n v="0.5"/>
  </r>
  <r>
    <n v="1070"/>
    <s v="Masterfiles - Get Codes"/>
    <x v="15"/>
    <x v="71"/>
    <n v="1"/>
    <s v="45, 56"/>
    <x v="8"/>
    <m/>
    <x v="1"/>
    <m/>
    <m/>
    <s v="(field 1013 is same but view only)"/>
    <s v="no known BR based on data entered"/>
    <s v="pending"/>
    <s v="early"/>
    <n v="40"/>
    <s v="GG"/>
    <s v="WK5"/>
    <d v="2025-10-13T00:00:00"/>
    <m/>
    <x v="1"/>
    <n v="0.5"/>
  </r>
  <r>
    <n v="1071"/>
    <s v="Masterfiles - Get Codes"/>
    <x v="16"/>
    <x v="72"/>
    <n v="0"/>
    <s v="29, 47, 52, 56, 98, 113"/>
    <x v="0"/>
    <m/>
    <x v="1"/>
    <m/>
    <m/>
    <m/>
    <m/>
    <s v="upcoming"/>
    <s v="future"/>
    <n v="40"/>
    <s v="GG"/>
    <s v="WK5"/>
    <d v="2025-10-13T00:00:00"/>
    <m/>
    <x v="0"/>
    <n v="0"/>
  </r>
  <r>
    <n v="1072"/>
    <s v="Masterfiles - Get Codes"/>
    <x v="16"/>
    <x v="73"/>
    <n v="1"/>
    <s v="47, 56, 113"/>
    <x v="8"/>
    <m/>
    <x v="1"/>
    <m/>
    <m/>
    <s v="rows of data: 4 (CS, PKG, LYR, UL);  PCH??"/>
    <m/>
    <s v="upcoming"/>
    <s v="future"/>
    <n v="40"/>
    <s v="GG"/>
    <s v="WK5"/>
    <d v="2025-10-13T00:00:00"/>
    <m/>
    <x v="1"/>
    <n v="0.5"/>
  </r>
  <r>
    <n v="1073"/>
    <s v="Masterfiles - Get Codes"/>
    <x v="16"/>
    <x v="74"/>
    <n v="1"/>
    <s v="47, 56, 113"/>
    <x v="8"/>
    <m/>
    <x v="1"/>
    <m/>
    <m/>
    <s v="rows of data: 4 (CS, PKG, LYR, UL);  PCH??"/>
    <m/>
    <s v="upcoming"/>
    <s v="future"/>
    <n v="40"/>
    <s v="GG"/>
    <s v="WK5"/>
    <d v="2025-10-13T00:00:00"/>
    <m/>
    <x v="1"/>
    <n v="0.5"/>
  </r>
  <r>
    <n v="1074"/>
    <s v="Masterfiles - Get Codes"/>
    <x v="16"/>
    <x v="75"/>
    <n v="0"/>
    <n v="113"/>
    <x v="0"/>
    <m/>
    <x v="1"/>
    <m/>
    <m/>
    <s v="value appears to be ZU; need to verify; &quot;EAN Cat&quot; ??"/>
    <m/>
    <s v="upcoming"/>
    <s v="future"/>
    <n v="40"/>
    <s v="GG"/>
    <s v="WK5"/>
    <d v="2025-10-13T00:00:00"/>
    <m/>
    <x v="0"/>
    <n v="0"/>
  </r>
  <r>
    <n v="1075"/>
    <s v="Masterfiles - Get Codes"/>
    <x v="16"/>
    <x v="76"/>
    <n v="0"/>
    <s v="47, 56, 113"/>
    <x v="0"/>
    <m/>
    <x v="1"/>
    <m/>
    <m/>
    <m/>
    <m/>
    <s v="upcoming"/>
    <s v="future"/>
    <n v="40"/>
    <s v="GG"/>
    <s v="WK5"/>
    <d v="2025-10-13T00:00:00"/>
    <m/>
    <x v="0"/>
    <n v="0"/>
  </r>
  <r>
    <n v="1076"/>
    <s v="Masterfiles - Get Codes"/>
    <x v="16"/>
    <x v="77"/>
    <n v="0"/>
    <s v="47, 56, 113"/>
    <x v="0"/>
    <m/>
    <x v="1"/>
    <m/>
    <m/>
    <m/>
    <m/>
    <s v="upcoming"/>
    <s v="future"/>
    <n v="40"/>
    <s v="GG"/>
    <s v="WK5"/>
    <d v="2025-10-13T00:00:00"/>
    <m/>
    <x v="0"/>
    <n v="0"/>
  </r>
  <r>
    <n v="1077"/>
    <s v="Masterfiles - Get Codes"/>
    <x v="16"/>
    <x v="78"/>
    <n v="1"/>
    <s v="47, 56, 113"/>
    <x v="8"/>
    <m/>
    <x v="1"/>
    <m/>
    <m/>
    <s v="rows of data: 4 (CS, PKG, LYR, UL);  PCH??"/>
    <m/>
    <s v="upcoming"/>
    <s v="future"/>
    <n v="40"/>
    <s v="GG"/>
    <s v="WK5"/>
    <d v="2025-10-13T00:00:00"/>
    <m/>
    <x v="1"/>
    <n v="0.5"/>
  </r>
  <r>
    <n v="1078"/>
    <s v="Masterfiles - Get Codes"/>
    <x v="16"/>
    <x v="79"/>
    <n v="0"/>
    <s v="47, 56, 113"/>
    <x v="0"/>
    <m/>
    <x v="1"/>
    <m/>
    <m/>
    <m/>
    <m/>
    <s v="upcoming"/>
    <s v="future"/>
    <n v="40"/>
    <s v="GG"/>
    <s v="WK5"/>
    <d v="2025-10-13T00:00:00"/>
    <m/>
    <x v="0"/>
    <n v="0"/>
  </r>
  <r>
    <n v="1079"/>
    <s v="Masterfiles - Get Codes"/>
    <x v="16"/>
    <x v="80"/>
    <n v="0"/>
    <s v="47, 56, 113"/>
    <x v="0"/>
    <m/>
    <x v="1"/>
    <m/>
    <m/>
    <m/>
    <m/>
    <s v="upcoming"/>
    <s v="future"/>
    <n v="40"/>
    <s v="GG"/>
    <s v="WK5"/>
    <d v="2025-10-13T00:00:00"/>
    <m/>
    <x v="0"/>
    <n v="0"/>
  </r>
  <r>
    <n v="1080"/>
    <s v="Masterfiles - Get Codes"/>
    <x v="16"/>
    <x v="81"/>
    <n v="0"/>
    <s v="47, 56, 113"/>
    <x v="0"/>
    <m/>
    <x v="1"/>
    <m/>
    <m/>
    <m/>
    <m/>
    <s v="upcoming"/>
    <s v="future"/>
    <n v="40"/>
    <s v="GG"/>
    <s v="WK5"/>
    <d v="2025-10-13T00:00:00"/>
    <m/>
    <x v="0"/>
    <n v="0"/>
  </r>
  <r>
    <n v="1081"/>
    <s v="Masterfiles - Get Codes"/>
    <x v="16"/>
    <x v="82"/>
    <n v="1"/>
    <s v="30, 47, 56, 113"/>
    <x v="8"/>
    <m/>
    <x v="1"/>
    <m/>
    <m/>
    <s v="Multiple rows possible."/>
    <m/>
    <s v="pending"/>
    <s v="future"/>
    <n v="40"/>
    <s v="GG"/>
    <s v="WK5"/>
    <d v="2025-10-13T00:00:00"/>
    <m/>
    <x v="1"/>
    <n v="0.5"/>
  </r>
  <r>
    <n v="1082"/>
    <s v="Masterfiles - Get Codes"/>
    <x v="13"/>
    <x v="83"/>
    <n v="1"/>
    <n v="47"/>
    <x v="8"/>
    <m/>
    <x v="1"/>
    <m/>
    <m/>
    <m/>
    <m/>
    <s v="upcoming"/>
    <s v="future"/>
    <n v="40"/>
    <s v="GG"/>
    <s v="WK5"/>
    <d v="2025-10-13T00:00:00"/>
    <m/>
    <x v="1"/>
    <n v="0.5"/>
  </r>
  <r>
    <n v="1083"/>
    <s v="LIM - Forecast Approval"/>
    <x v="17"/>
    <x v="84"/>
    <n v="0"/>
    <n v="51"/>
    <x v="23"/>
    <s v="yes"/>
    <x v="2"/>
    <m/>
    <m/>
    <s v="LIM approval to setup Forecast sku; SAP Classification-Manufacturer Company"/>
    <s v="1083 dependent on 1107 Brand"/>
    <s v="hand off"/>
    <s v="current"/>
    <n v="50"/>
    <s v="BB"/>
    <s v="WK2"/>
    <d v="2025-09-22T00:00:00"/>
    <m/>
    <x v="0"/>
    <n v="0"/>
  </r>
  <r>
    <n v="1084"/>
    <s v="LIM - Forecast Approval"/>
    <x v="17"/>
    <x v="85"/>
    <n v="1"/>
    <s v="51, 74"/>
    <x v="24"/>
    <s v="yes"/>
    <x v="2"/>
    <s v="Requestor"/>
    <m/>
    <m/>
    <s v="if Product Type=BUNDLE (DTC) then MATERIAL Group=REPACK; otherwise select from dd"/>
    <s v="hand off"/>
    <s v="current"/>
    <n v="50"/>
    <s v="BB"/>
    <s v="WK2"/>
    <d v="2025-09-22T00:00:00"/>
    <n v="5"/>
    <x v="3"/>
    <n v="1"/>
  </r>
  <r>
    <n v="1085"/>
    <s v="LIM - Forecast Approval"/>
    <x v="17"/>
    <x v="86"/>
    <n v="1"/>
    <s v="51, 74, 105"/>
    <x v="25"/>
    <s v="yes"/>
    <x v="2"/>
    <s v="Requestor, CA Finance Tax"/>
    <m/>
    <s v="Bev - check w/TT regarding specific wording in drop down (not part of RDL list)"/>
    <s v="1085 dependent on where CHANNEL=:  AFH/Specialty (1033), Canada (1008), Export (1034), CLUB, RX- where there is a subselection of the list for these areas; otherwise it shows RETAIL choices"/>
    <s v="hand off"/>
    <s v="current"/>
    <n v="50"/>
    <s v="BB"/>
    <s v="WK2"/>
    <d v="2025-09-22T00:00:00"/>
    <n v="5"/>
    <x v="3"/>
    <n v="1"/>
  </r>
  <r>
    <n v="1086"/>
    <s v="LIM - Forecast Approval"/>
    <x v="17"/>
    <x v="87"/>
    <n v="1"/>
    <s v="51, 107"/>
    <x v="8"/>
    <s v="yes"/>
    <x v="2"/>
    <s v="Category Finance"/>
    <m/>
    <m/>
    <s v="no Business Rules, numbers and decimals only"/>
    <s v="hand off"/>
    <s v="current"/>
    <n v="50"/>
    <s v="BB"/>
    <s v="WK2"/>
    <d v="2025-09-22T00:00:00"/>
    <m/>
    <x v="1"/>
    <n v="0.5"/>
  </r>
  <r>
    <n v="1155"/>
    <s v="Requestor Update"/>
    <x v="18"/>
    <x v="88"/>
    <n v="1"/>
    <s v="(not on pg 51), 74"/>
    <x v="26"/>
    <s v="yes"/>
    <x v="0"/>
    <m/>
    <m/>
    <s v="9/24/25 - in NIF PROD this field is on the LIM - Forecast Approval training section"/>
    <s v="no known BR based on data entered"/>
    <s v="hand off"/>
    <s v="current"/>
    <n v="100"/>
    <s v="CC"/>
    <s v="WK2"/>
    <d v="2025-09-22T00:00:00"/>
    <n v="5"/>
    <x v="1"/>
    <n v="0.5"/>
  </r>
  <r>
    <n v="1087"/>
    <s v="LIM - Forecast Approval"/>
    <x v="17"/>
    <x v="89"/>
    <n v="1"/>
    <n v="51"/>
    <x v="8"/>
    <s v="yes"/>
    <x v="2"/>
    <m/>
    <m/>
    <s v="Tamara to test - Canada??_x000a_9/26/25 - Query not included in Expert System Rules"/>
    <s v="numbers and decimals; runs query_tax_classification query (what does this do?"/>
    <s v="hand off"/>
    <s v="current"/>
    <n v="50"/>
    <s v="BB"/>
    <s v="WK2"/>
    <d v="2025-09-22T00:00:00"/>
    <m/>
    <x v="1"/>
    <n v="0.5"/>
  </r>
  <r>
    <n v="1088"/>
    <s v="LIM - Forecast Approval"/>
    <x v="17"/>
    <x v="90"/>
    <n v="0"/>
    <n v="51"/>
    <x v="0"/>
    <m/>
    <x v="2"/>
    <m/>
    <m/>
    <s v="based off SUB-TYPE DESCRIPTION"/>
    <s v="display only - duplicate of Material Prefix Description (1042)"/>
    <s v="hand off"/>
    <s v="current"/>
    <n v="50"/>
    <s v="BB"/>
    <s v="WK2"/>
    <d v="2025-09-22T00:00:00"/>
    <m/>
    <x v="0"/>
    <n v="0"/>
  </r>
  <r>
    <n v="1089"/>
    <s v="LIM - Forecast Approval"/>
    <x v="17"/>
    <x v="91"/>
    <n v="1"/>
    <s v="51, 80"/>
    <x v="27"/>
    <s v="yes"/>
    <x v="2"/>
    <m/>
    <m/>
    <m/>
    <s v="no known BR based on data entered"/>
    <s v="hand off"/>
    <s v="current"/>
    <n v="50"/>
    <s v="BB"/>
    <s v="WK2"/>
    <d v="2025-09-22T00:00:00"/>
    <m/>
    <x v="3"/>
    <n v="1"/>
  </r>
  <r>
    <n v="1090"/>
    <s v="LIM - Forecast Approval"/>
    <x v="17"/>
    <x v="92"/>
    <n v="1"/>
    <n v="51"/>
    <x v="8"/>
    <s v="yes"/>
    <x v="2"/>
    <m/>
    <m/>
    <m/>
    <s v="1090 predecessor to: If US then Imperial (1092) is required and Metric (1091) is open but not required, otherwise if NOT-US then Metric is required and Imperial is open but not required"/>
    <s v="hand off"/>
    <s v="current"/>
    <n v="50"/>
    <s v="BB"/>
    <s v="WK2"/>
    <d v="2025-09-22T00:00:00"/>
    <m/>
    <x v="1"/>
    <n v="0.5"/>
  </r>
  <r>
    <n v="1091"/>
    <s v="LIM - Forecast Approval"/>
    <x v="17"/>
    <x v="93"/>
    <n v="1"/>
    <n v="51"/>
    <x v="8"/>
    <s v="conditional"/>
    <x v="2"/>
    <m/>
    <m/>
    <m/>
    <s v="1091 dependent on 1090"/>
    <s v="hand off"/>
    <s v="current"/>
    <n v="50"/>
    <s v="BB"/>
    <s v="WK2"/>
    <d v="2025-09-22T00:00:00"/>
    <m/>
    <x v="1"/>
    <n v="0.5"/>
  </r>
  <r>
    <n v="1092"/>
    <s v="LIM - Forecast Approval"/>
    <x v="17"/>
    <x v="94"/>
    <n v="1"/>
    <n v="51"/>
    <x v="8"/>
    <s v="conditional"/>
    <x v="2"/>
    <m/>
    <m/>
    <m/>
    <s v="1092 dependent on 1090"/>
    <s v="hand off"/>
    <s v="current"/>
    <n v="50"/>
    <s v="BB"/>
    <s v="WK2"/>
    <d v="2025-09-22T00:00:00"/>
    <m/>
    <x v="1"/>
    <n v="0.5"/>
  </r>
  <r>
    <n v="1093"/>
    <s v="LIM - Forecast Approval"/>
    <x v="17"/>
    <x v="95"/>
    <n v="1"/>
    <s v="51, 76"/>
    <x v="28"/>
    <s v="yes"/>
    <x v="2"/>
    <s v="Requestor"/>
    <m/>
    <s v="Multiple rows possible."/>
    <s v="9/29/25 - did not code: if AA then change to US (might be because Jon put US at the top of the list with the AA); _x000a_no other business rules"/>
    <s v="hand off"/>
    <s v="current"/>
    <n v="50"/>
    <s v="BB"/>
    <s v="WK2"/>
    <d v="2025-09-22T00:00:00"/>
    <n v="6"/>
    <x v="3"/>
    <n v="1"/>
  </r>
  <r>
    <n v="1094"/>
    <s v="LIM - Forecast Approval"/>
    <x v="17"/>
    <x v="96"/>
    <n v="1"/>
    <s v="51, 81"/>
    <x v="29"/>
    <s v="yes"/>
    <x v="2"/>
    <m/>
    <m/>
    <s v="Multiple rows possible."/>
    <s v="1094 predecessor to 1095 populates from ref list; if VAS=yes, then In/Out required"/>
    <s v="hand off"/>
    <s v="current"/>
    <n v="50"/>
    <s v="BB"/>
    <s v="WK2"/>
    <d v="2025-09-22T00:00:00"/>
    <m/>
    <x v="3"/>
    <n v="1"/>
  </r>
  <r>
    <n v="1095"/>
    <s v="LIM - Forecast Approval"/>
    <x v="17"/>
    <x v="97"/>
    <n v="0"/>
    <s v="51, 81"/>
    <x v="0"/>
    <s v="no"/>
    <x v="2"/>
    <m/>
    <m/>
    <s v="Multiple rows possible."/>
    <s v="1095 dependent on 1094"/>
    <s v="hand off"/>
    <s v="current"/>
    <n v="50"/>
    <s v="BB"/>
    <s v="WK2"/>
    <d v="2025-09-22T00:00:00"/>
    <m/>
    <x v="0"/>
    <n v="0"/>
  </r>
  <r>
    <n v="1096"/>
    <s v="LIM - Forecast Approval"/>
    <x v="17"/>
    <x v="98"/>
    <n v="1"/>
    <s v="51, 81"/>
    <x v="30"/>
    <s v="yes"/>
    <x v="2"/>
    <m/>
    <m/>
    <s v="Multiple rows possible."/>
    <s v="If VAS=yes, then required"/>
    <s v="hand off"/>
    <s v="current"/>
    <n v="50"/>
    <s v="BB"/>
    <s v="WK2"/>
    <d v="2025-09-22T00:00:00"/>
    <m/>
    <x v="1"/>
    <n v="0.5"/>
  </r>
  <r>
    <n v="1097"/>
    <s v="LIM - Forecast Approval"/>
    <x v="17"/>
    <x v="99"/>
    <n v="1"/>
    <s v="51, 81"/>
    <x v="31"/>
    <s v="no"/>
    <x v="2"/>
    <m/>
    <m/>
    <s v="Multiple rows possible."/>
    <s v="no known BR based on data entered"/>
    <s v="hand off"/>
    <s v="current"/>
    <n v="50"/>
    <s v="BB"/>
    <s v="WK2"/>
    <d v="2025-09-22T00:00:00"/>
    <m/>
    <x v="1"/>
    <n v="0.5"/>
  </r>
  <r>
    <n v="1098"/>
    <s v="LIM - Forecast Approval"/>
    <x v="19"/>
    <x v="100"/>
    <n v="1"/>
    <s v="51, 76, 81"/>
    <x v="32"/>
    <s v="yes"/>
    <x v="2"/>
    <s v="Requestor"/>
    <m/>
    <s v="9/28/25 - did not code flavor abbreviation; pull in at Material Description field?"/>
    <s v="Flavor_Abbrv from ref list;"/>
    <s v="hand off"/>
    <s v="current"/>
    <n v="50"/>
    <s v="BB"/>
    <s v="WK2"/>
    <d v="2025-09-22T00:00:00"/>
    <n v="6"/>
    <x v="3"/>
    <n v="1"/>
  </r>
  <r>
    <n v="1099"/>
    <s v="LIM - Forecast Approval"/>
    <x v="19"/>
    <x v="101"/>
    <n v="1"/>
    <s v="51, 76, 81, 94"/>
    <x v="33"/>
    <s v="yes"/>
    <x v="2"/>
    <s v="Requestor, Nutrition Labeling"/>
    <m/>
    <s v="9/28/25 - did not code food form abbreviation; pull in at Material Description field?"/>
    <s v="1099 predecessor to 1173; gets the Food_Form_Abbrv from ref list; "/>
    <s v="hand off"/>
    <s v="current"/>
    <n v="50"/>
    <s v="BB"/>
    <s v="WK2"/>
    <d v="2025-09-22T00:00:00"/>
    <n v="6"/>
    <x v="3"/>
    <n v="1"/>
  </r>
  <r>
    <n v="1100"/>
    <s v="LIM - Forecast Approval"/>
    <x v="19"/>
    <x v="102"/>
    <n v="1"/>
    <s v="51, 76, 81"/>
    <x v="34"/>
    <s v="open not req"/>
    <x v="2"/>
    <s v="Requestor"/>
    <m/>
    <m/>
    <s v="no known BR based on data entered"/>
    <s v="hand off"/>
    <s v="current"/>
    <n v="50"/>
    <s v="BB"/>
    <s v="WK2"/>
    <d v="2025-09-22T00:00:00"/>
    <n v="6"/>
    <x v="3"/>
    <n v="1"/>
  </r>
  <r>
    <n v="1101"/>
    <s v="LIM - Forecast Approval"/>
    <x v="20"/>
    <x v="103"/>
    <n v="0"/>
    <n v="51"/>
    <x v="35"/>
    <s v="yes"/>
    <x v="2"/>
    <m/>
    <m/>
    <s v="based off BRAND DESCRIPTION"/>
    <s v="no known BR based on data entered"/>
    <s v="hand off"/>
    <s v="current"/>
    <n v="50"/>
    <s v="BB"/>
    <s v="WK2"/>
    <d v="2025-09-22T00:00:00"/>
    <m/>
    <x v="0"/>
    <n v="0"/>
  </r>
  <r>
    <n v="1102"/>
    <s v="LIM - Forecast Approval"/>
    <x v="20"/>
    <x v="104"/>
    <n v="0"/>
    <n v="51"/>
    <x v="35"/>
    <s v="yes"/>
    <x v="2"/>
    <m/>
    <m/>
    <s v="based off BRAND DESCRIPTION"/>
    <s v="move these rules to the proper field:_x000a_if CA &amp; VAS=yes, BOM_plant=1460; _x000a_if US &amp; VAS=yes &amp; Pringles=no, BOM_plant=1485; _x000a_if US &amp;VAS=yes &amp; Pringles=yes, BOM_plant=1409;_x000a_if US &amp; VAS=yes &amp; Form_type=Case, BOM_plant=1485;_x000a_PH1_Material_Segment=40 &amp; VAS=yes, BOM_plant=1724;"/>
    <s v="hand off"/>
    <s v="current"/>
    <n v="50"/>
    <s v="BB"/>
    <s v="WK2"/>
    <d v="2025-09-22T00:00:00"/>
    <m/>
    <x v="0"/>
    <n v="0"/>
  </r>
  <r>
    <n v="1103"/>
    <s v="LIM - Forecast Approval"/>
    <x v="20"/>
    <x v="105"/>
    <n v="0"/>
    <n v="51"/>
    <x v="36"/>
    <s v="yes"/>
    <x v="2"/>
    <m/>
    <m/>
    <s v="based off BRAND DESCRIPTION"/>
    <s v="no known BR based on data entered"/>
    <s v="hand off"/>
    <s v="current"/>
    <n v="50"/>
    <s v="BB"/>
    <s v="WK2"/>
    <d v="2025-09-22T00:00:00"/>
    <m/>
    <x v="0"/>
    <n v="0"/>
  </r>
  <r>
    <n v="1104"/>
    <s v="LIM - Forecast Approval"/>
    <x v="20"/>
    <x v="106"/>
    <n v="0"/>
    <n v="51"/>
    <x v="36"/>
    <s v="yes"/>
    <x v="2"/>
    <m/>
    <m/>
    <s v="based off BRAND DESCRIPTION"/>
    <s v="no known BR based on data entered"/>
    <s v="hand off"/>
    <s v="current"/>
    <n v="50"/>
    <s v="BB"/>
    <s v="WK2"/>
    <d v="2025-09-22T00:00:00"/>
    <m/>
    <x v="0"/>
    <n v="0"/>
  </r>
  <r>
    <n v="1105"/>
    <s v="LIM - Forecast Approval"/>
    <x v="20"/>
    <x v="107"/>
    <n v="0"/>
    <n v="51"/>
    <x v="37"/>
    <s v="yes"/>
    <x v="2"/>
    <m/>
    <m/>
    <s v="based off BRAND DESCRIPTION"/>
    <s v="no known BR based on data entered"/>
    <s v="hand off"/>
    <s v="current"/>
    <n v="50"/>
    <s v="BB"/>
    <s v="WK2"/>
    <d v="2025-09-22T00:00:00"/>
    <m/>
    <x v="0"/>
    <n v="0"/>
  </r>
  <r>
    <n v="1106"/>
    <s v="LIM - Forecast Approval"/>
    <x v="20"/>
    <x v="108"/>
    <n v="0"/>
    <n v="51"/>
    <x v="37"/>
    <s v="yes"/>
    <x v="2"/>
    <m/>
    <m/>
    <s v="based off BRAND DESCRIPTION"/>
    <s v="no known BR based on data entered"/>
    <s v="hand off"/>
    <s v="current"/>
    <n v="50"/>
    <s v="BB"/>
    <s v="WK2"/>
    <d v="2025-09-22T00:00:00"/>
    <m/>
    <x v="0"/>
    <n v="0"/>
  </r>
  <r>
    <n v="1107"/>
    <s v="LIM - Forecast Approval"/>
    <x v="20"/>
    <x v="109"/>
    <n v="1"/>
    <s v="51, 75, 86"/>
    <x v="38"/>
    <s v="yes"/>
    <x v="2"/>
    <s v="Requestor"/>
    <m/>
    <m/>
    <s v="1107 predecessor to 1083; _x000a_Tech name [PH4_Brand_Desc] (26 rules)"/>
    <s v="hand off"/>
    <s v="current"/>
    <n v="50"/>
    <s v="BB"/>
    <s v="WK2"/>
    <d v="2025-09-22T00:00:00"/>
    <n v="6"/>
    <x v="2"/>
    <n v="1.5"/>
  </r>
  <r>
    <n v="1108"/>
    <s v="LIM - Forecast Approval"/>
    <x v="20"/>
    <x v="110"/>
    <n v="0"/>
    <n v="51"/>
    <x v="38"/>
    <s v="yes"/>
    <x v="2"/>
    <m/>
    <m/>
    <s v="based off BRAND DESCRIPTION"/>
    <s v="no known BR based on data entered"/>
    <s v="hand off"/>
    <s v="current"/>
    <n v="50"/>
    <s v="BB"/>
    <s v="WK2"/>
    <d v="2025-09-22T00:00:00"/>
    <m/>
    <x v="0"/>
    <n v="0"/>
  </r>
  <r>
    <n v="1109"/>
    <s v="LIM - Forecast Approval"/>
    <x v="20"/>
    <x v="111"/>
    <n v="1"/>
    <s v="51, 110"/>
    <x v="39"/>
    <s v="yes"/>
    <x v="2"/>
    <s v="Data Integrity"/>
    <m/>
    <m/>
    <s v="no known BR based on data entered"/>
    <s v="hand off"/>
    <s v="current"/>
    <n v="50"/>
    <s v="BB"/>
    <s v="WK2"/>
    <d v="2025-09-22T00:00:00"/>
    <m/>
    <x v="2"/>
    <n v="1.5"/>
  </r>
  <r>
    <n v="1110"/>
    <s v="LIM - Forecast Approval"/>
    <x v="20"/>
    <x v="112"/>
    <n v="0"/>
    <n v="51"/>
    <x v="39"/>
    <s v="yes"/>
    <x v="2"/>
    <m/>
    <m/>
    <s v="based off TYPE DESCRIPTION"/>
    <s v="no known BR based on data entered"/>
    <s v="hand off"/>
    <s v="current"/>
    <n v="50"/>
    <s v="BB"/>
    <s v="WK2"/>
    <d v="2025-09-22T00:00:00"/>
    <m/>
    <x v="0"/>
    <n v="0"/>
  </r>
  <r>
    <n v="1111"/>
    <s v="LIM - Forecast Approval"/>
    <x v="20"/>
    <x v="113"/>
    <n v="1"/>
    <s v="51, 110"/>
    <x v="40"/>
    <s v="yes"/>
    <x v="2"/>
    <s v="Data Integrity"/>
    <m/>
    <m/>
    <s v="no known BR based on data entered"/>
    <s v="hand off"/>
    <s v="current"/>
    <n v="50"/>
    <s v="BB"/>
    <s v="WK2"/>
    <d v="2025-09-22T00:00:00"/>
    <m/>
    <x v="2"/>
    <n v="1.5"/>
  </r>
  <r>
    <n v="1112"/>
    <s v="LIM - Forecast Approval"/>
    <x v="20"/>
    <x v="114"/>
    <n v="0"/>
    <n v="51"/>
    <x v="40"/>
    <s v="yes"/>
    <x v="2"/>
    <m/>
    <m/>
    <s v="based off SUB-TYPE DESCRIPTION"/>
    <s v="no known BR based on data entered"/>
    <s v="hand off"/>
    <s v="current"/>
    <n v="50"/>
    <s v="BB"/>
    <s v="WK2"/>
    <d v="2025-09-22T00:00:00"/>
    <m/>
    <x v="0"/>
    <n v="0"/>
  </r>
  <r>
    <n v="1113"/>
    <s v="LIM - Forecast Approval"/>
    <x v="21"/>
    <x v="115"/>
    <n v="1"/>
    <n v="52"/>
    <x v="41"/>
    <s v="yes"/>
    <x v="2"/>
    <m/>
    <m/>
    <s v="informational only"/>
    <s v="if &quot;Forecast Entry Options&quot; is DEFAULTS, then &quot;Y&quot; (1116) [Numerator_for_Conversion_to_Base_Units_of_Measure]= '1' and &quot;X&quot; (1114) [Denominator_for_conversion_to_base_units_of_measure]= '1' and &quot;Length&quot; (1118) = '1' and &quot;Width&quot; (1119) = '1' and &quot;Height&quot; (1120) = '1'"/>
    <s v="code rules"/>
    <s v="current"/>
    <n v="50"/>
    <s v="BB"/>
    <s v="WK2"/>
    <d v="2025-09-22T00:00:00"/>
    <m/>
    <x v="1"/>
    <n v="0.5"/>
  </r>
  <r>
    <n v="1114"/>
    <s v="LIM - Forecast Approval"/>
    <x v="21"/>
    <x v="116"/>
    <n v="1"/>
    <s v="52, 98"/>
    <x v="8"/>
    <m/>
    <x v="2"/>
    <s v="Packaging Tech"/>
    <m/>
    <s v="rows of data: 4 (CS, PKG, LYR, UL);  PCH??"/>
    <s v="Tech name: [Denominator_for_conversion_to_base_units_of_measure] (10 rules) then executed 4 times throughout rules"/>
    <s v="pending"/>
    <s v="current"/>
    <n v="50"/>
    <s v="BB"/>
    <s v="WK2"/>
    <d v="2025-09-22T00:00:00"/>
    <m/>
    <x v="1"/>
    <n v="0.5"/>
  </r>
  <r>
    <n v="1115"/>
    <s v="LIM - Forecast Approval"/>
    <x v="21"/>
    <x v="117"/>
    <n v="0"/>
    <s v="52, 98"/>
    <x v="0"/>
    <m/>
    <x v="2"/>
    <s v="Packaging Tech"/>
    <m/>
    <m/>
    <s v="constant variable for display only"/>
    <s v="pending"/>
    <s v="current"/>
    <n v="50"/>
    <s v="BB"/>
    <s v="WK2"/>
    <d v="2025-09-22T00:00:00"/>
    <m/>
    <x v="0"/>
    <n v="0"/>
  </r>
  <r>
    <n v="1116"/>
    <s v="LIM - Forecast Approval"/>
    <x v="21"/>
    <x v="118"/>
    <n v="1"/>
    <s v="52, 98"/>
    <x v="8"/>
    <m/>
    <x v="2"/>
    <s v="Packaging Tech"/>
    <m/>
    <s v="rows of data: 4 (CS, PKG, LYR, UL);  PCH??"/>
    <s v="Tech name: [Numerator_for_Conversion_to_Base_Units_of_Measure] (13 rules) then executed 4 times throughout rules"/>
    <s v="pending"/>
    <s v="current"/>
    <n v="50"/>
    <s v="BB"/>
    <s v="WK2"/>
    <d v="2025-09-22T00:00:00"/>
    <m/>
    <x v="1"/>
    <n v="0.5"/>
  </r>
  <r>
    <n v="1117"/>
    <s v="LIM - Forecast Approval"/>
    <x v="21"/>
    <x v="119"/>
    <n v="0"/>
    <s v="29, 52, 98"/>
    <x v="0"/>
    <m/>
    <x v="2"/>
    <s v="Packaging Tech"/>
    <m/>
    <m/>
    <s v="based off of RDL: ALT_UOM  (ie: CS, HUL, QUL, FUL, …)_x000a_Tech name: [Base_Unit_of_Measure] (referenced 3 times, but no rules on actual field)"/>
    <s v="pending"/>
    <s v="current"/>
    <n v="50"/>
    <s v="BB"/>
    <s v="WK2"/>
    <d v="2025-09-22T00:00:00"/>
    <m/>
    <x v="0"/>
    <n v="0"/>
  </r>
  <r>
    <n v="1118"/>
    <s v="LIM - Forecast Approval"/>
    <x v="21"/>
    <x v="120"/>
    <n v="1"/>
    <s v="52, 98"/>
    <x v="8"/>
    <m/>
    <x v="2"/>
    <s v="Packaging Tech"/>
    <m/>
    <s v="rows of data: 4 (CS, PKG, LYR, UL);  PCH??"/>
    <s v="Tech name: [Length] (5 rules)"/>
    <s v="pending"/>
    <s v="current"/>
    <n v="50"/>
    <s v="BB"/>
    <s v="WK2"/>
    <d v="2025-09-22T00:00:00"/>
    <m/>
    <x v="1"/>
    <n v="0.5"/>
  </r>
  <r>
    <n v="1119"/>
    <s v="LIM - Forecast Approval"/>
    <x v="21"/>
    <x v="121"/>
    <n v="1"/>
    <s v="52, 98"/>
    <x v="8"/>
    <m/>
    <x v="2"/>
    <s v="Packaging Tech"/>
    <m/>
    <s v="rows of data: 4 (CS, PKG, LYR, UL);  PCH??"/>
    <s v="Tech name: [Width] (5 rules)"/>
    <s v="pending"/>
    <s v="current"/>
    <n v="50"/>
    <s v="BB"/>
    <s v="WK2"/>
    <d v="2025-09-22T00:00:00"/>
    <m/>
    <x v="1"/>
    <n v="0.5"/>
  </r>
  <r>
    <n v="1120"/>
    <s v="LIM - Forecast Approval"/>
    <x v="21"/>
    <x v="122"/>
    <n v="1"/>
    <s v="52, 98"/>
    <x v="8"/>
    <m/>
    <x v="2"/>
    <s v="Packaging Tech"/>
    <m/>
    <s v="rows of data: 4 (CS, PKG, LYR, UL);  PCH??"/>
    <s v="Tech name: [Height] (5 rules)"/>
    <s v="pending"/>
    <s v="current"/>
    <n v="50"/>
    <s v="BB"/>
    <s v="WK2"/>
    <d v="2025-09-22T00:00:00"/>
    <m/>
    <x v="1"/>
    <n v="0.5"/>
  </r>
  <r>
    <n v="1121"/>
    <s v="LIM - Forecast Approval"/>
    <x v="21"/>
    <x v="123"/>
    <n v="0"/>
    <s v="52, 98"/>
    <x v="0"/>
    <m/>
    <x v="2"/>
    <s v="Packaging Tech"/>
    <m/>
    <m/>
    <s v="based off of RDL: ALT_UOM "/>
    <s v="pending"/>
    <s v="current"/>
    <n v="50"/>
    <s v="BB"/>
    <s v="WK2"/>
    <d v="2025-09-22T00:00:00"/>
    <m/>
    <x v="0"/>
    <n v="0"/>
  </r>
  <r>
    <n v="1122"/>
    <s v="LIM - Forecast Approval"/>
    <x v="21"/>
    <x v="124"/>
    <n v="0"/>
    <s v="52, 98"/>
    <x v="0"/>
    <m/>
    <x v="2"/>
    <s v="Packaging Tech"/>
    <m/>
    <m/>
    <s v="Tech name: [Volume] (1 rule)"/>
    <s v="pending"/>
    <s v="current"/>
    <n v="50"/>
    <s v="BB"/>
    <s v="WK2"/>
    <d v="2025-09-22T00:00:00"/>
    <m/>
    <x v="0"/>
    <n v="0"/>
  </r>
  <r>
    <n v="1123"/>
    <s v="LIM - Forecast Approval"/>
    <x v="21"/>
    <x v="125"/>
    <n v="0"/>
    <s v="52, 98"/>
    <x v="0"/>
    <m/>
    <x v="2"/>
    <s v="Packaging Tech"/>
    <m/>
    <m/>
    <s v="based off of RDL: ALT_UOM "/>
    <s v="pending"/>
    <s v="current"/>
    <n v="50"/>
    <s v="BB"/>
    <s v="WK2"/>
    <d v="2025-09-22T00:00:00"/>
    <m/>
    <x v="0"/>
    <n v="0"/>
  </r>
  <r>
    <n v="1124"/>
    <s v="LIM - Forecast Approval"/>
    <x v="21"/>
    <x v="126"/>
    <n v="1"/>
    <s v="52, 98"/>
    <x v="8"/>
    <m/>
    <x v="2"/>
    <s v="Packaging Tech"/>
    <m/>
    <s v="rows of data: 4 (CS, PKG, LYR, UL);  PCH??"/>
    <s v="Tech name: [Gross_Weight] (14 rules); _x000a_Tech name: [Gross_Weight_UL] (2 rules); _x000a_Tech name: [Gross_Case_Weight] (1 rule)"/>
    <s v="pending"/>
    <s v="current"/>
    <n v="50"/>
    <s v="BB"/>
    <s v="WK2"/>
    <d v="2025-09-22T00:00:00"/>
    <m/>
    <x v="1"/>
    <n v="0.5"/>
  </r>
  <r>
    <n v="1125"/>
    <s v="LIM - Forecast Approval"/>
    <x v="21"/>
    <x v="127"/>
    <n v="0"/>
    <s v="52, 98"/>
    <x v="0"/>
    <m/>
    <x v="2"/>
    <s v="Packaging Tech"/>
    <m/>
    <m/>
    <s v="based off of RDL: ALT_UOM; different values depending on the level of the Alternate Units of Measure"/>
    <s v="pending"/>
    <s v="current"/>
    <n v="50"/>
    <s v="BB"/>
    <s v="WK2"/>
    <d v="2025-09-22T00:00:00"/>
    <m/>
    <x v="0"/>
    <n v="0"/>
  </r>
  <r>
    <n v="1126"/>
    <s v="LIM - Forecast Approval"/>
    <x v="22"/>
    <x v="128"/>
    <n v="0"/>
    <s v="52, 58"/>
    <x v="0"/>
    <m/>
    <x v="2"/>
    <m/>
    <m/>
    <m/>
    <s v="no known BR based on data entered"/>
    <s v="code rules"/>
    <s v="current"/>
    <n v="50"/>
    <s v="BB"/>
    <s v="WK2"/>
    <d v="2025-09-22T00:00:00"/>
    <m/>
    <x v="0"/>
    <n v="0"/>
  </r>
  <r>
    <n v="1127"/>
    <s v="LIM - Forecast Approval"/>
    <x v="22"/>
    <x v="129"/>
    <n v="0"/>
    <s v="52, 58"/>
    <x v="0"/>
    <m/>
    <x v="2"/>
    <s v="Requestor, Masterfiles"/>
    <m/>
    <s v="Multiple rows possible. because of languages;_x000a_dependent on &quot;pringles&quot;=yes"/>
    <s v="1127 dependent on 1009 Product Type='Rainbow' then RNBW must be at end of Material Description (for DataSync compliancy); max 40; dependent on 1304 &quot;is this non sellable FERT WIP&quot; = YES, then add WIP to end"/>
    <s v="code rules"/>
    <s v="current"/>
    <n v="50"/>
    <s v="BB"/>
    <s v="WK2"/>
    <d v="2025-09-22T00:00:00"/>
    <n v="7"/>
    <x v="0"/>
    <n v="0"/>
  </r>
  <r>
    <n v="1128"/>
    <s v="LIM - Forecast Approval"/>
    <x v="22"/>
    <x v="130"/>
    <n v="0"/>
    <s v="52, 58"/>
    <x v="0"/>
    <m/>
    <x v="2"/>
    <m/>
    <m/>
    <m/>
    <s v="no known BR based on data entered"/>
    <s v="code rules"/>
    <s v="current"/>
    <n v="50"/>
    <s v="BB"/>
    <s v="WK2"/>
    <d v="2025-09-22T00:00:00"/>
    <m/>
    <x v="0"/>
    <n v="0"/>
  </r>
  <r>
    <n v="1129"/>
    <s v="LIM - Forecast Approval"/>
    <x v="22"/>
    <x v="131"/>
    <n v="0"/>
    <n v="52"/>
    <x v="42"/>
    <m/>
    <x v="2"/>
    <m/>
    <m/>
    <m/>
    <s v="1129 dependent on 1029; run button"/>
    <s v="code rules"/>
    <s v="current"/>
    <n v="50"/>
    <s v="BB"/>
    <s v="WK2"/>
    <d v="2025-09-22T00:00:00"/>
    <m/>
    <x v="1"/>
    <n v="0"/>
  </r>
  <r>
    <n v="1130"/>
    <s v="LIM - Forecast Approval"/>
    <x v="22"/>
    <x v="132"/>
    <n v="1"/>
    <s v="52, 58, 81"/>
    <x v="8"/>
    <m/>
    <x v="2"/>
    <s v="Masterfiles"/>
    <m/>
    <m/>
    <s v="1130 predecessor to 1131; 40 max"/>
    <s v="code rules"/>
    <s v="current"/>
    <n v="50"/>
    <s v="BB"/>
    <s v="WK2"/>
    <d v="2025-09-22T00:00:00"/>
    <m/>
    <x v="3"/>
    <n v="1"/>
  </r>
  <r>
    <n v="1131"/>
    <s v="LIM - Forecast Approval"/>
    <x v="22"/>
    <x v="133"/>
    <n v="0"/>
    <s v="52, 58"/>
    <x v="0"/>
    <m/>
    <x v="2"/>
    <m/>
    <m/>
    <m/>
    <s v="1131 dependent on: Suggested Material Desc (1130)"/>
    <s v="code rules"/>
    <s v="current"/>
    <n v="50"/>
    <s v="BB"/>
    <s v="WK2"/>
    <d v="2025-09-22T00:00:00"/>
    <m/>
    <x v="0"/>
    <n v="0"/>
  </r>
  <r>
    <n v="1132"/>
    <s v="LIM - Forecast Approval"/>
    <x v="23"/>
    <x v="134"/>
    <n v="1"/>
    <s v="52, 105"/>
    <x v="28"/>
    <m/>
    <x v="2"/>
    <s v="CA Finance Tax"/>
    <m/>
    <m/>
    <s v="Tech name: [Departure_country__country_from_which_the_goods_are_sent] (2 rules set this value, but rules are not on the field itself)"/>
    <s v="pending"/>
    <s v="current"/>
    <n v="50"/>
    <s v="BB"/>
    <s v="WK2"/>
    <d v="2025-09-22T00:00:00"/>
    <m/>
    <x v="1"/>
    <n v="0.5"/>
  </r>
  <r>
    <n v="1133"/>
    <s v="LIM - Forecast Approval"/>
    <x v="23"/>
    <x v="135"/>
    <n v="0"/>
    <s v="52, 105"/>
    <x v="0"/>
    <m/>
    <x v="2"/>
    <s v="CA Finance Tax"/>
    <m/>
    <m/>
    <s v="Tech name: [Tax_category__sales_tax__federal_sales_tax_____] (1 rule) (2 other rules set this value, but they are not on the field itself)"/>
    <s v="pending"/>
    <s v="current"/>
    <n v="50"/>
    <s v="BB"/>
    <s v="WK2"/>
    <d v="2025-09-22T00:00:00"/>
    <m/>
    <x v="0"/>
    <n v="0"/>
  </r>
  <r>
    <n v="1134"/>
    <s v="LIM - Forecast Approval"/>
    <x v="23"/>
    <x v="136"/>
    <n v="1"/>
    <s v="52, 105"/>
    <x v="43"/>
    <m/>
    <x v="2"/>
    <s v="CA Finance Tax"/>
    <m/>
    <m/>
    <s v="Tech name: [Tax_classification_material] (5 rules set this value, but rules are not on the field itself)"/>
    <s v="pending"/>
    <s v="current"/>
    <n v="50"/>
    <s v="BB"/>
    <s v="WK2"/>
    <d v="2025-09-22T00:00:00"/>
    <m/>
    <x v="1"/>
    <n v="0.5"/>
  </r>
  <r>
    <n v="1135"/>
    <s v="Masterfiles - Get Codes Forecast"/>
    <x v="24"/>
    <x v="137"/>
    <n v="0"/>
    <n v="59"/>
    <x v="42"/>
    <m/>
    <x v="1"/>
    <m/>
    <m/>
    <s v="Masterfiles setup of Forecast sku"/>
    <m/>
    <s v="upcoming"/>
    <s v="future"/>
    <n v="60"/>
    <s v="GG"/>
    <s v="WK5"/>
    <d v="2025-10-13T00:00:00"/>
    <m/>
    <x v="1"/>
    <n v="0"/>
  </r>
  <r>
    <n v="1136"/>
    <s v="Masterfiles - Get Codes Forecast"/>
    <x v="24"/>
    <x v="138"/>
    <n v="0"/>
    <n v="60"/>
    <x v="44"/>
    <m/>
    <x v="1"/>
    <m/>
    <m/>
    <m/>
    <m/>
    <s v="upcoming"/>
    <s v="future"/>
    <n v="60"/>
    <s v="GG"/>
    <s v="WK5"/>
    <d v="2025-10-13T00:00:00"/>
    <m/>
    <x v="1"/>
    <n v="0"/>
  </r>
  <r>
    <n v="1137"/>
    <s v="LIM - Launch"/>
    <x v="2"/>
    <x v="139"/>
    <n v="1"/>
    <n v="62"/>
    <x v="7"/>
    <m/>
    <x v="2"/>
    <m/>
    <m/>
    <s v="if yes, there will be a BOM requirement in the form, and the Material Group will be set to REPACK."/>
    <s v="1137 [VAS] predecessor for 1176-1192"/>
    <s v="pending"/>
    <s v="early"/>
    <n v="70"/>
    <s v="DD"/>
    <s v="WK3"/>
    <d v="2025-09-29T00:00:00"/>
    <m/>
    <x v="3"/>
    <n v="1"/>
  </r>
  <r>
    <n v="1138"/>
    <s v="LIM Launch - Update"/>
    <x v="13"/>
    <x v="140"/>
    <n v="1"/>
    <n v="63"/>
    <x v="8"/>
    <m/>
    <x v="2"/>
    <m/>
    <m/>
    <m/>
    <m/>
    <s v="upcoming"/>
    <s v="future"/>
    <n v="80"/>
    <s v="DD"/>
    <s v="WK3"/>
    <d v="2025-09-29T00:00:00"/>
    <m/>
    <x v="1"/>
    <n v="0.5"/>
  </r>
  <r>
    <n v="1139"/>
    <s v="ZNIF Dashboard - view only"/>
    <x v="25"/>
    <x v="141"/>
    <n v="0"/>
    <n v="64"/>
    <x v="0"/>
    <m/>
    <x v="2"/>
    <m/>
    <m/>
    <s v="statuses of the workflow (X, R, C…)"/>
    <m/>
    <s v="upcoming"/>
    <s v="future"/>
    <n v="90"/>
    <s v="II"/>
    <s v="WK5"/>
    <d v="2025-10-13T00:00:00"/>
    <m/>
    <x v="0"/>
    <n v="0"/>
  </r>
  <r>
    <n v="1140"/>
    <s v="Requestor Update"/>
    <x v="18"/>
    <x v="142"/>
    <n v="1"/>
    <n v="74"/>
    <x v="8"/>
    <m/>
    <x v="0"/>
    <m/>
    <m/>
    <m/>
    <s v="no known BR based on data entered"/>
    <s v="code rules"/>
    <s v="current"/>
    <n v="100"/>
    <s v="CC"/>
    <s v="WK2"/>
    <d v="2025-09-22T00:00:00"/>
    <n v="5"/>
    <x v="1"/>
    <n v="0.5"/>
  </r>
  <r>
    <n v="1141"/>
    <s v="Requestor Update"/>
    <x v="18"/>
    <x v="143"/>
    <n v="1"/>
    <n v="74"/>
    <x v="28"/>
    <m/>
    <x v="0"/>
    <m/>
    <m/>
    <m/>
    <s v="no known BR based on data entered"/>
    <s v="code rules"/>
    <s v="current"/>
    <n v="100"/>
    <s v="CC"/>
    <s v="WK2"/>
    <d v="2025-09-22T00:00:00"/>
    <n v="5"/>
    <x v="1"/>
    <n v="0.5"/>
  </r>
  <r>
    <n v="1142"/>
    <s v="Requestor Update"/>
    <x v="18"/>
    <x v="144"/>
    <n v="1"/>
    <n v="74"/>
    <x v="45"/>
    <m/>
    <x v="0"/>
    <m/>
    <m/>
    <m/>
    <s v="no known BR based on data entered"/>
    <s v="code rules"/>
    <s v="current"/>
    <n v="100"/>
    <s v="CC"/>
    <s v="WK2"/>
    <d v="2025-09-22T00:00:00"/>
    <n v="5"/>
    <x v="1"/>
    <n v="0.5"/>
  </r>
  <r>
    <n v="1143"/>
    <s v="Requestor Update"/>
    <x v="18"/>
    <x v="145"/>
    <n v="0"/>
    <n v="74"/>
    <x v="46"/>
    <m/>
    <x v="0"/>
    <m/>
    <m/>
    <m/>
    <s v="populated based on the Brand"/>
    <s v="code rules"/>
    <s v="current"/>
    <n v="100"/>
    <s v="CC"/>
    <s v="WK2"/>
    <d v="2025-09-22T00:00:00"/>
    <n v="5"/>
    <x v="0"/>
    <n v="0"/>
  </r>
  <r>
    <n v="1144"/>
    <s v="Requestor Update"/>
    <x v="18"/>
    <x v="146"/>
    <n v="1"/>
    <n v="74"/>
    <x v="47"/>
    <m/>
    <x v="0"/>
    <m/>
    <m/>
    <s v="Canada only"/>
    <s v="if &quot;Product Country&quot; is 'CA - Canada' then &quot;1st Arrival Date&quot; must be a Thursday; _x000a_Tech name: [First_Arrival_Date] - set first_ship_date=first_arrival_date-11; set pricing_validity_date=first_arrival_date-11; "/>
    <s v="pending"/>
    <s v="current"/>
    <n v="100"/>
    <s v="CC"/>
    <s v="WK2"/>
    <d v="2025-09-22T00:00:00"/>
    <n v="5"/>
    <x v="1"/>
    <n v="0.5"/>
  </r>
  <r>
    <n v="1145"/>
    <s v="Requestor Update"/>
    <x v="18"/>
    <x v="147"/>
    <n v="0"/>
    <n v="74"/>
    <x v="0"/>
    <m/>
    <x v="0"/>
    <m/>
    <m/>
    <s v="Canada only"/>
    <s v="has to be Thursday and for CANADA"/>
    <s v="code rules"/>
    <s v="current"/>
    <n v="100"/>
    <s v="CC"/>
    <s v="WK2"/>
    <d v="2025-09-22T00:00:00"/>
    <n v="5"/>
    <x v="0"/>
    <n v="0"/>
  </r>
  <r>
    <n v="1146"/>
    <s v="Requestor Update"/>
    <x v="18"/>
    <x v="148"/>
    <n v="1"/>
    <s v="74, 80"/>
    <x v="47"/>
    <m/>
    <x v="0"/>
    <s v="LIM"/>
    <m/>
    <s v="Marie's notes: For Canada, First Arrival Date = Thursday; First Ship &amp; Pricing Dates are Sunday Prior (First Arrival - 11 days)"/>
    <s v="Tech name: [First_Ship_Date] - _x000a_if Country=US and first_ship_date=Monday and Forecast=Yes, then set &quot;Pricing Validity Date&quot; (1149)=first_ship_date-1; {what to do if Forecast=No??};_x000a_if Country=CA, set &quot;Pricing Validity Date&quot; (1149)=first_arrival_date-11;_x000a_"/>
    <s v="pending"/>
    <s v="current"/>
    <n v="100"/>
    <s v="CC"/>
    <s v="WK2"/>
    <d v="2025-09-22T00:00:00"/>
    <n v="5"/>
    <x v="1"/>
    <n v="0.5"/>
  </r>
  <r>
    <n v="1147"/>
    <s v="Requestor Update"/>
    <x v="18"/>
    <x v="149"/>
    <n v="0"/>
    <n v="74"/>
    <x v="0"/>
    <m/>
    <x v="0"/>
    <m/>
    <m/>
    <m/>
    <s v="has to be Monday and for US"/>
    <s v="code rules"/>
    <s v="current"/>
    <n v="100"/>
    <s v="CC"/>
    <s v="WK2"/>
    <d v="2025-09-22T00:00:00"/>
    <n v="5"/>
    <x v="0"/>
    <n v="0"/>
  </r>
  <r>
    <n v="1148"/>
    <s v="Requestor Update"/>
    <x v="18"/>
    <x v="150"/>
    <n v="1"/>
    <n v="74"/>
    <x v="48"/>
    <m/>
    <x v="0"/>
    <m/>
    <m/>
    <m/>
    <s v="no known BR based on data entered"/>
    <s v="code rules"/>
    <s v="current"/>
    <n v="100"/>
    <s v="CC"/>
    <s v="WK2"/>
    <d v="2025-09-22T00:00:00"/>
    <n v="5"/>
    <x v="1"/>
    <n v="0.5"/>
  </r>
  <r>
    <n v="1149"/>
    <s v="Requestor Update"/>
    <x v="18"/>
    <x v="151"/>
    <n v="0"/>
    <n v="74"/>
    <x v="0"/>
    <m/>
    <x v="0"/>
    <m/>
    <m/>
    <m/>
    <s v="rule for formatting the date"/>
    <s v="pending"/>
    <s v="current"/>
    <n v="100"/>
    <s v="CC"/>
    <s v="WK2"/>
    <d v="2025-09-22T00:00:00"/>
    <n v="5"/>
    <x v="0"/>
    <n v="0"/>
  </r>
  <r>
    <n v="1150"/>
    <s v="Requestor Update"/>
    <x v="18"/>
    <x v="152"/>
    <n v="1"/>
    <s v="74, 80"/>
    <x v="49"/>
    <m/>
    <x v="0"/>
    <m/>
    <m/>
    <s v="Marie: field is owned by AFH (Speciality); default to GROCERY if it is not AFH; except might be for DISPLAY where it might be SHIPPER"/>
    <s v="5 rules"/>
    <s v="pending"/>
    <s v="current"/>
    <n v="100"/>
    <s v="CC"/>
    <s v="WK2"/>
    <d v="2025-09-22T00:00:00"/>
    <n v="5"/>
    <x v="1"/>
    <n v="0.5"/>
  </r>
  <r>
    <n v="1151"/>
    <s v="Requestor Update"/>
    <x v="18"/>
    <x v="153"/>
    <n v="1"/>
    <n v="74"/>
    <x v="50"/>
    <m/>
    <x v="0"/>
    <m/>
    <m/>
    <s v="EDI references this to find which item is considered the Base Material. If items share package UPC’s, there can only be one that is considered the Base Material. The Planning Variant field is where thisis indicated within SAP. Other items(children sku’s) that use the same package UPC as the Base (most often seen with Repack/RCP’s and Promo Codes), will use National, Customer or Limited. Therefore, if yoursetup type IS NOT Repack/RCP that is using an existing package UPC, your Planning Variantshould always be Base Material. If yoursetup type IS a Repack/RCP that is using an existing package UPC, your Planning Variant needs to be National, Customer or Limited. In addition, if you are setting up a Repack/RCP that is using an existing package UPC, there may be special setup required if your customer is going to order by the package UPC. Click here for more information, and list of customers that order by the package UPC."/>
    <s v="EDI uses it to find the BASE MATERIAL; {Customers usually order with a CASE CODE, which is good.  But if they order with a PACKAGE CODE, EDI uses the XREF table to reference the proper CASE CODE related to the Customer for the PACKAGE CODE they are sending (like Dollar General has its own ~EDI PARTNER #)};_x000a_1151 dependent on FALB (1304)=yes then can't be BASE MATERIAL; 4 rules, but doesn't seem to include the FALB one, so make sure it's included"/>
    <s v="pending"/>
    <s v="current"/>
    <n v="100"/>
    <s v="CC"/>
    <s v="WK2"/>
    <d v="2025-09-22T00:00:00"/>
    <n v="5"/>
    <x v="1"/>
    <n v="0.5"/>
  </r>
  <r>
    <n v="1152"/>
    <s v="Requestor Update"/>
    <x v="18"/>
    <x v="154"/>
    <n v="1"/>
    <n v="74"/>
    <x v="51"/>
    <m/>
    <x v="0"/>
    <m/>
    <m/>
    <m/>
    <s v="4 rules"/>
    <s v="pending"/>
    <s v="current"/>
    <n v="100"/>
    <s v="CC"/>
    <s v="WK2"/>
    <d v="2025-09-22T00:00:00"/>
    <n v="5"/>
    <x v="1"/>
    <n v="0.5"/>
  </r>
  <r>
    <n v="1306"/>
    <s v="Requestor Update"/>
    <x v="18"/>
    <x v="155"/>
    <n v="1"/>
    <n v="0"/>
    <x v="47"/>
    <s v="conditional"/>
    <x v="0"/>
    <m/>
    <m/>
    <s v="9/25/25 new field identified"/>
    <s v="if SKU Type=LIMITED then opens, then Remarket Date &amp; Stop Ship date are auto calculated; otherwise locked"/>
    <s v="pending"/>
    <s v="current"/>
    <m/>
    <m/>
    <m/>
    <m/>
    <m/>
    <x v="3"/>
    <n v="1"/>
  </r>
  <r>
    <n v="1153"/>
    <s v="Requestor Update"/>
    <x v="18"/>
    <x v="156"/>
    <n v="1"/>
    <n v="74"/>
    <x v="47"/>
    <m/>
    <x v="0"/>
    <m/>
    <m/>
    <s v="dependent on SKU TYPE"/>
    <s v="2 rules - probably a month afterwards (28 days after Promo End Date)"/>
    <s v="pending"/>
    <s v="current"/>
    <n v="100"/>
    <s v="CC"/>
    <s v="WK2"/>
    <d v="2025-09-22T00:00:00"/>
    <n v="5"/>
    <x v="1"/>
    <n v="0.5"/>
  </r>
  <r>
    <n v="1154"/>
    <s v="Requestor Update"/>
    <x v="18"/>
    <x v="157"/>
    <n v="0"/>
    <n v="74"/>
    <x v="0"/>
    <m/>
    <x v="0"/>
    <m/>
    <m/>
    <m/>
    <s v="rule for formatting the date, check br doc; 14 days after Promo End Date"/>
    <s v="pending"/>
    <s v="current"/>
    <n v="100"/>
    <s v="CC"/>
    <s v="WK2"/>
    <d v="2025-09-22T00:00:00"/>
    <n v="5"/>
    <x v="0"/>
    <n v="0"/>
  </r>
  <r>
    <n v="1156"/>
    <s v="Requestor Update"/>
    <x v="18"/>
    <x v="158"/>
    <n v="1"/>
    <n v="74"/>
    <x v="7"/>
    <m/>
    <x v="0"/>
    <m/>
    <m/>
    <m/>
    <s v="2 rules; opens next 2 fields"/>
    <s v="pending"/>
    <s v="current"/>
    <n v="100"/>
    <s v="CC"/>
    <s v="WK2"/>
    <d v="2025-09-22T00:00:00"/>
    <n v="5"/>
    <x v="1"/>
    <n v="0.5"/>
  </r>
  <r>
    <n v="1157"/>
    <s v="Requestor Update"/>
    <x v="18"/>
    <x v="159"/>
    <n v="1"/>
    <n v="74"/>
    <x v="8"/>
    <m/>
    <x v="0"/>
    <m/>
    <m/>
    <s v="dependent on IS THIS A SKU TO SKU TRANSITION"/>
    <s v="no known BR based on data entered"/>
    <s v="code rules"/>
    <s v="current"/>
    <n v="100"/>
    <s v="CC"/>
    <s v="WK2"/>
    <d v="2025-09-22T00:00:00"/>
    <n v="5"/>
    <x v="1"/>
    <n v="0.5"/>
  </r>
  <r>
    <n v="1158"/>
    <s v="Requestor Update"/>
    <x v="18"/>
    <x v="160"/>
    <n v="1"/>
    <n v="74"/>
    <x v="47"/>
    <m/>
    <x v="0"/>
    <m/>
    <m/>
    <s v="dependent on IS THIS A SKU TO SKU TRANSITION"/>
    <s v="no known BR based on data entered"/>
    <s v="code rules"/>
    <s v="current"/>
    <n v="100"/>
    <s v="CC"/>
    <s v="WK2"/>
    <d v="2025-09-22T00:00:00"/>
    <n v="5"/>
    <x v="1"/>
    <n v="0.5"/>
  </r>
  <r>
    <n v="1159"/>
    <s v="Requestor Update"/>
    <x v="18"/>
    <x v="161"/>
    <n v="1"/>
    <n v="74"/>
    <x v="52"/>
    <m/>
    <x v="0"/>
    <m/>
    <m/>
    <m/>
    <s v="no known BR based on data entered"/>
    <s v="code rules"/>
    <s v="current"/>
    <n v="100"/>
    <s v="CC"/>
    <s v="WK2"/>
    <d v="2025-09-22T00:00:00"/>
    <n v="5"/>
    <x v="1"/>
    <n v="0.5"/>
  </r>
  <r>
    <n v="1160"/>
    <s v="Requestor Update"/>
    <x v="18"/>
    <x v="162"/>
    <n v="1"/>
    <n v="74"/>
    <x v="7"/>
    <m/>
    <x v="0"/>
    <m/>
    <m/>
    <m/>
    <s v="no known BR based on data entered; there may be previous rule to open this only when Product Type is SINGLE SERVE and SS REPACK"/>
    <s v="code rules"/>
    <s v="current"/>
    <n v="100"/>
    <s v="CC"/>
    <s v="WK2"/>
    <d v="2025-09-22T00:00:00"/>
    <n v="5"/>
    <x v="1"/>
    <n v="0.5"/>
  </r>
  <r>
    <n v="1307"/>
    <s v="Requestor Update"/>
    <x v="18"/>
    <x v="163"/>
    <n v="1"/>
    <n v="0"/>
    <x v="53"/>
    <m/>
    <x v="0"/>
    <m/>
    <m/>
    <s v="9/25/25 new field identified"/>
    <s v="Product Type=Club, Club Pack; =Single Serve, Single Serve; =anything else, Retail;;; find br rules"/>
    <s v="pending"/>
    <s v="current"/>
    <m/>
    <m/>
    <m/>
    <m/>
    <m/>
    <x v="3"/>
    <n v="1"/>
  </r>
  <r>
    <n v="1161"/>
    <s v="Requestor Update"/>
    <x v="18"/>
    <x v="164"/>
    <n v="1"/>
    <s v="74, 88"/>
    <x v="8"/>
    <m/>
    <x v="0"/>
    <s v="R&amp;D Quality"/>
    <m/>
    <m/>
    <s v="5 rules - on R&amp;D QUALITY; doesn't appear anymore in DEV for REQ UPD;  Marie-if DISPLAY, then may be open and required on Req Upd; otherwise this would be open for R&amp;D QUALITY"/>
    <s v="pending"/>
    <s v="current"/>
    <n v="100"/>
    <s v="CC"/>
    <s v="WK2"/>
    <d v="2025-09-22T00:00:00"/>
    <n v="5"/>
    <x v="1"/>
    <n v="0.5"/>
  </r>
  <r>
    <n v="1162"/>
    <s v="Requestor Update"/>
    <x v="20"/>
    <x v="165"/>
    <n v="1"/>
    <s v="75, 125"/>
    <x v="7"/>
    <m/>
    <x v="0"/>
    <s v="Masterfiles"/>
    <m/>
    <m/>
    <s v="1162 dependent on 1012 DTC"/>
    <s v="upcoming"/>
    <s v="future"/>
    <n v="100"/>
    <s v="CC"/>
    <s v="WK3"/>
    <d v="2025-09-29T00:00:00"/>
    <n v="5"/>
    <x v="3"/>
    <n v="1"/>
  </r>
  <r>
    <n v="1163"/>
    <s v="Requestor Update"/>
    <x v="26"/>
    <x v="166"/>
    <n v="0"/>
    <s v="76, 86"/>
    <x v="0"/>
    <m/>
    <x v="0"/>
    <m/>
    <m/>
    <m/>
    <m/>
    <s v="upcoming"/>
    <s v="future"/>
    <n v="100"/>
    <s v="CC"/>
    <s v="WK3"/>
    <d v="2025-09-29T00:00:00"/>
    <n v="5"/>
    <x v="0"/>
    <n v="0"/>
  </r>
  <r>
    <n v="1164"/>
    <s v="Requestor Update"/>
    <x v="26"/>
    <x v="167"/>
    <n v="0"/>
    <s v="76, 86"/>
    <x v="0"/>
    <m/>
    <x v="0"/>
    <m/>
    <m/>
    <m/>
    <m/>
    <s v="upcoming"/>
    <s v="future"/>
    <n v="100"/>
    <s v="CC"/>
    <s v="WK3"/>
    <d v="2025-09-29T00:00:00"/>
    <n v="5"/>
    <x v="0"/>
    <n v="0"/>
  </r>
  <r>
    <n v="1165"/>
    <s v="Requestor Update"/>
    <x v="26"/>
    <x v="168"/>
    <n v="0"/>
    <s v="76, 86"/>
    <x v="0"/>
    <m/>
    <x v="0"/>
    <m/>
    <m/>
    <m/>
    <m/>
    <s v="upcoming"/>
    <s v="future"/>
    <n v="100"/>
    <s v="CC"/>
    <s v="WK3"/>
    <d v="2025-09-29T00:00:00"/>
    <n v="5"/>
    <x v="0"/>
    <n v="0"/>
  </r>
  <r>
    <n v="1166"/>
    <s v="Requestor Update"/>
    <x v="27"/>
    <x v="169"/>
    <n v="1"/>
    <n v="76"/>
    <x v="54"/>
    <m/>
    <x v="0"/>
    <m/>
    <m/>
    <m/>
    <s v="1166 dependent on 1026"/>
    <s v="pending"/>
    <s v="early"/>
    <n v="100"/>
    <s v="CC"/>
    <s v="WK3"/>
    <d v="2025-09-29T00:00:00"/>
    <n v="6"/>
    <x v="3"/>
    <n v="1"/>
  </r>
  <r>
    <n v="1167"/>
    <s v="Requestor Update"/>
    <x v="28"/>
    <x v="170"/>
    <n v="1"/>
    <n v="76"/>
    <x v="55"/>
    <m/>
    <x v="0"/>
    <m/>
    <m/>
    <m/>
    <m/>
    <s v="upcoming"/>
    <s v="future"/>
    <n v="100"/>
    <s v="CC"/>
    <s v="WK3"/>
    <d v="2025-09-29T00:00:00"/>
    <n v="6"/>
    <x v="1"/>
    <n v="0.5"/>
  </r>
  <r>
    <n v="1168"/>
    <s v="Requestor Update"/>
    <x v="28"/>
    <x v="171"/>
    <n v="0"/>
    <n v="76"/>
    <x v="55"/>
    <m/>
    <x v="0"/>
    <m/>
    <m/>
    <m/>
    <m/>
    <s v="upcoming"/>
    <s v="future"/>
    <n v="100"/>
    <s v="CC"/>
    <s v="WK3"/>
    <d v="2025-09-29T00:00:00"/>
    <n v="6"/>
    <x v="0"/>
    <n v="0"/>
  </r>
  <r>
    <n v="1169"/>
    <s v="Requestor Update"/>
    <x v="28"/>
    <x v="172"/>
    <n v="0"/>
    <n v="76"/>
    <x v="56"/>
    <m/>
    <x v="0"/>
    <m/>
    <m/>
    <m/>
    <m/>
    <s v="upcoming"/>
    <s v="future"/>
    <n v="100"/>
    <s v="CC"/>
    <s v="WK3"/>
    <d v="2025-09-29T00:00:00"/>
    <n v="6"/>
    <x v="0"/>
    <n v="0"/>
  </r>
  <r>
    <n v="1170"/>
    <s v="Requestor Update"/>
    <x v="28"/>
    <x v="173"/>
    <n v="1"/>
    <n v="76"/>
    <x v="57"/>
    <m/>
    <x v="0"/>
    <m/>
    <m/>
    <m/>
    <m/>
    <s v="upcoming"/>
    <s v="future"/>
    <n v="100"/>
    <s v="CC"/>
    <s v="WK3"/>
    <d v="2025-09-29T00:00:00"/>
    <n v="6"/>
    <x v="1"/>
    <n v="0.5"/>
  </r>
  <r>
    <n v="1171"/>
    <s v="Requestor Update"/>
    <x v="28"/>
    <x v="174"/>
    <n v="0"/>
    <n v="76"/>
    <x v="58"/>
    <m/>
    <x v="0"/>
    <m/>
    <m/>
    <m/>
    <m/>
    <s v="upcoming"/>
    <s v="future"/>
    <n v="100"/>
    <s v="CC"/>
    <s v="WK3"/>
    <d v="2025-09-29T00:00:00"/>
    <n v="6"/>
    <x v="0"/>
    <n v="0"/>
  </r>
  <r>
    <n v="1172"/>
    <s v="Requestor Update"/>
    <x v="28"/>
    <x v="175"/>
    <n v="0"/>
    <n v="76"/>
    <x v="58"/>
    <m/>
    <x v="0"/>
    <m/>
    <m/>
    <m/>
    <m/>
    <s v="upcoming"/>
    <s v="future"/>
    <n v="100"/>
    <s v="CC"/>
    <s v="WK3"/>
    <d v="2025-09-29T00:00:00"/>
    <n v="6"/>
    <x v="0"/>
    <n v="0"/>
  </r>
  <r>
    <n v="1173"/>
    <s v="Requestor Update"/>
    <x v="29"/>
    <x v="176"/>
    <n v="1"/>
    <s v="76, 81"/>
    <x v="8"/>
    <m/>
    <x v="0"/>
    <m/>
    <m/>
    <m/>
    <s v="1173 dependent on 1099 required"/>
    <s v="upcoming"/>
    <s v="future"/>
    <n v="100"/>
    <s v="CC"/>
    <s v="WK3"/>
    <d v="2025-09-29T00:00:00"/>
    <n v="6"/>
    <x v="1"/>
    <n v="0.5"/>
  </r>
  <r>
    <n v="1174"/>
    <s v="Requestor Update"/>
    <x v="29"/>
    <x v="177"/>
    <n v="1"/>
    <s v="76, 81"/>
    <x v="59"/>
    <m/>
    <x v="0"/>
    <m/>
    <m/>
    <m/>
    <m/>
    <s v="upcoming"/>
    <s v="future"/>
    <n v="100"/>
    <s v="CC"/>
    <s v="WK3"/>
    <d v="2025-09-29T00:00:00"/>
    <n v="6"/>
    <x v="1"/>
    <n v="0.5"/>
  </r>
  <r>
    <n v="1175"/>
    <s v="Requestor Update"/>
    <x v="29"/>
    <x v="178"/>
    <n v="1"/>
    <s v="76, 81"/>
    <x v="8"/>
    <m/>
    <x v="0"/>
    <m/>
    <m/>
    <m/>
    <s v="1175 dependent on &quot;pringles&quot; (1011)=yes then required, and used for material descr with country"/>
    <s v="pending"/>
    <s v="early"/>
    <n v="100"/>
    <s v="CC"/>
    <s v="WK3"/>
    <d v="2025-09-29T00:00:00"/>
    <n v="6"/>
    <x v="1"/>
    <n v="0.5"/>
  </r>
  <r>
    <n v="1176"/>
    <s v="Requestor Update"/>
    <x v="30"/>
    <x v="179"/>
    <n v="1"/>
    <s v="77, 124"/>
    <x v="8"/>
    <m/>
    <x v="0"/>
    <s v="Masterfiles"/>
    <m/>
    <m/>
    <s v="1187 dependent on 1137 [VAS]"/>
    <s v="pending"/>
    <s v="early"/>
    <n v="100"/>
    <s v="CC"/>
    <s v="WK3"/>
    <d v="2025-09-29T00:00:00"/>
    <n v="7"/>
    <x v="1"/>
    <n v="0.5"/>
  </r>
  <r>
    <n v="1177"/>
    <s v="Requestor Update"/>
    <x v="30"/>
    <x v="180"/>
    <n v="0"/>
    <s v="77, 124"/>
    <x v="0"/>
    <m/>
    <x v="2"/>
    <s v="Requestor, Masterfiles"/>
    <m/>
    <m/>
    <s v="1187 dependent on 1137 [VAS]"/>
    <s v="pending"/>
    <s v="early"/>
    <n v="100"/>
    <s v="CC"/>
    <s v="WK3"/>
    <d v="2025-09-29T00:00:00"/>
    <n v="7"/>
    <x v="0"/>
    <n v="0"/>
  </r>
  <r>
    <n v="1178"/>
    <s v="Requestor Update"/>
    <x v="30"/>
    <x v="181"/>
    <n v="1"/>
    <s v="77, 124"/>
    <x v="8"/>
    <m/>
    <x v="0"/>
    <s v="Masterfiles"/>
    <m/>
    <m/>
    <s v="1187 dependent on 1137 [VAS]"/>
    <s v="pending"/>
    <s v="early"/>
    <n v="100"/>
    <s v="CC"/>
    <s v="WK3"/>
    <d v="2025-09-29T00:00:00"/>
    <n v="7"/>
    <x v="1"/>
    <n v="0.5"/>
  </r>
  <r>
    <n v="1179"/>
    <s v="Requestor Update"/>
    <x v="30"/>
    <x v="182"/>
    <n v="1"/>
    <s v="77, 124"/>
    <x v="8"/>
    <m/>
    <x v="0"/>
    <s v="Masterfiles"/>
    <m/>
    <m/>
    <s v="1187 dependent on 1137 [VAS]"/>
    <s v="pending"/>
    <s v="early"/>
    <n v="100"/>
    <s v="CC"/>
    <s v="WK3"/>
    <d v="2025-09-29T00:00:00"/>
    <n v="7"/>
    <x v="1"/>
    <n v="0.5"/>
  </r>
  <r>
    <n v="1180"/>
    <s v="Requestor Update"/>
    <x v="30"/>
    <x v="183"/>
    <n v="1"/>
    <s v="77, 124"/>
    <x v="8"/>
    <m/>
    <x v="0"/>
    <s v="Masterfiles"/>
    <m/>
    <m/>
    <s v="1187 dependent on 1137 [VAS]"/>
    <s v="pending"/>
    <s v="early"/>
    <n v="100"/>
    <s v="CC"/>
    <s v="WK3"/>
    <d v="2025-09-29T00:00:00"/>
    <n v="7"/>
    <x v="1"/>
    <n v="0.5"/>
  </r>
  <r>
    <n v="1181"/>
    <s v="Requestor Update"/>
    <x v="30"/>
    <x v="184"/>
    <n v="1"/>
    <s v="77, 124"/>
    <x v="28"/>
    <m/>
    <x v="0"/>
    <s v="Masterfiles"/>
    <m/>
    <m/>
    <s v="1187 dependent on 1137 [VAS]"/>
    <s v="pending"/>
    <s v="early"/>
    <n v="100"/>
    <s v="CC"/>
    <s v="WK3"/>
    <d v="2025-09-29T00:00:00"/>
    <n v="7"/>
    <x v="1"/>
    <n v="0.5"/>
  </r>
  <r>
    <n v="1182"/>
    <s v="Requestor Update"/>
    <x v="30"/>
    <x v="185"/>
    <n v="1"/>
    <s v="77, 124"/>
    <x v="8"/>
    <m/>
    <x v="0"/>
    <s v="Masterfiles"/>
    <m/>
    <m/>
    <s v="1187 dependent on 1137 [VAS]"/>
    <s v="pending"/>
    <s v="early"/>
    <n v="100"/>
    <s v="CC"/>
    <s v="WK3"/>
    <d v="2025-09-29T00:00:00"/>
    <n v="7"/>
    <x v="1"/>
    <n v="0.5"/>
  </r>
  <r>
    <n v="1183"/>
    <s v="Requestor Update"/>
    <x v="30"/>
    <x v="186"/>
    <n v="1"/>
    <s v="77, 124"/>
    <x v="28"/>
    <m/>
    <x v="0"/>
    <s v="Masterfiles"/>
    <m/>
    <m/>
    <s v="1187 dependent on 1137 [VAS]"/>
    <s v="pending"/>
    <s v="early"/>
    <n v="100"/>
    <s v="CC"/>
    <s v="WK3"/>
    <d v="2025-09-29T00:00:00"/>
    <n v="7"/>
    <x v="1"/>
    <n v="0.5"/>
  </r>
  <r>
    <n v="1184"/>
    <s v="Requestor Update"/>
    <x v="30"/>
    <x v="187"/>
    <n v="1"/>
    <s v="77, 124"/>
    <x v="8"/>
    <m/>
    <x v="0"/>
    <s v="Masterfiles"/>
    <m/>
    <m/>
    <s v="1187 dependent on 1137 [VAS]"/>
    <s v="pending"/>
    <s v="early"/>
    <n v="100"/>
    <s v="CC"/>
    <s v="WK3"/>
    <d v="2025-09-29T00:00:00"/>
    <n v="7"/>
    <x v="1"/>
    <n v="0.5"/>
  </r>
  <r>
    <n v="1185"/>
    <s v="Requestor Update"/>
    <x v="30"/>
    <x v="188"/>
    <n v="1"/>
    <s v="77, 124"/>
    <x v="8"/>
    <m/>
    <x v="0"/>
    <s v="Masterfiles"/>
    <m/>
    <m/>
    <s v="1187 dependent on 1137 [VAS]"/>
    <s v="pending"/>
    <s v="early"/>
    <n v="100"/>
    <s v="CC"/>
    <s v="WK3"/>
    <d v="2025-09-29T00:00:00"/>
    <n v="7"/>
    <x v="1"/>
    <n v="0.5"/>
  </r>
  <r>
    <n v="1186"/>
    <s v="Requestor Update"/>
    <x v="30"/>
    <x v="189"/>
    <n v="1"/>
    <s v="77, 124"/>
    <x v="8"/>
    <m/>
    <x v="0"/>
    <s v="Masterfiles"/>
    <m/>
    <m/>
    <s v="1187 dependent on 1137 [VAS]"/>
    <s v="pending"/>
    <s v="early"/>
    <n v="100"/>
    <s v="CC"/>
    <s v="WK3"/>
    <d v="2025-09-29T00:00:00"/>
    <n v="7"/>
    <x v="1"/>
    <n v="0.5"/>
  </r>
  <r>
    <n v="1187"/>
    <s v="Requestor Update"/>
    <x v="30"/>
    <x v="190"/>
    <n v="1"/>
    <s v="77, 124"/>
    <x v="7"/>
    <m/>
    <x v="0"/>
    <s v="Masterfiles"/>
    <m/>
    <s v="also called &quot;BOM_Taxable&quot;"/>
    <s v="1187 dependent on 1137 [VAS]"/>
    <s v="pending"/>
    <s v="early"/>
    <n v="100"/>
    <s v="CC"/>
    <s v="WK3"/>
    <d v="2025-09-29T00:00:00"/>
    <n v="7"/>
    <x v="1"/>
    <n v="0.5"/>
  </r>
  <r>
    <n v="1188"/>
    <s v="Requestor Update"/>
    <x v="31"/>
    <x v="191"/>
    <n v="1"/>
    <s v="77, 124"/>
    <x v="8"/>
    <m/>
    <x v="0"/>
    <s v="Masterfiles"/>
    <m/>
    <m/>
    <s v="1188 dependent 1031 [VP], 1137 [VAS]"/>
    <s v="pending"/>
    <s v="early"/>
    <n v="100"/>
    <s v="CC"/>
    <s v="WK3"/>
    <d v="2025-09-29T00:00:00"/>
    <n v="7"/>
    <x v="1"/>
    <n v="0.5"/>
  </r>
  <r>
    <n v="1189"/>
    <s v="Requestor Update"/>
    <x v="31"/>
    <x v="192"/>
    <n v="1"/>
    <s v="77, 124"/>
    <x v="8"/>
    <m/>
    <x v="0"/>
    <s v="Masterfiles"/>
    <m/>
    <m/>
    <s v="1188 dependent 1031 [VP], 1137 [VAS]"/>
    <s v="pending"/>
    <s v="early"/>
    <n v="100"/>
    <s v="CC"/>
    <s v="WK3"/>
    <d v="2025-09-29T00:00:00"/>
    <n v="7"/>
    <x v="1"/>
    <n v="0.5"/>
  </r>
  <r>
    <n v="1190"/>
    <s v="Requestor Update"/>
    <x v="31"/>
    <x v="193"/>
    <n v="1"/>
    <s v="77, 124"/>
    <x v="8"/>
    <m/>
    <x v="0"/>
    <s v="Masterfiles"/>
    <m/>
    <m/>
    <s v="1188 dependent 1031 [VP], 1137 [VAS]"/>
    <s v="pending"/>
    <s v="early"/>
    <n v="100"/>
    <s v="CC"/>
    <s v="WK3"/>
    <d v="2025-09-29T00:00:00"/>
    <n v="7"/>
    <x v="1"/>
    <n v="0.5"/>
  </r>
  <r>
    <n v="1191"/>
    <s v="Requestor Update"/>
    <x v="31"/>
    <x v="194"/>
    <n v="1"/>
    <s v="77, 124"/>
    <x v="8"/>
    <m/>
    <x v="0"/>
    <s v="Masterfiles"/>
    <m/>
    <m/>
    <s v="1188 dependent 1031 [VP], 1137 [VAS]"/>
    <s v="pending"/>
    <s v="early"/>
    <n v="100"/>
    <s v="CC"/>
    <s v="WK3"/>
    <d v="2025-09-29T00:00:00"/>
    <n v="7"/>
    <x v="1"/>
    <n v="0.5"/>
  </r>
  <r>
    <n v="1192"/>
    <s v="Requestor Update"/>
    <x v="31"/>
    <x v="195"/>
    <n v="1"/>
    <s v="77, 124"/>
    <x v="8"/>
    <m/>
    <x v="0"/>
    <s v="Masterfiles"/>
    <m/>
    <m/>
    <s v="1188 dependent 1031 [VP], 1137 [VAS]"/>
    <s v="pending"/>
    <s v="early"/>
    <n v="100"/>
    <s v="CC"/>
    <s v="WK3"/>
    <d v="2025-09-29T00:00:00"/>
    <n v="7"/>
    <x v="1"/>
    <n v="0.5"/>
  </r>
  <r>
    <n v="1193"/>
    <s v="LIM - Update"/>
    <x v="32"/>
    <x v="196"/>
    <n v="1"/>
    <n v="80"/>
    <x v="60"/>
    <m/>
    <x v="2"/>
    <m/>
    <m/>
    <s v="dependent on FORM TYPE: DISPLAY; 4 rules; actually part of Requestor Update; after Pack Size"/>
    <s v="4 rules"/>
    <s v="pending"/>
    <s v="future"/>
    <n v="110"/>
    <s v="DD"/>
    <s v="WK3"/>
    <d v="2025-09-29T00:00:00"/>
    <m/>
    <x v="1"/>
    <n v="0.5"/>
  </r>
  <r>
    <n v="1194"/>
    <s v="LIM - Update"/>
    <x v="32"/>
    <x v="197"/>
    <n v="1"/>
    <n v="80"/>
    <x v="61"/>
    <m/>
    <x v="2"/>
    <m/>
    <m/>
    <m/>
    <m/>
    <s v="upcoming"/>
    <s v="future"/>
    <n v="110"/>
    <s v="DD"/>
    <s v="WK3"/>
    <d v="2025-09-29T00:00:00"/>
    <m/>
    <x v="1"/>
    <n v="0.5"/>
  </r>
  <r>
    <n v="1195"/>
    <s v="LIM - Update"/>
    <x v="32"/>
    <x v="198"/>
    <n v="1"/>
    <n v="80"/>
    <x v="7"/>
    <m/>
    <x v="2"/>
    <m/>
    <m/>
    <m/>
    <m/>
    <s v="upcoming"/>
    <s v="future"/>
    <n v="110"/>
    <s v="DD"/>
    <s v="WK3"/>
    <d v="2025-09-29T00:00:00"/>
    <m/>
    <x v="1"/>
    <n v="0.5"/>
  </r>
  <r>
    <n v="1196"/>
    <s v="LIM - Update"/>
    <x v="32"/>
    <x v="199"/>
    <n v="0"/>
    <n v="80"/>
    <x v="0"/>
    <m/>
    <x v="2"/>
    <m/>
    <m/>
    <m/>
    <m/>
    <s v="upcoming"/>
    <s v="future"/>
    <n v="110"/>
    <s v="DD"/>
    <s v="WK3"/>
    <d v="2025-09-29T00:00:00"/>
    <m/>
    <x v="0"/>
    <n v="0"/>
  </r>
  <r>
    <n v="1197"/>
    <s v="LIM - Update"/>
    <x v="32"/>
    <x v="200"/>
    <n v="0"/>
    <n v="80"/>
    <x v="0"/>
    <m/>
    <x v="2"/>
    <m/>
    <m/>
    <m/>
    <m/>
    <s v="upcoming"/>
    <s v="future"/>
    <n v="110"/>
    <s v="DD"/>
    <s v="WK3"/>
    <d v="2025-09-29T00:00:00"/>
    <m/>
    <x v="0"/>
    <n v="0"/>
  </r>
  <r>
    <n v="1198"/>
    <s v="LIM - Update"/>
    <x v="32"/>
    <x v="201"/>
    <n v="0"/>
    <n v="80"/>
    <x v="0"/>
    <m/>
    <x v="2"/>
    <m/>
    <m/>
    <m/>
    <m/>
    <s v="upcoming"/>
    <s v="future"/>
    <n v="110"/>
    <s v="DD"/>
    <s v="WK3"/>
    <d v="2025-09-29T00:00:00"/>
    <m/>
    <x v="0"/>
    <n v="0"/>
  </r>
  <r>
    <n v="1199"/>
    <s v="LIM - Update"/>
    <x v="32"/>
    <x v="202"/>
    <n v="0"/>
    <n v="80"/>
    <x v="0"/>
    <m/>
    <x v="2"/>
    <m/>
    <m/>
    <m/>
    <m/>
    <s v="upcoming"/>
    <s v="future"/>
    <n v="110"/>
    <s v="DD"/>
    <s v="WK3"/>
    <d v="2025-09-29T00:00:00"/>
    <m/>
    <x v="0"/>
    <n v="0"/>
  </r>
  <r>
    <n v="1200"/>
    <s v="LIM - Update"/>
    <x v="32"/>
    <x v="203"/>
    <n v="1"/>
    <n v="80"/>
    <x v="62"/>
    <m/>
    <x v="2"/>
    <m/>
    <m/>
    <m/>
    <m/>
    <s v="upcoming"/>
    <s v="future"/>
    <n v="110"/>
    <s v="DD"/>
    <s v="WK3"/>
    <d v="2025-09-29T00:00:00"/>
    <m/>
    <x v="1"/>
    <n v="0.5"/>
  </r>
  <r>
    <n v="1201"/>
    <s v="LIM - Update"/>
    <x v="33"/>
    <x v="204"/>
    <n v="1"/>
    <s v="81, 82"/>
    <x v="7"/>
    <m/>
    <x v="2"/>
    <m/>
    <m/>
    <m/>
    <m/>
    <s v="upcoming"/>
    <s v="future"/>
    <n v="110"/>
    <s v="DD"/>
    <s v="WK3"/>
    <d v="2025-09-29T00:00:00"/>
    <m/>
    <x v="1"/>
    <n v="0.5"/>
  </r>
  <r>
    <n v="1202"/>
    <s v="LIM - Update"/>
    <x v="13"/>
    <x v="205"/>
    <n v="1"/>
    <n v="81"/>
    <x v="8"/>
    <m/>
    <x v="2"/>
    <m/>
    <m/>
    <m/>
    <m/>
    <s v="upcoming"/>
    <s v="future"/>
    <n v="110"/>
    <s v="DD"/>
    <s v="WK3"/>
    <d v="2025-09-29T00:00:00"/>
    <m/>
    <x v="1"/>
    <n v="0.5"/>
  </r>
  <r>
    <n v="1203"/>
    <s v="LIM - Update"/>
    <x v="33"/>
    <x v="206"/>
    <n v="1"/>
    <n v="82"/>
    <x v="63"/>
    <m/>
    <x v="2"/>
    <m/>
    <m/>
    <s v="for REPACKS &amp; DISPLAYS"/>
    <m/>
    <s v="upcoming"/>
    <s v="future"/>
    <n v="110"/>
    <s v="DD"/>
    <s v="WK3"/>
    <d v="2025-09-29T00:00:00"/>
    <m/>
    <x v="3"/>
    <n v="1"/>
  </r>
  <r>
    <n v="1204"/>
    <s v="EPM Finance - Update"/>
    <x v="34"/>
    <x v="207"/>
    <n v="1"/>
    <n v="84"/>
    <x v="64"/>
    <m/>
    <x v="3"/>
    <m/>
    <m/>
    <m/>
    <m/>
    <s v="upcoming"/>
    <s v="future"/>
    <n v="120"/>
    <s v="FF"/>
    <s v="WK5"/>
    <d v="2025-10-13T00:00:00"/>
    <m/>
    <x v="1"/>
    <n v="0.5"/>
  </r>
  <r>
    <n v="1205"/>
    <s v="EPM Finance - Update"/>
    <x v="13"/>
    <x v="208"/>
    <n v="1"/>
    <n v="84"/>
    <x v="8"/>
    <m/>
    <x v="3"/>
    <m/>
    <m/>
    <m/>
    <m/>
    <s v="upcoming"/>
    <s v="future"/>
    <n v="120"/>
    <s v="FF"/>
    <s v="WK5"/>
    <d v="2025-10-13T00:00:00"/>
    <m/>
    <x v="1"/>
    <n v="0.5"/>
  </r>
  <r>
    <n v="1206"/>
    <s v="Data Integrity (DI) - Review"/>
    <x v="35"/>
    <x v="209"/>
    <n v="1"/>
    <n v="86"/>
    <x v="8"/>
    <m/>
    <x v="4"/>
    <m/>
    <m/>
    <m/>
    <m/>
    <s v="upcoming"/>
    <s v="future"/>
    <n v="130"/>
    <s v="FF"/>
    <s v="WK5"/>
    <d v="2025-10-13T00:00:00"/>
    <m/>
    <x v="1"/>
    <n v="0.5"/>
  </r>
  <r>
    <n v="1207"/>
    <s v="R&amp;D Quality - Update"/>
    <x v="18"/>
    <x v="210"/>
    <n v="1"/>
    <n v="88"/>
    <x v="8"/>
    <m/>
    <x v="5"/>
    <m/>
    <m/>
    <m/>
    <s v="5 rules"/>
    <s v="pending"/>
    <s v="future"/>
    <n v="140"/>
    <s v="FF"/>
    <s v="WK5"/>
    <d v="2025-10-13T00:00:00"/>
    <m/>
    <x v="1"/>
    <n v="0.5"/>
  </r>
  <r>
    <n v="1208"/>
    <s v="R&amp;D Quality - Update"/>
    <x v="36"/>
    <x v="211"/>
    <n v="1"/>
    <n v="89"/>
    <x v="7"/>
    <m/>
    <x v="5"/>
    <m/>
    <m/>
    <m/>
    <m/>
    <s v="upcoming"/>
    <s v="future"/>
    <n v="140"/>
    <s v="FF"/>
    <s v="WK5"/>
    <d v="2025-10-13T00:00:00"/>
    <m/>
    <x v="1"/>
    <n v="0.5"/>
  </r>
  <r>
    <n v="1209"/>
    <s v="R&amp;D Quality - Update"/>
    <x v="36"/>
    <x v="212"/>
    <n v="1"/>
    <n v="89"/>
    <x v="65"/>
    <m/>
    <x v="5"/>
    <m/>
    <m/>
    <m/>
    <m/>
    <s v="upcoming"/>
    <s v="future"/>
    <n v="140"/>
    <s v="FF"/>
    <s v="WK5"/>
    <d v="2025-10-13T00:00:00"/>
    <m/>
    <x v="1"/>
    <n v="0.5"/>
  </r>
  <r>
    <n v="1210"/>
    <s v="R&amp;D Quality - Update"/>
    <x v="36"/>
    <x v="213"/>
    <n v="1"/>
    <n v="89"/>
    <x v="7"/>
    <m/>
    <x v="5"/>
    <m/>
    <m/>
    <m/>
    <m/>
    <s v="upcoming"/>
    <s v="future"/>
    <n v="140"/>
    <s v="FF"/>
    <s v="WK5"/>
    <d v="2025-10-13T00:00:00"/>
    <m/>
    <x v="1"/>
    <n v="0.5"/>
  </r>
  <r>
    <n v="1211"/>
    <s v="Nutrition Labeling - Update"/>
    <x v="37"/>
    <x v="214"/>
    <n v="1"/>
    <n v="94"/>
    <x v="8"/>
    <m/>
    <x v="6"/>
    <m/>
    <m/>
    <m/>
    <m/>
    <s v="upcoming"/>
    <s v="future"/>
    <n v="150"/>
    <s v="EE"/>
    <s v="WK4"/>
    <d v="2025-10-06T00:00:00"/>
    <m/>
    <x v="1"/>
    <n v="0.5"/>
  </r>
  <r>
    <n v="1212"/>
    <s v="Nutrition Labeling - Update"/>
    <x v="37"/>
    <x v="215"/>
    <n v="1"/>
    <n v="94"/>
    <x v="66"/>
    <m/>
    <x v="6"/>
    <m/>
    <m/>
    <m/>
    <m/>
    <s v="upcoming"/>
    <s v="future"/>
    <n v="150"/>
    <s v="EE"/>
    <s v="WK4"/>
    <d v="2025-10-06T00:00:00"/>
    <m/>
    <x v="1"/>
    <n v="0.5"/>
  </r>
  <r>
    <n v="1213"/>
    <s v="Nutrition Labeling - Update"/>
    <x v="37"/>
    <x v="216"/>
    <n v="1"/>
    <n v="94"/>
    <x v="8"/>
    <m/>
    <x v="6"/>
    <m/>
    <m/>
    <s v="dependent on: Weight Measure=METRIC"/>
    <m/>
    <s v="upcoming"/>
    <s v="future"/>
    <n v="150"/>
    <s v="EE"/>
    <s v="WK4"/>
    <d v="2025-10-06T00:00:00"/>
    <m/>
    <x v="1"/>
    <n v="0.5"/>
  </r>
  <r>
    <n v="1214"/>
    <s v="Nutrition Labeling - Update"/>
    <x v="37"/>
    <x v="217"/>
    <n v="0"/>
    <n v="94"/>
    <x v="0"/>
    <m/>
    <x v="6"/>
    <m/>
    <m/>
    <s v="dependent on: Weight Measure=METRIC"/>
    <m/>
    <s v="upcoming"/>
    <s v="future"/>
    <n v="150"/>
    <s v="EE"/>
    <s v="WK4"/>
    <d v="2025-10-06T00:00:00"/>
    <m/>
    <x v="1"/>
    <n v="0"/>
  </r>
  <r>
    <n v="1215"/>
    <s v="Nutrition Labeling - Update"/>
    <x v="37"/>
    <x v="218"/>
    <n v="1"/>
    <n v="94"/>
    <x v="8"/>
    <m/>
    <x v="6"/>
    <m/>
    <m/>
    <s v="dependent on: Weight Measure=METRIC"/>
    <m/>
    <s v="upcoming"/>
    <s v="future"/>
    <n v="150"/>
    <s v="EE"/>
    <s v="WK4"/>
    <d v="2025-10-06T00:00:00"/>
    <m/>
    <x v="1"/>
    <n v="0.5"/>
  </r>
  <r>
    <n v="1216"/>
    <s v="Nutrition Labeling - Update"/>
    <x v="37"/>
    <x v="219"/>
    <n v="0"/>
    <n v="94"/>
    <x v="0"/>
    <m/>
    <x v="6"/>
    <m/>
    <m/>
    <s v="dependent on: Weight Measure=METRIC"/>
    <m/>
    <s v="upcoming"/>
    <s v="future"/>
    <n v="150"/>
    <s v="EE"/>
    <s v="WK4"/>
    <d v="2025-10-06T00:00:00"/>
    <m/>
    <x v="1"/>
    <n v="0"/>
  </r>
  <r>
    <n v="1217"/>
    <s v="Nutrition Labeling - Update"/>
    <x v="37"/>
    <x v="220"/>
    <n v="1"/>
    <n v="94"/>
    <x v="8"/>
    <m/>
    <x v="6"/>
    <m/>
    <m/>
    <s v="dependent on: Weight Measure=METRIC"/>
    <m/>
    <s v="upcoming"/>
    <s v="future"/>
    <n v="150"/>
    <s v="EE"/>
    <s v="WK4"/>
    <d v="2025-10-06T00:00:00"/>
    <m/>
    <x v="1"/>
    <n v="0.5"/>
  </r>
  <r>
    <n v="1218"/>
    <s v="Nutrition Labeling - Update"/>
    <x v="37"/>
    <x v="221"/>
    <n v="1"/>
    <n v="94"/>
    <x v="8"/>
    <m/>
    <x v="6"/>
    <m/>
    <m/>
    <s v="dependent on: Weight Measure=IMPERIAL"/>
    <m/>
    <s v="upcoming"/>
    <s v="future"/>
    <n v="150"/>
    <s v="EE"/>
    <s v="WK4"/>
    <d v="2025-10-06T00:00:00"/>
    <m/>
    <x v="1"/>
    <n v="0.5"/>
  </r>
  <r>
    <n v="1219"/>
    <s v="Nutrition Labeling - Update"/>
    <x v="37"/>
    <x v="222"/>
    <n v="0"/>
    <n v="94"/>
    <x v="0"/>
    <m/>
    <x v="6"/>
    <m/>
    <m/>
    <s v="dependent on: Weight Measure=IMPERIAL"/>
    <m/>
    <s v="upcoming"/>
    <s v="future"/>
    <n v="150"/>
    <s v="EE"/>
    <s v="WK4"/>
    <d v="2025-10-06T00:00:00"/>
    <m/>
    <x v="1"/>
    <n v="0"/>
  </r>
  <r>
    <n v="1220"/>
    <s v="Nutrition Labeling - Update"/>
    <x v="37"/>
    <x v="223"/>
    <n v="1"/>
    <n v="94"/>
    <x v="8"/>
    <m/>
    <x v="6"/>
    <m/>
    <m/>
    <s v="dependent on: Weight Measure=IMPERIAL"/>
    <m/>
    <s v="upcoming"/>
    <s v="future"/>
    <n v="150"/>
    <s v="EE"/>
    <s v="WK4"/>
    <d v="2025-10-06T00:00:00"/>
    <m/>
    <x v="1"/>
    <n v="0.5"/>
  </r>
  <r>
    <n v="1221"/>
    <s v="Nutrition Labeling - Update"/>
    <x v="37"/>
    <x v="224"/>
    <n v="1"/>
    <n v="94"/>
    <x v="28"/>
    <m/>
    <x v="6"/>
    <m/>
    <m/>
    <s v="dependent on: Weight Measure=IMPERIAL"/>
    <m/>
    <s v="upcoming"/>
    <s v="future"/>
    <n v="150"/>
    <s v="EE"/>
    <s v="WK4"/>
    <d v="2025-10-06T00:00:00"/>
    <m/>
    <x v="1"/>
    <n v="0.5"/>
  </r>
  <r>
    <n v="1222"/>
    <s v="Nutrition Labeling - Update"/>
    <x v="37"/>
    <x v="225"/>
    <n v="1"/>
    <n v="94"/>
    <x v="8"/>
    <m/>
    <x v="6"/>
    <m/>
    <m/>
    <s v="dependent on: Weight Measure=IMPERIAL"/>
    <m/>
    <s v="upcoming"/>
    <s v="future"/>
    <n v="150"/>
    <s v="EE"/>
    <s v="WK4"/>
    <d v="2025-10-06T00:00:00"/>
    <m/>
    <x v="1"/>
    <n v="0.5"/>
  </r>
  <r>
    <n v="1223"/>
    <s v="Nutrition Labeling - Update"/>
    <x v="38"/>
    <x v="226"/>
    <n v="1"/>
    <n v="94"/>
    <x v="67"/>
    <m/>
    <x v="6"/>
    <m/>
    <m/>
    <s v="calculations"/>
    <m/>
    <s v="upcoming"/>
    <s v="future"/>
    <n v="150"/>
    <s v="EE"/>
    <s v="WK4"/>
    <d v="2025-10-06T00:00:00"/>
    <m/>
    <x v="2"/>
    <n v="1.5"/>
  </r>
  <r>
    <n v="1224"/>
    <s v="Nutrition Labeling - Update"/>
    <x v="38"/>
    <x v="227"/>
    <n v="1"/>
    <n v="94"/>
    <x v="67"/>
    <m/>
    <x v="6"/>
    <m/>
    <m/>
    <s v="calculations"/>
    <m/>
    <s v="upcoming"/>
    <s v="future"/>
    <n v="150"/>
    <s v="EE"/>
    <s v="WK4"/>
    <d v="2025-10-06T00:00:00"/>
    <m/>
    <x v="2"/>
    <n v="1.5"/>
  </r>
  <r>
    <n v="1225"/>
    <s v="Nutrition Labeling - Update"/>
    <x v="38"/>
    <x v="228"/>
    <n v="1"/>
    <n v="94"/>
    <x v="67"/>
    <m/>
    <x v="6"/>
    <m/>
    <m/>
    <s v="calculations"/>
    <m/>
    <s v="upcoming"/>
    <s v="future"/>
    <n v="150"/>
    <s v="EE"/>
    <s v="WK4"/>
    <d v="2025-10-06T00:00:00"/>
    <m/>
    <x v="2"/>
    <n v="1.5"/>
  </r>
  <r>
    <n v="1226"/>
    <s v="Nutrition Labeling - Update"/>
    <x v="38"/>
    <x v="229"/>
    <n v="1"/>
    <n v="94"/>
    <x v="67"/>
    <m/>
    <x v="6"/>
    <m/>
    <m/>
    <s v="calculations"/>
    <m/>
    <s v="upcoming"/>
    <s v="future"/>
    <n v="150"/>
    <s v="EE"/>
    <s v="WK4"/>
    <d v="2025-10-06T00:00:00"/>
    <m/>
    <x v="2"/>
    <n v="1.5"/>
  </r>
  <r>
    <n v="1227"/>
    <s v="Nutrition Labeling - Update"/>
    <x v="39"/>
    <x v="230"/>
    <n v="1"/>
    <n v="94"/>
    <x v="8"/>
    <m/>
    <x v="6"/>
    <m/>
    <m/>
    <s v="dependent on: Form Type=BULK w/pkg upc"/>
    <m/>
    <s v="upcoming"/>
    <s v="future"/>
    <n v="150"/>
    <s v="EE"/>
    <s v="WK4"/>
    <d v="2025-10-06T00:00:00"/>
    <m/>
    <x v="1"/>
    <n v="0.5"/>
  </r>
  <r>
    <n v="1228"/>
    <s v="Nutrition Labeling - Update"/>
    <x v="39"/>
    <x v="231"/>
    <n v="1"/>
    <n v="94"/>
    <x v="8"/>
    <m/>
    <x v="6"/>
    <m/>
    <m/>
    <s v="dependent on: Form Type=BULK w/pkg upc"/>
    <m/>
    <s v="upcoming"/>
    <s v="future"/>
    <n v="150"/>
    <s v="EE"/>
    <s v="WK4"/>
    <d v="2025-10-06T00:00:00"/>
    <m/>
    <x v="1"/>
    <n v="0.5"/>
  </r>
  <r>
    <n v="1229"/>
    <s v="Nutrition Labeling - Update"/>
    <x v="39"/>
    <x v="232"/>
    <n v="1"/>
    <n v="94"/>
    <x v="8"/>
    <m/>
    <x v="6"/>
    <m/>
    <m/>
    <s v="dependent on: Form Type=BULK w/pkg upc"/>
    <m/>
    <s v="upcoming"/>
    <s v="future"/>
    <n v="150"/>
    <s v="EE"/>
    <s v="WK4"/>
    <d v="2025-10-06T00:00:00"/>
    <m/>
    <x v="1"/>
    <n v="0.5"/>
  </r>
  <r>
    <n v="1230"/>
    <s v="Nutrition Labeling - Update"/>
    <x v="40"/>
    <x v="233"/>
    <n v="1"/>
    <n v="94"/>
    <x v="68"/>
    <m/>
    <x v="6"/>
    <m/>
    <m/>
    <s v="dependent on: Product Country=CANADA"/>
    <m/>
    <s v="upcoming"/>
    <s v="future"/>
    <n v="150"/>
    <s v="EE"/>
    <s v="WK4"/>
    <d v="2025-10-06T00:00:00"/>
    <m/>
    <x v="1"/>
    <n v="0.5"/>
  </r>
  <r>
    <n v="1231"/>
    <s v="Nutrition Labeling - Update"/>
    <x v="41"/>
    <x v="234"/>
    <n v="1"/>
    <n v="94"/>
    <x v="8"/>
    <m/>
    <x v="6"/>
    <m/>
    <m/>
    <m/>
    <m/>
    <s v="upcoming"/>
    <s v="future"/>
    <n v="150"/>
    <s v="EE"/>
    <s v="WK4"/>
    <d v="2025-10-06T00:00:00"/>
    <m/>
    <x v="1"/>
    <n v="0.5"/>
  </r>
  <r>
    <n v="1232"/>
    <s v="Nutrition Labeling - Update"/>
    <x v="41"/>
    <x v="235"/>
    <n v="1"/>
    <n v="94"/>
    <x v="8"/>
    <m/>
    <x v="6"/>
    <m/>
    <m/>
    <m/>
    <m/>
    <s v="upcoming"/>
    <s v="future"/>
    <n v="150"/>
    <s v="EE"/>
    <s v="WK4"/>
    <d v="2025-10-06T00:00:00"/>
    <m/>
    <x v="1"/>
    <n v="0.5"/>
  </r>
  <r>
    <n v="1233"/>
    <s v="Nutrition Labeling - Update"/>
    <x v="41"/>
    <x v="236"/>
    <n v="1"/>
    <n v="94"/>
    <x v="8"/>
    <m/>
    <x v="6"/>
    <m/>
    <m/>
    <m/>
    <m/>
    <s v="upcoming"/>
    <s v="future"/>
    <n v="150"/>
    <s v="EE"/>
    <s v="WK4"/>
    <d v="2025-10-06T00:00:00"/>
    <m/>
    <x v="1"/>
    <n v="0.5"/>
  </r>
  <r>
    <n v="1234"/>
    <s v="Nutrition Labeling - Update"/>
    <x v="41"/>
    <x v="237"/>
    <n v="1"/>
    <n v="94"/>
    <x v="8"/>
    <m/>
    <x v="6"/>
    <m/>
    <m/>
    <m/>
    <m/>
    <s v="upcoming"/>
    <s v="future"/>
    <n v="150"/>
    <s v="EE"/>
    <s v="WK4"/>
    <d v="2025-10-06T00:00:00"/>
    <m/>
    <x v="1"/>
    <n v="0.5"/>
  </r>
  <r>
    <n v="1235"/>
    <s v="Packaging Tech - Update"/>
    <x v="42"/>
    <x v="238"/>
    <n v="0"/>
    <n v="97"/>
    <x v="0"/>
    <m/>
    <x v="7"/>
    <m/>
    <m/>
    <s v="Packaging Tech task: For Pringles only, in the Packaging Details section, the Pringles Can Size and Pringles Cube Size are open for population, but not required. If not Pringles, both are grayed out/locked."/>
    <s v="1235 dependent on &quot;pringles&quot; (1011) =open but not required"/>
    <s v="pending"/>
    <s v="early"/>
    <n v="160"/>
    <s v="EE"/>
    <s v="WK4"/>
    <d v="2025-10-06T00:00:00"/>
    <m/>
    <x v="0"/>
    <n v="0"/>
  </r>
  <r>
    <n v="1236"/>
    <s v="Packaging Tech - Update"/>
    <x v="42"/>
    <x v="239"/>
    <n v="1"/>
    <n v="97"/>
    <x v="69"/>
    <m/>
    <x v="7"/>
    <m/>
    <m/>
    <m/>
    <m/>
    <s v="upcoming"/>
    <s v="future"/>
    <n v="160"/>
    <s v="EE"/>
    <s v="WK4"/>
    <d v="2025-10-06T00:00:00"/>
    <m/>
    <x v="1"/>
    <n v="0.5"/>
  </r>
  <r>
    <n v="1237"/>
    <s v="Packaging Tech - Update"/>
    <x v="42"/>
    <x v="240"/>
    <n v="1"/>
    <n v="97"/>
    <x v="70"/>
    <m/>
    <x v="7"/>
    <m/>
    <m/>
    <m/>
    <m/>
    <s v="upcoming"/>
    <s v="future"/>
    <n v="160"/>
    <s v="EE"/>
    <s v="WK4"/>
    <d v="2025-10-06T00:00:00"/>
    <m/>
    <x v="1"/>
    <n v="0.5"/>
  </r>
  <r>
    <n v="1238"/>
    <s v="Packaging Tech - Update"/>
    <x v="42"/>
    <x v="241"/>
    <n v="1"/>
    <n v="97"/>
    <x v="71"/>
    <m/>
    <x v="7"/>
    <m/>
    <m/>
    <m/>
    <m/>
    <s v="upcoming"/>
    <s v="future"/>
    <n v="160"/>
    <s v="EE"/>
    <s v="WK4"/>
    <d v="2025-10-06T00:00:00"/>
    <m/>
    <x v="1"/>
    <n v="0.5"/>
  </r>
  <r>
    <n v="1239"/>
    <s v="Packaging Tech - Update"/>
    <x v="42"/>
    <x v="242"/>
    <n v="1"/>
    <n v="97"/>
    <x v="72"/>
    <m/>
    <x v="7"/>
    <m/>
    <m/>
    <s v="Packaging Tech task: For Pringles only, in the Packaging Details section, the Pringles Can Size and Pringles Cube Size are open for population, but not required. If not Pringles, both are grayed out/locked."/>
    <s v="1239 dependent on &quot;pringles&quot; (1011) =open but not required"/>
    <s v="pending"/>
    <s v="early"/>
    <n v="160"/>
    <s v="EE"/>
    <s v="WK4"/>
    <d v="2025-10-06T00:00:00"/>
    <m/>
    <x v="1"/>
    <n v="0.5"/>
  </r>
  <r>
    <n v="1240"/>
    <s v="Packaging Tech - Update"/>
    <x v="42"/>
    <x v="243"/>
    <n v="1"/>
    <n v="97"/>
    <x v="73"/>
    <m/>
    <x v="7"/>
    <m/>
    <m/>
    <m/>
    <m/>
    <s v="upcoming"/>
    <s v="future"/>
    <n v="160"/>
    <s v="EE"/>
    <s v="WK4"/>
    <d v="2025-10-06T00:00:00"/>
    <m/>
    <x v="1"/>
    <n v="0.5"/>
  </r>
  <r>
    <n v="1241"/>
    <s v="Packaging Tech - Update"/>
    <x v="21"/>
    <x v="244"/>
    <n v="0"/>
    <n v="98"/>
    <x v="0"/>
    <m/>
    <x v="7"/>
    <m/>
    <m/>
    <m/>
    <m/>
    <s v="upcoming"/>
    <s v="future"/>
    <n v="160"/>
    <s v="EE"/>
    <s v="WK4"/>
    <d v="2025-10-06T00:00:00"/>
    <m/>
    <x v="0"/>
    <n v="0"/>
  </r>
  <r>
    <n v="1242"/>
    <s v="Packaging Tech - Update"/>
    <x v="21"/>
    <x v="245"/>
    <n v="0"/>
    <n v="98"/>
    <x v="0"/>
    <m/>
    <x v="7"/>
    <m/>
    <m/>
    <m/>
    <m/>
    <s v="upcoming"/>
    <s v="future"/>
    <n v="160"/>
    <s v="EE"/>
    <s v="WK4"/>
    <d v="2025-10-06T00:00:00"/>
    <m/>
    <x v="0"/>
    <n v="0"/>
  </r>
  <r>
    <n v="1243"/>
    <s v="Packaging Tech - Update"/>
    <x v="21"/>
    <x v="246"/>
    <n v="0"/>
    <n v="98"/>
    <x v="0"/>
    <m/>
    <x v="7"/>
    <m/>
    <m/>
    <m/>
    <m/>
    <s v="upcoming"/>
    <s v="future"/>
    <n v="160"/>
    <s v="EE"/>
    <s v="WK4"/>
    <d v="2025-10-06T00:00:00"/>
    <m/>
    <x v="0"/>
    <n v="0"/>
  </r>
  <r>
    <n v="1244"/>
    <s v="Packaging Tech - Update"/>
    <x v="43"/>
    <x v="247"/>
    <n v="1"/>
    <s v="99, 125"/>
    <x v="8"/>
    <m/>
    <x v="7"/>
    <s v="Masterfiles"/>
    <m/>
    <m/>
    <m/>
    <s v="upcoming"/>
    <s v="future"/>
    <n v="160"/>
    <s v="EE"/>
    <s v="WK4"/>
    <d v="2025-10-06T00:00:00"/>
    <m/>
    <x v="1"/>
    <n v="0.5"/>
  </r>
  <r>
    <n v="1245"/>
    <s v="Packaging Tech - Update"/>
    <x v="43"/>
    <x v="248"/>
    <n v="1"/>
    <s v="99, 125"/>
    <x v="8"/>
    <m/>
    <x v="7"/>
    <s v="Masterfiles"/>
    <m/>
    <m/>
    <m/>
    <s v="upcoming"/>
    <s v="future"/>
    <n v="160"/>
    <s v="EE"/>
    <s v="WK4"/>
    <d v="2025-10-06T00:00:00"/>
    <m/>
    <x v="1"/>
    <n v="0.5"/>
  </r>
  <r>
    <n v="1246"/>
    <s v="Packaging Tech - Update"/>
    <x v="43"/>
    <x v="249"/>
    <n v="1"/>
    <s v="99, 125"/>
    <x v="28"/>
    <m/>
    <x v="7"/>
    <s v="Masterfiles"/>
    <m/>
    <m/>
    <m/>
    <s v="upcoming"/>
    <s v="future"/>
    <n v="160"/>
    <s v="EE"/>
    <s v="WK4"/>
    <d v="2025-10-06T00:00:00"/>
    <m/>
    <x v="1"/>
    <n v="0.5"/>
  </r>
  <r>
    <n v="1247"/>
    <s v="Packaging Tech - Update"/>
    <x v="43"/>
    <x v="250"/>
    <n v="1"/>
    <s v="99, 125"/>
    <x v="8"/>
    <m/>
    <x v="7"/>
    <s v="Masterfiles"/>
    <m/>
    <m/>
    <m/>
    <s v="upcoming"/>
    <s v="future"/>
    <n v="160"/>
    <s v="EE"/>
    <s v="WK4"/>
    <d v="2025-10-06T00:00:00"/>
    <m/>
    <x v="1"/>
    <n v="0.5"/>
  </r>
  <r>
    <n v="1248"/>
    <s v="Packaging Tech - Update"/>
    <x v="43"/>
    <x v="251"/>
    <n v="1"/>
    <s v="99, 125"/>
    <x v="8"/>
    <m/>
    <x v="7"/>
    <s v="Masterfiles"/>
    <m/>
    <m/>
    <m/>
    <s v="upcoming"/>
    <s v="future"/>
    <n v="160"/>
    <s v="EE"/>
    <s v="WK4"/>
    <d v="2025-10-06T00:00:00"/>
    <m/>
    <x v="1"/>
    <n v="0.5"/>
  </r>
  <r>
    <n v="1249"/>
    <s v="Packaging Tech - Update"/>
    <x v="43"/>
    <x v="252"/>
    <n v="1"/>
    <s v="99, 125"/>
    <x v="8"/>
    <m/>
    <x v="7"/>
    <s v="Masterfiles"/>
    <m/>
    <m/>
    <m/>
    <s v="upcoming"/>
    <s v="future"/>
    <n v="160"/>
    <s v="EE"/>
    <s v="WK4"/>
    <d v="2025-10-06T00:00:00"/>
    <m/>
    <x v="1"/>
    <n v="0.5"/>
  </r>
  <r>
    <n v="1250"/>
    <s v="Packaging Tech - Update"/>
    <x v="43"/>
    <x v="253"/>
    <n v="1"/>
    <s v="99, 125"/>
    <x v="7"/>
    <m/>
    <x v="7"/>
    <s v="Masterfiles"/>
    <m/>
    <m/>
    <m/>
    <s v="upcoming"/>
    <s v="future"/>
    <n v="160"/>
    <s v="EE"/>
    <s v="WK4"/>
    <d v="2025-10-06T00:00:00"/>
    <m/>
    <x v="1"/>
    <n v="0.5"/>
  </r>
  <r>
    <n v="1251"/>
    <s v="Packaging Tech - Update"/>
    <x v="43"/>
    <x v="254"/>
    <n v="1"/>
    <s v="99, 125"/>
    <x v="7"/>
    <m/>
    <x v="7"/>
    <s v="Masterfiles"/>
    <m/>
    <m/>
    <m/>
    <s v="upcoming"/>
    <s v="future"/>
    <n v="160"/>
    <s v="EE"/>
    <s v="WK4"/>
    <d v="2025-10-06T00:00:00"/>
    <m/>
    <x v="1"/>
    <n v="0.5"/>
  </r>
  <r>
    <n v="1252"/>
    <s v="Packaging Tech - Update"/>
    <x v="44"/>
    <x v="255"/>
    <n v="1"/>
    <n v="99"/>
    <x v="8"/>
    <m/>
    <x v="7"/>
    <m/>
    <m/>
    <m/>
    <m/>
    <s v="upcoming"/>
    <s v="future"/>
    <n v="160"/>
    <s v="EE"/>
    <s v="WK4"/>
    <d v="2025-10-06T00:00:00"/>
    <m/>
    <x v="1"/>
    <n v="0.5"/>
  </r>
  <r>
    <n v="1253"/>
    <s v="Packaging Tech - Update"/>
    <x v="44"/>
    <x v="256"/>
    <n v="1"/>
    <n v="99"/>
    <x v="8"/>
    <m/>
    <x v="7"/>
    <m/>
    <m/>
    <m/>
    <m/>
    <s v="upcoming"/>
    <s v="future"/>
    <n v="160"/>
    <s v="EE"/>
    <s v="WK4"/>
    <d v="2025-10-06T00:00:00"/>
    <m/>
    <x v="1"/>
    <n v="0.5"/>
  </r>
  <r>
    <n v="1254"/>
    <s v="CA Finance Tax"/>
    <x v="45"/>
    <x v="257"/>
    <n v="1"/>
    <n v="105"/>
    <x v="74"/>
    <m/>
    <x v="8"/>
    <m/>
    <m/>
    <m/>
    <m/>
    <s v="upcoming"/>
    <s v="future"/>
    <n v="170"/>
    <s v="FF"/>
    <s v="WK5"/>
    <d v="2025-10-13T00:00:00"/>
    <m/>
    <x v="1"/>
    <n v="0.5"/>
  </r>
  <r>
    <n v="1255"/>
    <s v="CA Finance Tax"/>
    <x v="45"/>
    <x v="258"/>
    <n v="1"/>
    <n v="105"/>
    <x v="8"/>
    <m/>
    <x v="8"/>
    <m/>
    <m/>
    <m/>
    <m/>
    <s v="upcoming"/>
    <s v="future"/>
    <n v="170"/>
    <s v="FF"/>
    <s v="WK5"/>
    <d v="2025-10-13T00:00:00"/>
    <m/>
    <x v="1"/>
    <n v="0.5"/>
  </r>
  <r>
    <n v="1256"/>
    <s v="Category Finance - update"/>
    <x v="46"/>
    <x v="259"/>
    <n v="1"/>
    <n v="107"/>
    <x v="8"/>
    <m/>
    <x v="9"/>
    <m/>
    <m/>
    <m/>
    <m/>
    <s v="upcoming"/>
    <s v="future"/>
    <n v="180"/>
    <s v="FF"/>
    <s v="WK5"/>
    <d v="2025-10-13T00:00:00"/>
    <m/>
    <x v="1"/>
    <n v="0.5"/>
  </r>
  <r>
    <n v="1257"/>
    <s v="Data Integrity (DI) - Hierarchy"/>
    <x v="13"/>
    <x v="260"/>
    <n v="1"/>
    <n v="110"/>
    <x v="8"/>
    <m/>
    <x v="4"/>
    <m/>
    <m/>
    <m/>
    <m/>
    <s v="upcoming"/>
    <s v="future"/>
    <n v="190"/>
    <s v="FF"/>
    <s v="WK5"/>
    <d v="2025-10-13T00:00:00"/>
    <m/>
    <x v="1"/>
    <n v="0.5"/>
  </r>
  <r>
    <n v="1258"/>
    <s v="LIM - Approval/NIF Dashboard"/>
    <x v="47"/>
    <x v="261"/>
    <n v="1"/>
    <s v="71, 111"/>
    <x v="1"/>
    <m/>
    <x v="2"/>
    <m/>
    <m/>
    <s v="returning to previous team"/>
    <m/>
    <s v="upcoming"/>
    <s v="future"/>
    <n v="200"/>
    <s v="DD"/>
    <s v="WK3"/>
    <d v="2025-09-29T00:00:00"/>
    <m/>
    <x v="1"/>
    <n v="0.5"/>
  </r>
  <r>
    <n v="1259"/>
    <s v="LIM - Approval/NIF Dashboard"/>
    <x v="47"/>
    <x v="262"/>
    <n v="1"/>
    <s v="71, 111"/>
    <x v="8"/>
    <m/>
    <x v="2"/>
    <m/>
    <m/>
    <s v="can only return to one group at a time"/>
    <m/>
    <s v="upcoming"/>
    <s v="future"/>
    <n v="200"/>
    <s v="DD"/>
    <s v="WK3"/>
    <d v="2025-09-29T00:00:00"/>
    <m/>
    <x v="1"/>
    <n v="0.5"/>
  </r>
  <r>
    <n v="1260"/>
    <s v="Masterfiles - Approval"/>
    <x v="48"/>
    <x v="263"/>
    <n v="1"/>
    <n v="114"/>
    <x v="8"/>
    <m/>
    <x v="1"/>
    <m/>
    <m/>
    <m/>
    <m/>
    <s v="upcoming"/>
    <s v="future"/>
    <n v="210"/>
    <s v="HH"/>
    <s v="WK5"/>
    <d v="2025-10-13T00:00:00"/>
    <m/>
    <x v="1"/>
    <n v="0.5"/>
  </r>
  <r>
    <n v="1261"/>
    <s v="Masterfiles - Approval"/>
    <x v="48"/>
    <x v="264"/>
    <n v="1"/>
    <n v="114"/>
    <x v="8"/>
    <m/>
    <x v="1"/>
    <m/>
    <m/>
    <m/>
    <m/>
    <s v="upcoming"/>
    <s v="future"/>
    <n v="210"/>
    <s v="HH"/>
    <s v="WK5"/>
    <d v="2025-10-13T00:00:00"/>
    <m/>
    <x v="1"/>
    <n v="0.5"/>
  </r>
  <r>
    <n v="1262"/>
    <s v="Masterfiles - Approval"/>
    <x v="49"/>
    <x v="265"/>
    <n v="1"/>
    <n v="114"/>
    <x v="75"/>
    <m/>
    <x v="1"/>
    <m/>
    <m/>
    <m/>
    <m/>
    <s v="upcoming"/>
    <s v="future"/>
    <n v="210"/>
    <s v="HH"/>
    <s v="WK5"/>
    <d v="2025-10-13T00:00:00"/>
    <m/>
    <x v="1"/>
    <n v="0.5"/>
  </r>
  <r>
    <n v="1263"/>
    <s v="Masterfiles - Approval"/>
    <x v="50"/>
    <x v="266"/>
    <n v="0"/>
    <n v="115"/>
    <x v="0"/>
    <m/>
    <x v="1"/>
    <m/>
    <m/>
    <m/>
    <m/>
    <s v="upcoming"/>
    <s v="future"/>
    <n v="210"/>
    <s v="HH"/>
    <s v="WK5"/>
    <d v="2025-10-13T00:00:00"/>
    <m/>
    <x v="0"/>
    <n v="0"/>
  </r>
  <r>
    <n v="1264"/>
    <s v="Masterfiles - Approval"/>
    <x v="50"/>
    <x v="267"/>
    <n v="0"/>
    <n v="115"/>
    <x v="0"/>
    <m/>
    <x v="1"/>
    <m/>
    <m/>
    <m/>
    <m/>
    <s v="upcoming"/>
    <s v="future"/>
    <n v="210"/>
    <s v="HH"/>
    <s v="WK5"/>
    <d v="2025-10-13T00:00:00"/>
    <m/>
    <x v="0"/>
    <n v="0"/>
  </r>
  <r>
    <n v="1265"/>
    <s v="Masterfiles - Approval"/>
    <x v="50"/>
    <x v="268"/>
    <n v="0"/>
    <n v="115"/>
    <x v="0"/>
    <m/>
    <x v="1"/>
    <m/>
    <m/>
    <m/>
    <m/>
    <s v="upcoming"/>
    <s v="future"/>
    <n v="210"/>
    <s v="HH"/>
    <s v="WK5"/>
    <d v="2025-10-13T00:00:00"/>
    <m/>
    <x v="0"/>
    <n v="0"/>
  </r>
  <r>
    <n v="1266"/>
    <s v="Masterfiles - Approval"/>
    <x v="50"/>
    <x v="269"/>
    <n v="1"/>
    <n v="115"/>
    <x v="8"/>
    <m/>
    <x v="1"/>
    <m/>
    <m/>
    <m/>
    <s v="Sales_Org_CA_Tax ?? (LIM Forecast - field name: Canada Tax Code); see notes from 9/25/25"/>
    <s v="upcoming"/>
    <s v="future"/>
    <n v="210"/>
    <s v="HH"/>
    <s v="WK5"/>
    <d v="2025-10-13T00:00:00"/>
    <m/>
    <x v="1"/>
    <n v="0.5"/>
  </r>
  <r>
    <n v="1267"/>
    <s v="Masterfiles - Approval"/>
    <x v="51"/>
    <x v="270"/>
    <n v="1"/>
    <n v="118"/>
    <x v="68"/>
    <m/>
    <x v="1"/>
    <m/>
    <m/>
    <m/>
    <m/>
    <s v="upcoming"/>
    <s v="future"/>
    <n v="210"/>
    <s v="HH"/>
    <s v="WK5"/>
    <d v="2025-10-13T00:00:00"/>
    <m/>
    <x v="1"/>
    <n v="0.5"/>
  </r>
  <r>
    <n v="1268"/>
    <s v="Masterfiles - Approval"/>
    <x v="51"/>
    <x v="271"/>
    <n v="1"/>
    <n v="118"/>
    <x v="8"/>
    <m/>
    <x v="1"/>
    <m/>
    <m/>
    <m/>
    <m/>
    <s v="upcoming"/>
    <s v="future"/>
    <n v="210"/>
    <s v="HH"/>
    <s v="WK5"/>
    <d v="2025-10-13T00:00:00"/>
    <m/>
    <x v="1"/>
    <n v="0.5"/>
  </r>
  <r>
    <n v="1269"/>
    <s v="Masterfiles - Approval"/>
    <x v="51"/>
    <x v="272"/>
    <n v="1"/>
    <n v="118"/>
    <x v="68"/>
    <m/>
    <x v="1"/>
    <m/>
    <m/>
    <m/>
    <m/>
    <s v="upcoming"/>
    <s v="future"/>
    <n v="210"/>
    <s v="HH"/>
    <s v="WK5"/>
    <d v="2025-10-13T00:00:00"/>
    <m/>
    <x v="1"/>
    <n v="0.5"/>
  </r>
  <r>
    <n v="1270"/>
    <s v="Masterfiles - Approval"/>
    <x v="51"/>
    <x v="273"/>
    <n v="1"/>
    <n v="118"/>
    <x v="8"/>
    <m/>
    <x v="1"/>
    <m/>
    <m/>
    <m/>
    <m/>
    <s v="upcoming"/>
    <s v="future"/>
    <n v="210"/>
    <s v="HH"/>
    <s v="WK5"/>
    <d v="2025-10-13T00:00:00"/>
    <m/>
    <x v="1"/>
    <n v="0.5"/>
  </r>
  <r>
    <n v="1271"/>
    <s v="Masterfiles - Approval"/>
    <x v="51"/>
    <x v="274"/>
    <n v="1"/>
    <n v="118"/>
    <x v="68"/>
    <m/>
    <x v="1"/>
    <m/>
    <m/>
    <m/>
    <m/>
    <s v="upcoming"/>
    <s v="future"/>
    <n v="210"/>
    <s v="HH"/>
    <s v="WK5"/>
    <d v="2025-10-13T00:00:00"/>
    <m/>
    <x v="1"/>
    <n v="0.5"/>
  </r>
  <r>
    <n v="1272"/>
    <s v="Masterfiles - Approval"/>
    <x v="51"/>
    <x v="275"/>
    <n v="1"/>
    <n v="118"/>
    <x v="8"/>
    <m/>
    <x v="1"/>
    <m/>
    <m/>
    <m/>
    <m/>
    <s v="upcoming"/>
    <s v="future"/>
    <n v="210"/>
    <s v="HH"/>
    <s v="WK5"/>
    <d v="2025-10-13T00:00:00"/>
    <m/>
    <x v="1"/>
    <n v="0.5"/>
  </r>
  <r>
    <n v="1273"/>
    <s v="Masterfiles - Approval"/>
    <x v="51"/>
    <x v="276"/>
    <n v="1"/>
    <n v="118"/>
    <x v="68"/>
    <m/>
    <x v="1"/>
    <m/>
    <m/>
    <m/>
    <m/>
    <s v="upcoming"/>
    <s v="future"/>
    <n v="210"/>
    <s v="HH"/>
    <s v="WK5"/>
    <d v="2025-10-13T00:00:00"/>
    <m/>
    <x v="1"/>
    <n v="0.5"/>
  </r>
  <r>
    <n v="1274"/>
    <s v="Masterfiles - Approval"/>
    <x v="51"/>
    <x v="277"/>
    <n v="1"/>
    <n v="118"/>
    <x v="8"/>
    <m/>
    <x v="1"/>
    <m/>
    <m/>
    <m/>
    <m/>
    <s v="upcoming"/>
    <s v="future"/>
    <n v="210"/>
    <s v="HH"/>
    <s v="WK5"/>
    <d v="2025-10-13T00:00:00"/>
    <m/>
    <x v="1"/>
    <n v="0.5"/>
  </r>
  <r>
    <n v="1275"/>
    <s v="Masterfiles - Approval"/>
    <x v="51"/>
    <x v="278"/>
    <n v="1"/>
    <n v="118"/>
    <x v="68"/>
    <m/>
    <x v="1"/>
    <m/>
    <m/>
    <m/>
    <m/>
    <s v="upcoming"/>
    <s v="future"/>
    <n v="210"/>
    <s v="HH"/>
    <s v="WK5"/>
    <d v="2025-10-13T00:00:00"/>
    <m/>
    <x v="1"/>
    <n v="0.5"/>
  </r>
  <r>
    <n v="1276"/>
    <s v="Masterfiles - Approval"/>
    <x v="51"/>
    <x v="279"/>
    <n v="1"/>
    <n v="118"/>
    <x v="8"/>
    <m/>
    <x v="1"/>
    <m/>
    <m/>
    <m/>
    <m/>
    <s v="upcoming"/>
    <s v="future"/>
    <n v="210"/>
    <s v="HH"/>
    <s v="WK5"/>
    <d v="2025-10-13T00:00:00"/>
    <m/>
    <x v="1"/>
    <n v="0.5"/>
  </r>
  <r>
    <n v="1277"/>
    <s v="Masterfiles - Approval"/>
    <x v="51"/>
    <x v="280"/>
    <n v="1"/>
    <n v="118"/>
    <x v="42"/>
    <m/>
    <x v="1"/>
    <m/>
    <m/>
    <m/>
    <m/>
    <s v="upcoming"/>
    <s v="future"/>
    <n v="210"/>
    <s v="HH"/>
    <s v="WK5"/>
    <d v="2025-10-13T00:00:00"/>
    <m/>
    <x v="1"/>
    <n v="0.5"/>
  </r>
  <r>
    <n v="1278"/>
    <s v="Masterfiles - Create Plant Extensions, pricing &amp; BOM's"/>
    <x v="52"/>
    <x v="281"/>
    <n v="1"/>
    <n v="120"/>
    <x v="28"/>
    <m/>
    <x v="1"/>
    <m/>
    <m/>
    <m/>
    <m/>
    <s v="upcoming"/>
    <s v="future"/>
    <n v="220"/>
    <s v="HH"/>
    <s v="WK5"/>
    <d v="2025-10-13T00:00:00"/>
    <m/>
    <x v="1"/>
    <n v="0.5"/>
  </r>
  <r>
    <n v="1279"/>
    <s v="Masterfiles - Create Plant Extensions, pricing &amp; BOM's"/>
    <x v="52"/>
    <x v="282"/>
    <n v="1"/>
    <n v="120"/>
    <x v="28"/>
    <m/>
    <x v="1"/>
    <m/>
    <m/>
    <m/>
    <m/>
    <s v="upcoming"/>
    <s v="future"/>
    <n v="220"/>
    <s v="HH"/>
    <s v="WK5"/>
    <d v="2025-10-13T00:00:00"/>
    <m/>
    <x v="1"/>
    <n v="0.5"/>
  </r>
  <r>
    <n v="1280"/>
    <s v="Masterfiles - Create Plant Extensions, pricing &amp; BOM's"/>
    <x v="52"/>
    <x v="283"/>
    <n v="0"/>
    <n v="120"/>
    <x v="0"/>
    <m/>
    <x v="1"/>
    <m/>
    <m/>
    <m/>
    <m/>
    <s v="upcoming"/>
    <s v="future"/>
    <n v="220"/>
    <s v="HH"/>
    <s v="WK5"/>
    <d v="2025-10-13T00:00:00"/>
    <m/>
    <x v="0"/>
    <n v="0"/>
  </r>
  <r>
    <n v="1281"/>
    <s v="Masterfiles - Create Plant Extensions, pricing &amp; BOM's"/>
    <x v="53"/>
    <x v="284"/>
    <n v="1"/>
    <n v="120"/>
    <x v="68"/>
    <m/>
    <x v="1"/>
    <m/>
    <m/>
    <m/>
    <m/>
    <s v="upcoming"/>
    <s v="future"/>
    <n v="220"/>
    <s v="HH"/>
    <s v="WK5"/>
    <d v="2025-10-13T00:00:00"/>
    <m/>
    <x v="1"/>
    <n v="0.5"/>
  </r>
  <r>
    <n v="1282"/>
    <s v="Masterfiles - Create Plant Extensions, pricing &amp; BOM's"/>
    <x v="53"/>
    <x v="285"/>
    <n v="1"/>
    <n v="120"/>
    <x v="8"/>
    <m/>
    <x v="1"/>
    <m/>
    <m/>
    <m/>
    <m/>
    <s v="upcoming"/>
    <s v="future"/>
    <n v="220"/>
    <s v="HH"/>
    <s v="WK5"/>
    <d v="2025-10-13T00:00:00"/>
    <m/>
    <x v="1"/>
    <n v="0.5"/>
  </r>
  <r>
    <n v="1283"/>
    <s v="Masterfiles - Create Plant Extensions, pricing &amp; BOM's"/>
    <x v="53"/>
    <x v="286"/>
    <n v="1"/>
    <n v="120"/>
    <x v="8"/>
    <m/>
    <x v="1"/>
    <m/>
    <m/>
    <m/>
    <m/>
    <s v="upcoming"/>
    <s v="future"/>
    <n v="220"/>
    <s v="HH"/>
    <s v="WK5"/>
    <d v="2025-10-13T00:00:00"/>
    <m/>
    <x v="1"/>
    <n v="0.5"/>
  </r>
  <r>
    <n v="1284"/>
    <s v="Masterfiles - Create Plant Extensions, pricing &amp; BOM's"/>
    <x v="54"/>
    <x v="287"/>
    <n v="1"/>
    <n v="125"/>
    <x v="8"/>
    <m/>
    <x v="1"/>
    <m/>
    <m/>
    <m/>
    <m/>
    <s v="upcoming"/>
    <s v="future"/>
    <n v="220"/>
    <s v="HH"/>
    <s v="WK5"/>
    <d v="2025-10-13T00:00:00"/>
    <m/>
    <x v="1"/>
    <n v="0.5"/>
  </r>
  <r>
    <n v="1285"/>
    <s v="Masterfiles - Create Plant Extensions, pricing &amp; BOM's"/>
    <x v="54"/>
    <x v="288"/>
    <n v="1"/>
    <n v="125"/>
    <x v="8"/>
    <m/>
    <x v="1"/>
    <m/>
    <m/>
    <m/>
    <m/>
    <s v="upcoming"/>
    <s v="future"/>
    <n v="220"/>
    <s v="HH"/>
    <s v="WK5"/>
    <d v="2025-10-13T00:00:00"/>
    <m/>
    <x v="1"/>
    <n v="0.5"/>
  </r>
  <r>
    <n v="1286"/>
    <s v="Masterfiles - Create Plant Extensions, pricing &amp; BOM's"/>
    <x v="54"/>
    <x v="289"/>
    <n v="1"/>
    <n v="125"/>
    <x v="8"/>
    <m/>
    <x v="1"/>
    <m/>
    <m/>
    <m/>
    <m/>
    <s v="upcoming"/>
    <s v="future"/>
    <n v="220"/>
    <s v="HH"/>
    <s v="WK5"/>
    <d v="2025-10-13T00:00:00"/>
    <m/>
    <x v="1"/>
    <n v="0.5"/>
  </r>
  <r>
    <n v="1287"/>
    <s v="Masterfiles - Create Plant Extensions, pricing &amp; BOM's"/>
    <x v="55"/>
    <x v="290"/>
    <n v="1"/>
    <n v="125"/>
    <x v="68"/>
    <m/>
    <x v="1"/>
    <m/>
    <m/>
    <m/>
    <m/>
    <s v="upcoming"/>
    <s v="future"/>
    <n v="220"/>
    <s v="HH"/>
    <s v="WK5"/>
    <d v="2025-10-13T00:00:00"/>
    <m/>
    <x v="1"/>
    <n v="0.5"/>
  </r>
  <r>
    <n v="1288"/>
    <s v="Masterfiles - Create Plant Extensions, pricing &amp; BOM's"/>
    <x v="55"/>
    <x v="291"/>
    <n v="1"/>
    <n v="125"/>
    <x v="8"/>
    <m/>
    <x v="1"/>
    <m/>
    <m/>
    <m/>
    <m/>
    <s v="upcoming"/>
    <s v="future"/>
    <n v="220"/>
    <s v="HH"/>
    <s v="WK5"/>
    <d v="2025-10-13T00:00:00"/>
    <m/>
    <x v="1"/>
    <n v="0.5"/>
  </r>
  <r>
    <n v="1289"/>
    <s v="Masterfiles - Create Plant Extensions, pricing &amp; BOM's"/>
    <x v="55"/>
    <x v="292"/>
    <n v="1"/>
    <n v="125"/>
    <x v="8"/>
    <m/>
    <x v="1"/>
    <m/>
    <m/>
    <m/>
    <m/>
    <s v="upcoming"/>
    <s v="future"/>
    <n v="220"/>
    <s v="HH"/>
    <s v="WK5"/>
    <d v="2025-10-13T00:00:00"/>
    <m/>
    <x v="1"/>
    <n v="0.5"/>
  </r>
  <r>
    <n v="1290"/>
    <s v="Masterfiles - Create Plant Extensions, pricing &amp; BOM's"/>
    <x v="55"/>
    <x v="293"/>
    <n v="1"/>
    <n v="125"/>
    <x v="8"/>
    <m/>
    <x v="1"/>
    <m/>
    <m/>
    <m/>
    <m/>
    <s v="upcoming"/>
    <s v="future"/>
    <n v="220"/>
    <s v="HH"/>
    <s v="WK5"/>
    <d v="2025-10-13T00:00:00"/>
    <m/>
    <x v="1"/>
    <n v="0.5"/>
  </r>
  <r>
    <n v="1291"/>
    <s v="Masterfiles - Create Plant Extensions, pricing &amp; BOM's"/>
    <x v="56"/>
    <x v="294"/>
    <n v="1"/>
    <n v="125"/>
    <x v="7"/>
    <m/>
    <x v="1"/>
    <m/>
    <m/>
    <m/>
    <m/>
    <s v="upcoming"/>
    <s v="future"/>
    <n v="220"/>
    <s v="HH"/>
    <s v="WK5"/>
    <d v="2025-10-13T00:00:00"/>
    <m/>
    <x v="1"/>
    <n v="0.5"/>
  </r>
  <r>
    <n v="1292"/>
    <s v="Masterfiles - Create Plant Extensions, pricing &amp; BOM's"/>
    <x v="56"/>
    <x v="295"/>
    <n v="1"/>
    <n v="125"/>
    <x v="8"/>
    <m/>
    <x v="1"/>
    <m/>
    <m/>
    <m/>
    <s v="?? 1292 dependent on 1012 DTC"/>
    <s v="upcoming"/>
    <s v="future"/>
    <n v="220"/>
    <s v="HH"/>
    <s v="WK5"/>
    <d v="2025-10-13T00:00:00"/>
    <m/>
    <x v="1"/>
    <n v="0.5"/>
  </r>
  <r>
    <n v="1293"/>
    <s v="Masterfiles - Create Plant Extensions, pricing &amp; BOM's"/>
    <x v="57"/>
    <x v="296"/>
    <n v="1"/>
    <n v="126"/>
    <x v="68"/>
    <m/>
    <x v="1"/>
    <m/>
    <m/>
    <s v="Manually perform all steps"/>
    <m/>
    <s v="upcoming"/>
    <s v="future"/>
    <n v="220"/>
    <s v="HH"/>
    <s v="WK5"/>
    <d v="2025-10-13T00:00:00"/>
    <m/>
    <x v="0"/>
    <n v="0"/>
  </r>
  <r>
    <n v="1294"/>
    <s v="Masterfiles - Create Plant Extensions, pricing &amp; BOM's"/>
    <x v="58"/>
    <x v="297"/>
    <n v="1"/>
    <n v="126"/>
    <x v="42"/>
    <m/>
    <x v="1"/>
    <m/>
    <m/>
    <m/>
    <m/>
    <s v="upcoming"/>
    <s v="future"/>
    <n v="220"/>
    <s v="HH"/>
    <s v="WK5"/>
    <d v="2025-10-13T00:00:00"/>
    <m/>
    <x v="1"/>
    <n v="0.5"/>
  </r>
  <r>
    <n v="1295"/>
    <s v="Requestor - Req Launch DTC"/>
    <x v="59"/>
    <x v="298"/>
    <n v="1"/>
    <n v="128"/>
    <x v="28"/>
    <m/>
    <x v="0"/>
    <m/>
    <m/>
    <m/>
    <m/>
    <s v="upcoming"/>
    <s v="future"/>
    <n v="230"/>
    <s v="CC"/>
    <s v="WK3"/>
    <d v="2025-09-29T00:00:00"/>
    <n v="8"/>
    <x v="1"/>
    <n v="0.5"/>
  </r>
  <r>
    <n v="1296"/>
    <s v="Requestor - Req Launch DTC"/>
    <x v="59"/>
    <x v="299"/>
    <n v="1"/>
    <n v="128"/>
    <x v="8"/>
    <m/>
    <x v="0"/>
    <m/>
    <m/>
    <m/>
    <m/>
    <s v="upcoming"/>
    <s v="future"/>
    <n v="230"/>
    <s v="CC"/>
    <s v="WK3"/>
    <d v="2025-09-29T00:00:00"/>
    <n v="8"/>
    <x v="1"/>
    <n v="0.5"/>
  </r>
  <r>
    <n v="1297"/>
    <s v="Requestor - Req Launch DTC"/>
    <x v="59"/>
    <x v="300"/>
    <n v="0"/>
    <n v="128"/>
    <x v="76"/>
    <m/>
    <x v="0"/>
    <m/>
    <m/>
    <m/>
    <m/>
    <s v="upcoming"/>
    <s v="future"/>
    <n v="230"/>
    <s v="CC"/>
    <s v="WK3"/>
    <d v="2025-09-29T00:00:00"/>
    <n v="8"/>
    <x v="2"/>
    <n v="0"/>
  </r>
  <r>
    <n v="1298"/>
    <s v="Requestor - Req Launch DTC"/>
    <x v="59"/>
    <x v="301"/>
    <n v="0"/>
    <n v="129"/>
    <x v="76"/>
    <m/>
    <x v="0"/>
    <m/>
    <m/>
    <m/>
    <m/>
    <s v="upcoming"/>
    <s v="future"/>
    <n v="230"/>
    <s v="CC"/>
    <s v="WK3"/>
    <d v="2025-09-29T00:00:00"/>
    <n v="8"/>
    <x v="2"/>
    <n v="0"/>
  </r>
  <r>
    <n v="1299"/>
    <s v="Requestor - Req Launch DTC"/>
    <x v="59"/>
    <x v="302"/>
    <n v="0"/>
    <n v="130"/>
    <x v="76"/>
    <m/>
    <x v="0"/>
    <m/>
    <m/>
    <m/>
    <m/>
    <s v="upcoming"/>
    <s v="future"/>
    <n v="230"/>
    <s v="CC"/>
    <s v="WK3"/>
    <d v="2025-09-29T00:00:00"/>
    <n v="8"/>
    <x v="2"/>
    <n v="0"/>
  </r>
  <r>
    <n v="1300"/>
    <s v="Requestor - Req Launch DTC"/>
    <x v="60"/>
    <x v="303"/>
    <n v="1"/>
    <n v="130"/>
    <x v="77"/>
    <m/>
    <x v="0"/>
    <m/>
    <m/>
    <m/>
    <m/>
    <s v="upcoming"/>
    <s v="future"/>
    <n v="230"/>
    <s v="CC"/>
    <s v="WK3"/>
    <d v="2025-09-29T00:00:00"/>
    <n v="8"/>
    <x v="3"/>
    <n v="1"/>
  </r>
  <r>
    <n v="1301"/>
    <s v="Requestor - Req Launch DTC"/>
    <x v="61"/>
    <x v="304"/>
    <n v="1"/>
    <n v="130"/>
    <x v="7"/>
    <m/>
    <x v="0"/>
    <m/>
    <m/>
    <m/>
    <s v="?? 1301 dependent on 1012 DTC"/>
    <s v="upcoming"/>
    <s v="future"/>
    <n v="230"/>
    <s v="CC"/>
    <s v="WK3"/>
    <d v="2025-09-29T00:00:00"/>
    <n v="8"/>
    <x v="1"/>
    <n v="0.5"/>
  </r>
  <r>
    <n v="1302"/>
    <s v="Requestor - Req Launch DTC"/>
    <x v="61"/>
    <x v="305"/>
    <n v="0"/>
    <n v="130"/>
    <x v="76"/>
    <m/>
    <x v="0"/>
    <m/>
    <m/>
    <m/>
    <s v="?? 1302 dependent on 1012 DTC"/>
    <s v="upcoming"/>
    <s v="future"/>
    <n v="230"/>
    <s v="CC"/>
    <s v="WK3"/>
    <d v="2025-09-29T00:00:00"/>
    <n v="8"/>
    <x v="2"/>
    <n v="0"/>
  </r>
  <r>
    <n v="1303"/>
    <s v="Requestor - Req Launch DTC"/>
    <x v="61"/>
    <x v="306"/>
    <n v="0"/>
    <n v="130"/>
    <x v="76"/>
    <m/>
    <x v="0"/>
    <m/>
    <m/>
    <m/>
    <m/>
    <s v="upcoming"/>
    <s v="future"/>
    <n v="230"/>
    <s v="CC"/>
    <s v="WK3"/>
    <d v="2025-09-29T00:00:00"/>
    <n v="8"/>
    <x v="2"/>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7">
  <r>
    <x v="0"/>
    <x v="0"/>
    <s v="Requestor Initiate"/>
    <x v="0"/>
    <n v="0"/>
    <n v="23"/>
    <s v="autofill"/>
    <s v="yes"/>
    <x v="0"/>
    <m/>
    <m/>
    <m/>
    <s v="pull name from user logged in"/>
    <x v="0"/>
    <s v="complete"/>
    <x v="0"/>
    <x v="0"/>
    <x v="0"/>
    <x v="0"/>
    <n v="9"/>
    <x v="0"/>
    <n v="0"/>
    <x v="0"/>
    <d v="2025-09-23T00:00:00"/>
    <d v="2025-09-25T00:00:00"/>
    <d v="2025-09-29T00:00:00"/>
  </r>
  <r>
    <x v="1"/>
    <x v="0"/>
    <s v="Requestor Initiate"/>
    <x v="1"/>
    <n v="0"/>
    <n v="23"/>
    <s v="autofill"/>
    <s v="yes"/>
    <x v="0"/>
    <m/>
    <m/>
    <m/>
    <s v="pull email from user logged in"/>
    <x v="0"/>
    <s v="complete"/>
    <x v="0"/>
    <x v="0"/>
    <x v="0"/>
    <x v="0"/>
    <n v="9"/>
    <x v="0"/>
    <n v="0"/>
    <x v="0"/>
    <d v="2025-09-23T00:00:00"/>
    <d v="2025-09-25T00:00:00"/>
    <d v="2025-09-29T00:00:00"/>
  </r>
  <r>
    <x v="2"/>
    <x v="0"/>
    <s v="Requestor Initiate"/>
    <x v="2"/>
    <n v="0"/>
    <n v="23"/>
    <s v="autofill"/>
    <s v="yes"/>
    <x v="0"/>
    <m/>
    <m/>
    <m/>
    <s v="pull date from computer"/>
    <x v="0"/>
    <s v="complete"/>
    <x v="0"/>
    <x v="0"/>
    <x v="0"/>
    <x v="0"/>
    <n v="9"/>
    <x v="0"/>
    <n v="0"/>
    <x v="0"/>
    <d v="2025-09-23T00:00:00"/>
    <d v="2025-09-25T00:00:00"/>
    <d v="2025-09-29T00:00:00"/>
  </r>
  <r>
    <x v="3"/>
    <x v="0"/>
    <s v="Requestor Initiate"/>
    <x v="3"/>
    <n v="0"/>
    <n v="23"/>
    <s v="autofill"/>
    <s v="yes"/>
    <x v="0"/>
    <m/>
    <m/>
    <m/>
    <s v="pull NIF version of the form"/>
    <x v="0"/>
    <s v="complete"/>
    <x v="0"/>
    <x v="0"/>
    <x v="0"/>
    <x v="0"/>
    <n v="9"/>
    <x v="0"/>
    <n v="0"/>
    <x v="0"/>
    <d v="2025-09-23T00:00:00"/>
    <d v="2025-09-25T00:00:00"/>
    <d v="2025-09-29T00:00:00"/>
  </r>
  <r>
    <x v="4"/>
    <x v="0"/>
    <s v="Person Responsible"/>
    <x v="4"/>
    <n v="0"/>
    <n v="23"/>
    <s v="dd: user roles"/>
    <s v="yes"/>
    <x v="0"/>
    <m/>
    <m/>
    <m/>
    <s v="pull name from user logged in"/>
    <x v="0"/>
    <s v="complete"/>
    <x v="0"/>
    <x v="0"/>
    <x v="0"/>
    <x v="0"/>
    <n v="9"/>
    <x v="0"/>
    <n v="0"/>
    <x v="0"/>
    <d v="2025-09-23T00:00:00"/>
    <d v="2025-09-25T00:00:00"/>
    <d v="2025-09-29T00:00:00"/>
  </r>
  <r>
    <x v="5"/>
    <x v="0"/>
    <s v="Person Responsible"/>
    <x v="5"/>
    <n v="1"/>
    <s v="23, 32, 61"/>
    <s v="dd: user roles"/>
    <s v="yes"/>
    <x v="0"/>
    <s v="LIM"/>
    <m/>
    <m/>
    <s v="no Business Rules"/>
    <x v="0"/>
    <s v="complete"/>
    <x v="0"/>
    <x v="0"/>
    <x v="0"/>
    <x v="0"/>
    <n v="4"/>
    <x v="1"/>
    <n v="0.5"/>
    <x v="1"/>
    <d v="2025-09-23T00:00:00"/>
    <d v="2025-09-25T00:00:00"/>
    <d v="2025-09-29T00:00:00"/>
  </r>
  <r>
    <x v="6"/>
    <x v="0"/>
    <s v="Product Setup"/>
    <x v="6"/>
    <n v="0"/>
    <n v="0"/>
    <s v="dd: WKKC, KELLANOVA"/>
    <s v="yes"/>
    <x v="0"/>
    <m/>
    <m/>
    <s v="9/24/25 new field identified"/>
    <s v="autofill to KELLANOVA"/>
    <x v="0"/>
    <s v="complete"/>
    <x v="0"/>
    <x v="0"/>
    <x v="0"/>
    <x v="0"/>
    <m/>
    <x v="1"/>
    <n v="0"/>
    <x v="0"/>
    <d v="2025-09-24T00:00:00"/>
    <d v="2025-09-25T00:00:00"/>
    <d v="2025-09-29T00:00:00"/>
  </r>
  <r>
    <x v="7"/>
    <x v="0"/>
    <s v="Product Setup"/>
    <x v="7"/>
    <n v="1"/>
    <n v="24"/>
    <s v="dd: CASE, DISPLAY, WIP"/>
    <s v="yes"/>
    <x v="0"/>
    <m/>
    <s v="col A"/>
    <m/>
    <s v="Flowchart: Product Type / Product Sub Type"/>
    <x v="0"/>
    <s v="complete"/>
    <x v="0"/>
    <x v="0"/>
    <x v="1"/>
    <x v="1"/>
    <n v="1"/>
    <x v="2"/>
    <n v="1.5"/>
    <x v="2"/>
    <d v="2025-09-18T00:00:00"/>
    <d v="2025-09-21T00:00:00"/>
    <d v="2025-09-22T00:00:00"/>
  </r>
  <r>
    <x v="8"/>
    <x v="0"/>
    <s v="Product Setup"/>
    <x v="8"/>
    <n v="1"/>
    <n v="24"/>
    <s v="dd: reference list: PRODUCT_COUNTRY.XLSX"/>
    <s v="yes"/>
    <x v="0"/>
    <m/>
    <s v="NOT in BR.xlsx"/>
    <m/>
    <s v="Flowchart: Product Type / Product Sub Type"/>
    <x v="0"/>
    <s v="complete"/>
    <x v="0"/>
    <x v="0"/>
    <x v="1"/>
    <x v="1"/>
    <n v="1"/>
    <x v="2"/>
    <n v="1.5"/>
    <x v="2"/>
    <d v="2025-09-18T00:00:00"/>
    <d v="2025-09-21T00:00:00"/>
    <d v="2025-09-22T00:00:00"/>
  </r>
  <r>
    <x v="9"/>
    <x v="0"/>
    <s v="Product Setup"/>
    <x v="9"/>
    <n v="1"/>
    <n v="24"/>
    <s v="dd: reference list: PRODUCT_SETUP_TYPE.XLSX, Setup_Type column"/>
    <s v="yes"/>
    <x v="0"/>
    <m/>
    <s v="col B"/>
    <s v="dependent on FORM TYPE"/>
    <s v="Flowchart: Product Type / Product Sub Type"/>
    <x v="0"/>
    <s v="complete"/>
    <x v="0"/>
    <x v="0"/>
    <x v="1"/>
    <x v="1"/>
    <n v="1"/>
    <x v="2"/>
    <n v="1.5"/>
    <x v="2"/>
    <d v="2025-09-24T00:00:00"/>
    <d v="2025-09-24T00:00:00"/>
    <d v="2025-09-29T00:00:00"/>
  </r>
  <r>
    <x v="10"/>
    <x v="0"/>
    <s v="Product Setup"/>
    <x v="10"/>
    <n v="1"/>
    <n v="24"/>
    <s v="dd: reference list: PRODUCT_SETUP_TYPE.XLSX, Setup_Qualifier column"/>
    <s v="yes"/>
    <x v="0"/>
    <m/>
    <s v="col C"/>
    <s v="dependent on PRODUCT TYPE"/>
    <s v="Flowchart: Product Type / Product Sub Type"/>
    <x v="0"/>
    <s v="complete"/>
    <x v="0"/>
    <x v="0"/>
    <x v="1"/>
    <x v="1"/>
    <n v="1"/>
    <x v="2"/>
    <n v="1.5"/>
    <x v="2"/>
    <d v="2025-09-18T00:00:00"/>
    <d v="2025-09-21T00:00:00"/>
    <d v="2025-09-22T00:00:00"/>
  </r>
  <r>
    <x v="11"/>
    <x v="0"/>
    <s v="Product Setup"/>
    <x v="11"/>
    <n v="1"/>
    <n v="24"/>
    <s v="dd: YES, NO"/>
    <s v="yes"/>
    <x v="0"/>
    <m/>
    <s v="NOT in BR.xlsx"/>
    <m/>
    <s v="1011 predecessor for pringles naming convention for country sold in as part of description (1175); plus Pringles Can Size (1235), and RTEC/Pringles Cube Size (1239) is required"/>
    <x v="0"/>
    <s v="complete"/>
    <x v="0"/>
    <x v="0"/>
    <x v="1"/>
    <x v="1"/>
    <n v="1"/>
    <x v="1"/>
    <n v="0.5"/>
    <x v="2"/>
    <d v="2025-09-19T00:00:00"/>
    <d v="2025-09-23T00:00:00"/>
    <d v="2025-09-23T00:00:00"/>
  </r>
  <r>
    <x v="12"/>
    <x v="0"/>
    <s v="Product Setup"/>
    <x v="12"/>
    <n v="1"/>
    <n v="24"/>
    <s v="dd: YES, NO"/>
    <s v="yes"/>
    <x v="0"/>
    <m/>
    <s v="NOT in BR.xlsx"/>
    <m/>
    <s v="1012 predecessor to: &quot;Will product be sold DTC question&quot; (1162), this will also kick off the DTC form at end of process;  ?? Dependencies 1292, 1301, 1302"/>
    <x v="0"/>
    <s v="complete"/>
    <x v="0"/>
    <x v="0"/>
    <x v="1"/>
    <x v="1"/>
    <n v="1"/>
    <x v="1"/>
    <n v="0.5"/>
    <x v="2"/>
    <d v="2025-09-19T00:00:00"/>
    <d v="2025-09-23T00:00:00"/>
    <d v="2025-09-23T00:00:00"/>
  </r>
  <r>
    <x v="13"/>
    <x v="0"/>
    <s v="Product Setup"/>
    <x v="13"/>
    <n v="0"/>
    <s v="24, 45"/>
    <s v="free form"/>
    <s v="no"/>
    <x v="1"/>
    <m/>
    <m/>
    <s v="same as field 1070"/>
    <s v="duplicate of 1070"/>
    <x v="0"/>
    <s v="complete"/>
    <x v="0"/>
    <x v="0"/>
    <x v="1"/>
    <x v="1"/>
    <n v="1"/>
    <x v="1"/>
    <n v="0"/>
    <x v="3"/>
    <d v="2025-09-19T00:00:00"/>
    <d v="2025-09-19T00:00:00"/>
    <d v="2025-09-19T00:00:00"/>
  </r>
  <r>
    <x v="14"/>
    <x v="0"/>
    <s v="Product Setup"/>
    <x v="14"/>
    <n v="1"/>
    <n v="24"/>
    <s v="dd: KUBIC, PDR, PWR, SCR"/>
    <s v="yes"/>
    <x v="0"/>
    <m/>
    <s v="col E"/>
    <m/>
    <s v="1014: predecessor for: 1015, 1025"/>
    <x v="0"/>
    <s v="complete"/>
    <x v="0"/>
    <x v="0"/>
    <x v="1"/>
    <x v="1"/>
    <n v="1"/>
    <x v="3"/>
    <n v="1"/>
    <x v="2"/>
    <d v="2025-09-19T00:00:00"/>
    <d v="2025-09-22T00:00:00"/>
    <d v="2025-09-22T00:00:00"/>
  </r>
  <r>
    <x v="15"/>
    <x v="0"/>
    <s v="Product Setup"/>
    <x v="15"/>
    <n v="1"/>
    <n v="24"/>
    <s v="free form"/>
    <s v="yes"/>
    <x v="0"/>
    <m/>
    <s v="col G"/>
    <m/>
    <s v="1015: dependent on 1014 PROJECT TYPE: PDR and SCR is text (ex Tasty) PWR is numeric"/>
    <x v="0"/>
    <s v="complete"/>
    <x v="0"/>
    <x v="0"/>
    <x v="1"/>
    <x v="1"/>
    <n v="1"/>
    <x v="1"/>
    <n v="0.5"/>
    <x v="2"/>
    <d v="2025-09-19T00:00:00"/>
    <d v="2025-09-22T00:00:00"/>
    <d v="2025-09-22T00:00:00"/>
  </r>
  <r>
    <x v="16"/>
    <x v="0"/>
    <s v="Product Setup"/>
    <x v="16"/>
    <n v="1"/>
    <n v="0"/>
    <s v="dd: reference list: RDL_Categories.xlsx"/>
    <s v="yes"/>
    <x v="0"/>
    <m/>
    <s v="col I"/>
    <s v="…not in Trng_deck.ppt;_x000a_Bars, Crackers, Other Convenience, Salty Snacks, Frozen, Toaster Pastries, Veggies"/>
    <s v="no known BR based on data entered"/>
    <x v="0"/>
    <s v="complete"/>
    <x v="0"/>
    <x v="0"/>
    <x v="1"/>
    <x v="1"/>
    <n v="1"/>
    <x v="1"/>
    <n v="0.5"/>
    <x v="2"/>
    <d v="2025-09-19T00:00:00"/>
    <d v="2025-09-22T00:00:00"/>
    <d v="2025-09-22T00:00:00"/>
  </r>
  <r>
    <x v="17"/>
    <x v="0"/>
    <s v="Product Setup"/>
    <x v="17"/>
    <n v="1"/>
    <s v="24, 33, 73"/>
    <s v="free form"/>
    <s v="yes"/>
    <x v="0"/>
    <s v="LIM"/>
    <s v="col K"/>
    <s v="used for naming NIF form, but do not incorporate into AI"/>
    <s v="no more than 40 characters"/>
    <x v="0"/>
    <s v="complete"/>
    <x v="0"/>
    <x v="0"/>
    <x v="1"/>
    <x v="1"/>
    <n v="1"/>
    <x v="3"/>
    <n v="1"/>
    <x v="3"/>
    <d v="2025-09-19T00:00:00"/>
    <d v="2025-09-22T00:00:00"/>
    <d v="2025-09-22T00:00:00"/>
  </r>
  <r>
    <x v="18"/>
    <x v="0"/>
    <s v="Product Setup"/>
    <x v="18"/>
    <n v="1"/>
    <s v="24, 33, 73"/>
    <s v="free form"/>
    <s v="yes"/>
    <x v="0"/>
    <s v="LIM"/>
    <s v="col M"/>
    <s v="Be as detailed as possible and provide the flavor, package size and can size, if known"/>
    <s v="no known BR based on data entered"/>
    <x v="0"/>
    <s v="complete"/>
    <x v="0"/>
    <x v="0"/>
    <x v="1"/>
    <x v="1"/>
    <n v="1"/>
    <x v="3"/>
    <n v="1"/>
    <x v="3"/>
    <d v="2025-09-19T00:00:00"/>
    <d v="2025-09-22T00:00:00"/>
    <d v="2025-09-22T00:00:00"/>
  </r>
  <r>
    <x v="19"/>
    <x v="0"/>
    <s v="Stated Weights/Case Count"/>
    <x v="19"/>
    <n v="1"/>
    <s v="24, 33, 73"/>
    <s v="dd: PACKAGE, INNER ITEM/POUCH"/>
    <s v="yes"/>
    <x v="0"/>
    <s v="LIM"/>
    <s v="col O"/>
    <s v="informational only"/>
    <s v="no known BR based on data entered"/>
    <x v="0"/>
    <s v="complete"/>
    <x v="0"/>
    <x v="0"/>
    <x v="1"/>
    <x v="1"/>
    <n v="2"/>
    <x v="3"/>
    <n v="1"/>
    <x v="3"/>
    <d v="2025-09-19T00:00:00"/>
    <d v="2025-09-23T00:00:00"/>
    <d v="2025-09-29T00:00:00"/>
  </r>
  <r>
    <x v="20"/>
    <x v="0"/>
    <s v="Stated Weights/Case Count"/>
    <x v="20"/>
    <n v="1"/>
    <s v="24, 33, 73"/>
    <s v="dd: ESTIMATED, FINALIZED"/>
    <s v="yes"/>
    <x v="0"/>
    <s v="LIM"/>
    <s v="col Q"/>
    <s v="informational only"/>
    <s v="no known BR based on data entered"/>
    <x v="0"/>
    <s v="complete"/>
    <x v="0"/>
    <x v="0"/>
    <x v="1"/>
    <x v="1"/>
    <n v="2"/>
    <x v="3"/>
    <n v="1"/>
    <x v="3"/>
    <d v="2025-09-19T00:00:00"/>
    <d v="2025-09-23T00:00:00"/>
    <d v="2025-09-29T00:00:00"/>
  </r>
  <r>
    <x v="21"/>
    <x v="0"/>
    <s v="Stated Weights/Case Count"/>
    <x v="21"/>
    <n v="1"/>
    <s v="24, 33, 73, 99"/>
    <s v="free form"/>
    <s v="yes"/>
    <x v="0"/>
    <s v="LIM, Packaging Tech"/>
    <s v="col S"/>
    <s v="informational only"/>
    <s v="no known BR based on data entered"/>
    <x v="0"/>
    <s v="complete"/>
    <x v="0"/>
    <x v="0"/>
    <x v="1"/>
    <x v="1"/>
    <n v="2"/>
    <x v="1"/>
    <n v="0.5"/>
    <x v="3"/>
    <d v="2025-09-19T00:00:00"/>
    <d v="2025-09-23T00:00:00"/>
    <d v="2025-09-29T00:00:00"/>
  </r>
  <r>
    <x v="22"/>
    <x v="0"/>
    <s v="Stated Weights/Case Count"/>
    <x v="22"/>
    <n v="1"/>
    <s v="24, 33, 73"/>
    <s v="dd: OZ, LB, G, KG"/>
    <s v="yes"/>
    <x v="0"/>
    <s v="LIM"/>
    <s v="col U"/>
    <s v="informational only"/>
    <s v="no known BR based on data entered"/>
    <x v="0"/>
    <s v="complete"/>
    <x v="0"/>
    <x v="0"/>
    <x v="1"/>
    <x v="1"/>
    <n v="2"/>
    <x v="1"/>
    <n v="0.5"/>
    <x v="3"/>
    <d v="2025-09-19T00:00:00"/>
    <d v="2025-09-23T00:00:00"/>
    <d v="2025-09-29T00:00:00"/>
  </r>
  <r>
    <x v="23"/>
    <x v="0"/>
    <s v="Stated Weights/Case Count"/>
    <x v="23"/>
    <n v="1"/>
    <s v="24, 33, 73"/>
    <s v="dd: ESTIMATED, FINALIZED"/>
    <s v="yes"/>
    <x v="0"/>
    <s v="LIM"/>
    <s v="col W"/>
    <s v="informational only"/>
    <s v="no known BR based on data entered"/>
    <x v="0"/>
    <s v="complete"/>
    <x v="0"/>
    <x v="0"/>
    <x v="1"/>
    <x v="1"/>
    <n v="2"/>
    <x v="3"/>
    <n v="1"/>
    <x v="3"/>
    <d v="2025-09-19T00:00:00"/>
    <d v="2025-09-23T00:00:00"/>
    <d v="2025-09-29T00:00:00"/>
  </r>
  <r>
    <x v="24"/>
    <x v="0"/>
    <s v="Stated Weights/Case Count"/>
    <x v="24"/>
    <n v="1"/>
    <s v="24, 33, 73"/>
    <s v="free form"/>
    <s v="yes"/>
    <x v="0"/>
    <s v="LIM"/>
    <s v="col Y"/>
    <s v="informational only"/>
    <s v="no known BR based on data entered"/>
    <x v="0"/>
    <s v="complete"/>
    <x v="0"/>
    <x v="0"/>
    <x v="1"/>
    <x v="1"/>
    <n v="2"/>
    <x v="2"/>
    <n v="1.5"/>
    <x v="3"/>
    <d v="2025-09-19T00:00:00"/>
    <d v="2025-09-23T00:00:00"/>
    <d v="2025-09-29T00:00:00"/>
  </r>
  <r>
    <x v="25"/>
    <x v="0"/>
    <s v="Reference Material"/>
    <x v="25"/>
    <n v="1"/>
    <n v="25"/>
    <s v="SAP db list"/>
    <s v="conditional"/>
    <x v="0"/>
    <m/>
    <s v="NOT in BR.xlsx"/>
    <s v="functionality of the SAP db is not needed in AI tool"/>
    <s v="1025: dependent on 1014 PROJECT TYPE: KUBIC (required)"/>
    <x v="0"/>
    <s v="complete"/>
    <x v="0"/>
    <x v="0"/>
    <x v="1"/>
    <x v="1"/>
    <n v="3"/>
    <x v="2"/>
    <n v="1.5"/>
    <x v="3"/>
    <d v="2025-09-19T00:00:00"/>
    <d v="2025-09-23T00:00:00"/>
    <d v="2025-09-29T00:00:00"/>
  </r>
  <r>
    <x v="26"/>
    <x v="0"/>
    <s v="Product Determination Questions"/>
    <x v="26"/>
    <n v="1"/>
    <s v="25, 26"/>
    <s v="dd: YES, NO"/>
    <s v="yes"/>
    <x v="0"/>
    <m/>
    <s v="col Z"/>
    <s v="CASE and DISPLAY only;   If YES, then loads record: TRADE CHANNEL (1166)=ONLINE"/>
    <s v="1026 dependent PRODUCT TYPE (1009)=ECOMM or DTC BUNDLE, then this is defaulted to YES (locks field);  _x000a_If Product Country (1008) CANADA then default to NO; Form Type (1007) DISPLAY=open but not required, CASE=required, WIP=not available_x000a_"/>
    <x v="0"/>
    <s v="complete"/>
    <x v="0"/>
    <x v="0"/>
    <x v="1"/>
    <x v="1"/>
    <n v="3"/>
    <x v="1"/>
    <n v="0.5"/>
    <x v="3"/>
    <d v="2025-09-19T00:00:00"/>
    <d v="2025-09-24T00:00:00"/>
    <d v="2025-09-29T00:00:00"/>
  </r>
  <r>
    <x v="27"/>
    <x v="0"/>
    <s v="Product Determination Questions"/>
    <x v="27"/>
    <n v="1"/>
    <s v="25, 26"/>
    <s v="dd: YES, NO"/>
    <s v="yes"/>
    <x v="0"/>
    <m/>
    <s v="col AB"/>
    <s v="CASE and DISPLAY"/>
    <s v="1027: predecessor to 1028, 1029"/>
    <x v="0"/>
    <s v="complete"/>
    <x v="0"/>
    <x v="0"/>
    <x v="1"/>
    <x v="1"/>
    <n v="3"/>
    <x v="1"/>
    <n v="0.5"/>
    <x v="3"/>
    <d v="2025-09-19T00:00:00"/>
    <d v="2025-09-23T00:00:00"/>
    <d v="2025-09-29T00:00:00"/>
  </r>
  <r>
    <x v="28"/>
    <x v="0"/>
    <s v="Product Determination Questions"/>
    <x v="28"/>
    <n v="1"/>
    <s v="25, 26"/>
    <s v="dd: reference list: PRL: Designated Customer Name"/>
    <s v="conditional"/>
    <x v="0"/>
    <m/>
    <s v="col AD"/>
    <s v="CASE and DISPLAY"/>
    <s v="1028 dependent on: Is product designated to one customer? (1027) =YES"/>
    <x v="0"/>
    <s v="complete"/>
    <x v="0"/>
    <x v="0"/>
    <x v="1"/>
    <x v="1"/>
    <n v="3"/>
    <x v="3"/>
    <n v="1"/>
    <x v="3"/>
    <d v="2025-09-19T00:00:00"/>
    <d v="2025-09-23T00:00:00"/>
    <d v="2025-09-29T00:00:00"/>
  </r>
  <r>
    <x v="29"/>
    <x v="0"/>
    <s v="Product Determination Questions"/>
    <x v="29"/>
    <n v="1"/>
    <s v="25, 26"/>
    <s v="dd: YES, NO"/>
    <s v="yes"/>
    <x v="0"/>
    <m/>
    <s v="col AF"/>
    <s v="CASE and DISPLAY"/>
    <s v="1029 dependent on: Is product designated to one customer? (1027)=YES;  1029 predecessor to 1129"/>
    <x v="0"/>
    <s v="complete"/>
    <x v="0"/>
    <x v="0"/>
    <x v="1"/>
    <x v="1"/>
    <n v="3"/>
    <x v="1"/>
    <n v="0.5"/>
    <x v="3"/>
    <d v="2025-09-19T00:00:00"/>
    <d v="2025-09-23T00:00:00"/>
    <d v="2025-09-29T00:00:00"/>
  </r>
  <r>
    <x v="30"/>
    <x v="0"/>
    <s v="Product Determination Questions"/>
    <x v="30"/>
    <n v="1"/>
    <n v="25"/>
    <s v="dd: YES, NO"/>
    <s v="yes"/>
    <x v="0"/>
    <m/>
    <s v="col AH"/>
    <s v="CASE"/>
    <s v="1030 dependent on Product Type (1009) and Product Subtype (1010);  Flowchart: Variety Pack"/>
    <x v="0"/>
    <s v="complete"/>
    <x v="0"/>
    <x v="0"/>
    <x v="1"/>
    <x v="1"/>
    <n v="3"/>
    <x v="1"/>
    <n v="0.5"/>
    <x v="3"/>
    <d v="2025-09-22T00:00:00"/>
    <d v="2025-09-23T00:00:00"/>
    <d v="2025-09-29T00:00:00"/>
  </r>
  <r>
    <x v="31"/>
    <x v="0"/>
    <s v="Product Determination Questions"/>
    <x v="31"/>
    <n v="1"/>
    <n v="25"/>
    <s v="dd: YES, NO"/>
    <s v="yes"/>
    <x v="0"/>
    <m/>
    <s v="col AJ"/>
    <s v="CASE"/>
    <s v="1031 predecessor to 1188-1192;  Flowchart: Variety Pack"/>
    <x v="0"/>
    <s v="complete"/>
    <x v="0"/>
    <x v="0"/>
    <x v="1"/>
    <x v="1"/>
    <n v="3"/>
    <x v="1"/>
    <n v="0.5"/>
    <x v="3"/>
    <d v="2025-09-22T00:00:00"/>
    <d v="2025-09-23T00:00:00"/>
    <d v="2025-09-29T00:00:00"/>
  </r>
  <r>
    <x v="32"/>
    <x v="0"/>
    <s v="Product Determination Questions"/>
    <x v="32"/>
    <n v="1"/>
    <s v="25, 26, 27"/>
    <s v="dd: YES, NO"/>
    <s v="yes"/>
    <x v="0"/>
    <m/>
    <s v="col AL"/>
    <s v="autofill by FORM TYPE: CASE=YES, DISPLAY=NO, and WIP=NO"/>
    <s v="Flowchart: Build SKU / Existing Printed"/>
    <x v="0"/>
    <s v="complete"/>
    <x v="0"/>
    <x v="0"/>
    <x v="0"/>
    <x v="0"/>
    <n v="3"/>
    <x v="1"/>
    <n v="0.5"/>
    <x v="4"/>
    <d v="2025-09-22T00:00:00"/>
    <d v="2025-09-24T00:00:00"/>
    <d v="2025-09-29T00:00:00"/>
  </r>
  <r>
    <x v="33"/>
    <x v="0"/>
    <s v="Product Determination Questions"/>
    <x v="33"/>
    <n v="1"/>
    <s v="25, 26, 27"/>
    <s v="dd: YES, NO"/>
    <s v="yes"/>
    <x v="0"/>
    <m/>
    <s v="col AN"/>
    <s v="CASE, DISPLAY and WIP"/>
    <s v="1033 predecessor to: external material group (1085)"/>
    <x v="0"/>
    <s v="complete"/>
    <x v="0"/>
    <x v="0"/>
    <x v="0"/>
    <x v="0"/>
    <n v="3"/>
    <x v="1"/>
    <n v="0.5"/>
    <x v="4"/>
    <d v="2025-09-22T00:00:00"/>
    <d v="2025-09-25T00:00:00"/>
    <d v="2025-09-29T00:00:00"/>
  </r>
  <r>
    <x v="34"/>
    <x v="0"/>
    <s v="Product Determination Questions"/>
    <x v="34"/>
    <n v="1"/>
    <s v="26, 27, 28"/>
    <s v="dd: YES, NO"/>
    <s v="yes"/>
    <x v="0"/>
    <m/>
    <s v="col AP"/>
    <s v="CASE, DISPLAY and WIP"/>
    <s v="1034 predecessor to: external material group (1085), build sku..export (1035), list existing export (1036)"/>
    <x v="0"/>
    <s v="complete"/>
    <x v="0"/>
    <x v="0"/>
    <x v="0"/>
    <x v="0"/>
    <n v="3"/>
    <x v="1"/>
    <n v="0.5"/>
    <x v="4"/>
    <d v="2025-09-22T00:00:00"/>
    <d v="2025-09-25T00:00:00"/>
    <d v="2025-09-29T00:00:00"/>
  </r>
  <r>
    <x v="35"/>
    <x v="0"/>
    <s v="Product Determination Questions"/>
    <x v="35"/>
    <n v="1"/>
    <s v="27, 28"/>
    <s v="dd: YES, NO"/>
    <s v="yes"/>
    <x v="0"/>
    <m/>
    <s v="col AR"/>
    <s v="CASE and WIP"/>
    <s v="1035 dependent on 1034"/>
    <x v="0"/>
    <s v="complete"/>
    <x v="0"/>
    <x v="0"/>
    <x v="0"/>
    <x v="0"/>
    <n v="3"/>
    <x v="1"/>
    <n v="0.5"/>
    <x v="4"/>
    <d v="2025-09-22T00:00:00"/>
    <d v="2025-09-25T00:00:00"/>
    <d v="2025-09-29T00:00:00"/>
  </r>
  <r>
    <x v="36"/>
    <x v="0"/>
    <s v="Product Determination Questions"/>
    <x v="36"/>
    <n v="1"/>
    <s v="27, 28"/>
    <s v="free form"/>
    <s v="conditional"/>
    <x v="0"/>
    <m/>
    <s v="col AT"/>
    <s v="CASE and WIP"/>
    <s v="1036 dependent on 1034"/>
    <x v="0"/>
    <s v="complete"/>
    <x v="0"/>
    <x v="0"/>
    <x v="0"/>
    <x v="0"/>
    <n v="3"/>
    <x v="3"/>
    <n v="1"/>
    <x v="4"/>
    <d v="2025-09-22T00:00:00"/>
    <d v="2025-09-25T00:00:00"/>
    <d v="2025-09-29T00:00:00"/>
  </r>
  <r>
    <x v="37"/>
    <x v="0"/>
    <s v="Product Determination Questions"/>
    <x v="37"/>
    <n v="1"/>
    <s v="27, 28"/>
    <s v="dd: YES, NO"/>
    <s v="yes"/>
    <x v="0"/>
    <m/>
    <s v="col AU"/>
    <s v="CASE and WIP"/>
    <s v="1037 predecessor to 1038, 1039, 1040"/>
    <x v="0"/>
    <s v="complete"/>
    <x v="0"/>
    <x v="0"/>
    <x v="0"/>
    <x v="0"/>
    <n v="3"/>
    <x v="1"/>
    <n v="0.5"/>
    <x v="4"/>
    <d v="2025-09-22T00:00:00"/>
    <d v="2025-09-25T00:00:00"/>
    <d v="2025-09-29T00:00:00"/>
  </r>
  <r>
    <x v="38"/>
    <x v="0"/>
    <s v="Product Determination Questions"/>
    <x v="38"/>
    <n v="1"/>
    <s v="27, 28"/>
    <s v="dd: reference list: PRL: Private Label Customers"/>
    <s v="conditional"/>
    <x v="0"/>
    <m/>
    <s v="col AW"/>
    <s v="CASE and WIP"/>
    <s v="1038 dependent on 1037"/>
    <x v="0"/>
    <s v="complete"/>
    <x v="0"/>
    <x v="0"/>
    <x v="0"/>
    <x v="0"/>
    <n v="3"/>
    <x v="3"/>
    <n v="1"/>
    <x v="4"/>
    <d v="2025-09-22T00:00:00"/>
    <d v="2025-09-25T00:00:00"/>
    <d v="2025-09-29T00:00:00"/>
  </r>
  <r>
    <x v="39"/>
    <x v="0"/>
    <s v="Product Determination Questions"/>
    <x v="39"/>
    <n v="1"/>
    <s v="27, 28"/>
    <s v="dd: YES, NO"/>
    <s v="yes"/>
    <x v="0"/>
    <m/>
    <s v="col AY"/>
    <s v="CASE and WIP"/>
    <s v="1039 dependent on 1037"/>
    <x v="0"/>
    <s v="complete"/>
    <x v="0"/>
    <x v="0"/>
    <x v="0"/>
    <x v="0"/>
    <n v="3"/>
    <x v="1"/>
    <n v="0.5"/>
    <x v="4"/>
    <d v="2025-09-22T00:00:00"/>
    <d v="2025-09-25T00:00:00"/>
    <d v="2025-09-29T00:00:00"/>
  </r>
  <r>
    <x v="40"/>
    <x v="0"/>
    <s v="Product Determination Questions"/>
    <x v="40"/>
    <n v="1"/>
    <s v="27, 28"/>
    <s v="free form"/>
    <s v="conditional"/>
    <x v="0"/>
    <m/>
    <s v="col BA"/>
    <s v="CASE and WIP"/>
    <s v="1040 dependent on 1037"/>
    <x v="0"/>
    <s v="complete"/>
    <x v="0"/>
    <x v="0"/>
    <x v="0"/>
    <x v="0"/>
    <n v="3"/>
    <x v="3"/>
    <n v="1"/>
    <x v="4"/>
    <d v="2025-09-22T00:00:00"/>
    <d v="2025-09-25T00:00:00"/>
    <d v="2025-09-29T00:00:00"/>
  </r>
  <r>
    <x v="41"/>
    <x v="0"/>
    <s v="Product Determination Questions"/>
    <x v="41"/>
    <n v="1"/>
    <s v="26, 27, 28"/>
    <s v="dd: YES, NO"/>
    <s v="no, appears that blank is viable"/>
    <x v="0"/>
    <m/>
    <s v="NOT in BR.xlsx"/>
    <s v="CASE, DISPLAY, and WIP"/>
    <s v="Tamara:  should always be YES per Shanan Walker; unless there are extinuating circumstances where they would not want the data to go to the customers"/>
    <x v="0"/>
    <s v="complete"/>
    <x v="0"/>
    <x v="0"/>
    <x v="0"/>
    <x v="0"/>
    <n v="3"/>
    <x v="1"/>
    <n v="0.5"/>
    <x v="4"/>
    <d v="2025-09-22T00:00:00"/>
    <d v="2025-09-25T00:00:00"/>
    <d v="2025-09-29T00:00:00"/>
  </r>
  <r>
    <x v="42"/>
    <x v="0"/>
    <s v="Product Determination Questions"/>
    <x v="42"/>
    <n v="1"/>
    <n v="0"/>
    <s v="dd: YES, NO"/>
    <s v="no, appears that blank is viable"/>
    <x v="0"/>
    <m/>
    <s v="NOT in BR.xlsx"/>
    <s v="9/22/25 new field identified; _x000a_currently on WIP form, but should be on CASE (Tamara to get NIF fixed) {as of 9/25/25 the distinction of the Form Type is not included in Expert System Rules}"/>
    <s v="1304 predecessor to Planning Variant (1151) and Material Description (1127)"/>
    <x v="0"/>
    <s v="complete"/>
    <x v="0"/>
    <x v="0"/>
    <x v="0"/>
    <x v="0"/>
    <n v="3"/>
    <x v="2"/>
    <n v="1.5"/>
    <x v="4"/>
    <d v="2025-09-22T00:00:00"/>
    <d v="2025-09-25T00:00:00"/>
    <d v="2025-09-29T00:00:00"/>
  </r>
  <r>
    <x v="43"/>
    <x v="0"/>
    <s v="Other UPC Requirements"/>
    <x v="43"/>
    <n v="1"/>
    <n v="28"/>
    <s v="dd: reference list: MATERIAL_PREFIX.XLSX"/>
    <s v="yes"/>
    <x v="0"/>
    <m/>
    <s v="col BB"/>
    <m/>
    <s v="no known BR based on data entered"/>
    <x v="0"/>
    <s v="complete"/>
    <x v="0"/>
    <x v="0"/>
    <x v="0"/>
    <x v="0"/>
    <n v="3"/>
    <x v="3"/>
    <n v="1"/>
    <x v="1"/>
    <d v="2025-09-22T00:00:00"/>
    <d v="2025-09-25T00:00:00"/>
    <d v="2025-09-29T00:00:00"/>
  </r>
  <r>
    <x v="44"/>
    <x v="0"/>
    <s v="Other UPC Requirements"/>
    <x v="44"/>
    <n v="1"/>
    <n v="28"/>
    <s v="dd: NO, POUCH, PACKAGE, BOTH"/>
    <s v="no, appears that blank is viable"/>
    <x v="0"/>
    <m/>
    <s v="col BD"/>
    <s v="no defaults exist; Used when space is limited (e.g., small packages or pouches)"/>
    <s v="SAP Classification fields: PACKAGE BAR CODE TYPE, POUCH BAR CODE TYPE; no - (pkgcode=upc_a &amp; pouchcode=upc_a); pouch=(pouchcode=upc_e &amp; pkgcode=upc_a); pkg=(pkgcode=upc_e &amp; pouchcode=upc_a); both=(pkgcode=upc_e &amp; pouchcode=upc_e); Also drives how Masterfiles assigns the codes"/>
    <x v="0"/>
    <s v="complete"/>
    <x v="0"/>
    <x v="0"/>
    <x v="0"/>
    <x v="0"/>
    <n v="3"/>
    <x v="3"/>
    <n v="1"/>
    <x v="1"/>
    <d v="2025-09-22T00:00:00"/>
    <d v="2025-09-25T00:00:00"/>
    <d v="2025-09-29T00:00:00"/>
  </r>
  <r>
    <x v="45"/>
    <x v="0"/>
    <s v="Existing Printed Material Codes"/>
    <x v="45"/>
    <n v="1"/>
    <n v="29"/>
    <s v="free form"/>
    <s v="no"/>
    <x v="0"/>
    <m/>
    <s v="col BF"/>
    <s v="CASE only"/>
    <s v="Flowchart: Build SKU / Existing Printed"/>
    <x v="0"/>
    <s v="complete"/>
    <x v="0"/>
    <x v="0"/>
    <x v="0"/>
    <x v="0"/>
    <n v="4"/>
    <x v="3"/>
    <n v="1"/>
    <x v="1"/>
    <d v="2025-09-22T00:00:00"/>
    <d v="2025-09-24T00:00:00"/>
    <d v="2025-09-29T00:00:00"/>
  </r>
  <r>
    <x v="46"/>
    <x v="0"/>
    <s v="Existing Printed Material Codes"/>
    <x v="46"/>
    <n v="1"/>
    <n v="29"/>
    <s v="free form"/>
    <s v="no"/>
    <x v="0"/>
    <m/>
    <s v="col BH"/>
    <s v="CASE only"/>
    <s v="Flowchart: Build SKU / Existing Printed"/>
    <x v="0"/>
    <s v="complete"/>
    <x v="0"/>
    <x v="0"/>
    <x v="0"/>
    <x v="0"/>
    <n v="4"/>
    <x v="3"/>
    <n v="1"/>
    <x v="1"/>
    <d v="2025-09-22T00:00:00"/>
    <d v="2025-09-24T00:00:00"/>
    <d v="2025-09-29T00:00:00"/>
  </r>
  <r>
    <x v="47"/>
    <x v="0"/>
    <s v="Existing Printed Material Codes"/>
    <x v="47"/>
    <n v="1"/>
    <n v="29"/>
    <s v="free form"/>
    <s v="no"/>
    <x v="0"/>
    <m/>
    <s v="col BJ"/>
    <s v="CASE only"/>
    <s v="Flowchart: Build SKU / Existing Printed"/>
    <x v="0"/>
    <s v="complete"/>
    <x v="0"/>
    <x v="0"/>
    <x v="0"/>
    <x v="0"/>
    <n v="4"/>
    <x v="3"/>
    <n v="1"/>
    <x v="1"/>
    <d v="2025-09-22T00:00:00"/>
    <d v="2025-09-24T00:00:00"/>
    <d v="2025-09-29T00:00:00"/>
  </r>
  <r>
    <x v="48"/>
    <x v="0"/>
    <s v="Existing Printed Material Codes"/>
    <x v="48"/>
    <n v="1"/>
    <n v="29"/>
    <s v="free form"/>
    <s v="no"/>
    <x v="0"/>
    <m/>
    <s v="col BL"/>
    <s v="CASE only"/>
    <s v="Flowchart: Build SKU / Existing Printed"/>
    <x v="0"/>
    <s v="complete"/>
    <x v="0"/>
    <x v="0"/>
    <x v="0"/>
    <x v="0"/>
    <n v="4"/>
    <x v="3"/>
    <n v="1"/>
    <x v="1"/>
    <d v="2025-09-22T00:00:00"/>
    <d v="2025-09-24T00:00:00"/>
    <d v="2025-09-29T00:00:00"/>
  </r>
  <r>
    <x v="49"/>
    <x v="0"/>
    <s v="Existing Printed Material Codes"/>
    <x v="49"/>
    <n v="1"/>
    <n v="29"/>
    <s v="free form"/>
    <s v="no"/>
    <x v="0"/>
    <m/>
    <s v="NOT in BR.xlsx"/>
    <s v="CASE only"/>
    <s v="Flowchart: Build SKU / Existing Printed"/>
    <x v="0"/>
    <s v="complete"/>
    <x v="0"/>
    <x v="0"/>
    <x v="0"/>
    <x v="0"/>
    <n v="4"/>
    <x v="3"/>
    <n v="1"/>
    <x v="1"/>
    <d v="2025-09-22T00:00:00"/>
    <d v="2025-09-24T00:00:00"/>
    <d v="2025-09-29T00:00:00"/>
  </r>
  <r>
    <x v="50"/>
    <x v="0"/>
    <s v="Existing Printed Material Codes"/>
    <x v="50"/>
    <n v="1"/>
    <n v="29"/>
    <s v="dd: NO, POUCH, PACKAGE, BOTH"/>
    <s v="no"/>
    <x v="0"/>
    <m/>
    <s v="NOT in BR.xlsx"/>
    <s v="CASE only; defaulted to NO (for all form types), but can be changed"/>
    <s v="Flowchart: Build SKU / Existing Printed"/>
    <x v="0"/>
    <s v="complete"/>
    <x v="0"/>
    <x v="0"/>
    <x v="0"/>
    <x v="0"/>
    <n v="4"/>
    <x v="3"/>
    <n v="1"/>
    <x v="1"/>
    <d v="2025-09-22T00:00:00"/>
    <d v="2025-09-24T00:00:00"/>
    <d v="2025-09-29T00:00:00"/>
  </r>
  <r>
    <x v="51"/>
    <x v="0"/>
    <s v="Special Packaging Requirements"/>
    <x v="51"/>
    <n v="1"/>
    <n v="0"/>
    <s v="dd: YES, NO"/>
    <s v="no, appears that blank is viable"/>
    <x v="0"/>
    <m/>
    <s v="col BN"/>
    <s v="…not in Trng_deck.ppt; only open for US and required: STRAIGHT CASE (not Repack); DISPLAY &amp; WIP is locked/blank"/>
    <s v="Tech name: [Sales_Sample_Question]; 1050 predecessor to &quot;additional pkg for launch&quot; (1053); "/>
    <x v="0"/>
    <s v="complete"/>
    <x v="0"/>
    <x v="0"/>
    <x v="0"/>
    <x v="0"/>
    <n v="4"/>
    <x v="1"/>
    <n v="0.5"/>
    <x v="1"/>
    <d v="2025-09-23T00:00:00"/>
    <d v="2025-09-25T00:00:00"/>
    <d v="2025-09-29T00:00:00"/>
  </r>
  <r>
    <x v="52"/>
    <x v="0"/>
    <s v="UPC Table"/>
    <x v="52"/>
    <n v="0"/>
    <n v="29"/>
    <s v="autofill"/>
    <s v="no"/>
    <x v="0"/>
    <m/>
    <m/>
    <s v="This section corresponds to the Setup Type that has been chosen, and will show you the UPC requirements._x000a_Not sure how this section gets triggered to pull in the correct data (as I can't seem to find it in the NIF Rules.docx).  Maybe from the RDL: ALT_UOM {Alternate Unit Of Meaure table???}"/>
    <s v="(only displays for the requestor to review if the levels of the packaging look correct: ie is there a pouch level, if needed);  no need to put in AI BOT: unless there is a way to pull the table from the NIF Evolve business rules automatically"/>
    <x v="0"/>
    <s v="complete"/>
    <x v="0"/>
    <x v="0"/>
    <x v="0"/>
    <x v="0"/>
    <n v="9"/>
    <x v="0"/>
    <n v="0"/>
    <x v="0"/>
    <d v="2025-09-24T00:00:00"/>
    <d v="2025-09-25T00:00:00"/>
    <d v="2025-09-29T00:00:00"/>
  </r>
  <r>
    <x v="53"/>
    <x v="0"/>
    <s v="List Existing K Numbers"/>
    <x v="53"/>
    <n v="1"/>
    <n v="30"/>
    <s v="free form"/>
    <s v="no"/>
    <x v="0"/>
    <m/>
    <s v="NOT in BR.xlsx"/>
    <m/>
    <s v="no known BR based on data entered"/>
    <x v="0"/>
    <s v="complete"/>
    <x v="0"/>
    <x v="0"/>
    <x v="0"/>
    <x v="0"/>
    <n v="4"/>
    <x v="3"/>
    <n v="1"/>
    <x v="1"/>
    <d v="2025-09-23T00:00:00"/>
    <d v="2025-09-25T00:00:00"/>
    <d v="2025-09-29T00:00:00"/>
  </r>
  <r>
    <x v="54"/>
    <x v="0"/>
    <s v="Special Packaging Requirements"/>
    <x v="54"/>
    <n v="1"/>
    <s v="30, 47, 56, 113"/>
    <s v="dd: reference list: ADDITIONAL_PACKAGING_LAUNCH.XLSX"/>
    <s v="conditional"/>
    <x v="0"/>
    <s v="Masterfiles"/>
    <s v="col BP"/>
    <s v="Multiple rows possible."/>
    <s v="Tech name: [Special_Launch_Selection]; 1053 dependent on 1050; open for all Form Type=CASE, not required; not DISPLAY or WIP; if &quot;Sale Samples may be needed&quot; (1050)=yes, set 1053 to &quot;Sales Sample Package K number 999 Variant (KXXXXXX999)&quot;; "/>
    <x v="0"/>
    <s v="complete"/>
    <x v="0"/>
    <x v="0"/>
    <x v="0"/>
    <x v="0"/>
    <n v="4"/>
    <x v="3"/>
    <n v="1"/>
    <x v="1"/>
    <d v="2025-09-24T00:00:00"/>
    <d v="2025-09-25T00:00:00"/>
    <d v="2025-09-29T00:00:00"/>
  </r>
  <r>
    <x v="55"/>
    <x v="1"/>
    <s v="Priority"/>
    <x v="55"/>
    <n v="1"/>
    <n v="31"/>
    <s v="radio button: NORMAL, CBP, URGENT"/>
    <m/>
    <x v="2"/>
    <m/>
    <m/>
    <s v="used for naming NIF form"/>
    <m/>
    <x v="1"/>
    <s v="current"/>
    <x v="1"/>
    <x v="1"/>
    <x v="2"/>
    <x v="2"/>
    <m/>
    <x v="1"/>
    <n v="0.5"/>
    <x v="5"/>
    <m/>
    <m/>
    <m/>
  </r>
  <r>
    <x v="56"/>
    <x v="1"/>
    <s v="Packaging Tech Assignment"/>
    <x v="56"/>
    <n v="1"/>
    <s v="32, 61"/>
    <s v="radio button: BPS, Menasha/12 Associates, Canada VAS"/>
    <m/>
    <x v="2"/>
    <m/>
    <m/>
    <m/>
    <m/>
    <x v="1"/>
    <s v="current"/>
    <x v="1"/>
    <x v="1"/>
    <x v="2"/>
    <x v="2"/>
    <m/>
    <x v="1"/>
    <n v="0.5"/>
    <x v="5"/>
    <m/>
    <m/>
    <m/>
  </r>
  <r>
    <x v="57"/>
    <x v="1"/>
    <s v="Person Responsible"/>
    <x v="57"/>
    <n v="1"/>
    <s v="32, 61"/>
    <s v="dd: user roles"/>
    <m/>
    <x v="2"/>
    <m/>
    <m/>
    <m/>
    <m/>
    <x v="1"/>
    <s v="current"/>
    <x v="1"/>
    <x v="1"/>
    <x v="2"/>
    <x v="2"/>
    <m/>
    <x v="1"/>
    <n v="0.5"/>
    <x v="5"/>
    <m/>
    <m/>
    <m/>
  </r>
  <r>
    <x v="58"/>
    <x v="1"/>
    <s v="Person Responsible"/>
    <x v="58"/>
    <n v="1"/>
    <s v="32, 61"/>
    <s v="dd: user roles"/>
    <m/>
    <x v="2"/>
    <m/>
    <m/>
    <m/>
    <m/>
    <x v="1"/>
    <s v="current"/>
    <x v="1"/>
    <x v="1"/>
    <x v="2"/>
    <x v="2"/>
    <m/>
    <x v="1"/>
    <n v="0.5"/>
    <x v="5"/>
    <m/>
    <m/>
    <m/>
  </r>
  <r>
    <x v="59"/>
    <x v="1"/>
    <s v="Person Responsible"/>
    <x v="59"/>
    <n v="1"/>
    <s v="32, 61"/>
    <s v="dd: user roles"/>
    <m/>
    <x v="2"/>
    <m/>
    <m/>
    <m/>
    <m/>
    <x v="1"/>
    <s v="current"/>
    <x v="1"/>
    <x v="1"/>
    <x v="2"/>
    <x v="2"/>
    <m/>
    <x v="1"/>
    <n v="0.5"/>
    <x v="5"/>
    <m/>
    <m/>
    <m/>
  </r>
  <r>
    <x v="60"/>
    <x v="1"/>
    <s v="Person Responsible"/>
    <x v="60"/>
    <n v="1"/>
    <s v="32, 61"/>
    <s v="dd: user roles"/>
    <m/>
    <x v="2"/>
    <m/>
    <m/>
    <m/>
    <m/>
    <x v="1"/>
    <s v="current"/>
    <x v="1"/>
    <x v="1"/>
    <x v="2"/>
    <x v="2"/>
    <m/>
    <x v="1"/>
    <n v="0.5"/>
    <x v="5"/>
    <m/>
    <m/>
    <m/>
  </r>
  <r>
    <x v="61"/>
    <x v="1"/>
    <s v="Person Responsible"/>
    <x v="61"/>
    <n v="1"/>
    <s v="32, 61"/>
    <s v="dd: user roles"/>
    <m/>
    <x v="2"/>
    <m/>
    <m/>
    <m/>
    <m/>
    <x v="1"/>
    <s v="current"/>
    <x v="1"/>
    <x v="1"/>
    <x v="2"/>
    <x v="2"/>
    <m/>
    <x v="1"/>
    <n v="0.5"/>
    <x v="5"/>
    <m/>
    <m/>
    <m/>
  </r>
  <r>
    <x v="62"/>
    <x v="1"/>
    <s v="Person Responsible"/>
    <x v="62"/>
    <n v="1"/>
    <s v="32, 61"/>
    <s v="dd: user roles"/>
    <m/>
    <x v="2"/>
    <m/>
    <m/>
    <m/>
    <m/>
    <x v="1"/>
    <s v="current"/>
    <x v="1"/>
    <x v="1"/>
    <x v="2"/>
    <x v="2"/>
    <m/>
    <x v="1"/>
    <n v="0.5"/>
    <x v="5"/>
    <m/>
    <m/>
    <m/>
  </r>
  <r>
    <x v="63"/>
    <x v="1"/>
    <s v="Person Responsible"/>
    <x v="63"/>
    <n v="1"/>
    <s v="32, 61"/>
    <s v="dd: user roles"/>
    <m/>
    <x v="2"/>
    <m/>
    <m/>
    <m/>
    <m/>
    <x v="1"/>
    <s v="current"/>
    <x v="1"/>
    <x v="1"/>
    <x v="2"/>
    <x v="2"/>
    <m/>
    <x v="1"/>
    <n v="0.5"/>
    <x v="5"/>
    <m/>
    <m/>
    <m/>
  </r>
  <r>
    <x v="64"/>
    <x v="1"/>
    <s v="Person Responsible"/>
    <x v="64"/>
    <n v="1"/>
    <s v="32, 61"/>
    <s v="dd: user roles"/>
    <m/>
    <x v="2"/>
    <m/>
    <m/>
    <m/>
    <m/>
    <x v="1"/>
    <s v="current"/>
    <x v="1"/>
    <x v="1"/>
    <x v="2"/>
    <x v="2"/>
    <m/>
    <x v="1"/>
    <n v="0.5"/>
    <x v="5"/>
    <m/>
    <m/>
    <m/>
  </r>
  <r>
    <x v="65"/>
    <x v="1"/>
    <s v="Person Responsible"/>
    <x v="65"/>
    <n v="1"/>
    <s v="32, 61"/>
    <s v="dd: user roles"/>
    <m/>
    <x v="2"/>
    <m/>
    <m/>
    <m/>
    <m/>
    <x v="1"/>
    <s v="current"/>
    <x v="1"/>
    <x v="1"/>
    <x v="2"/>
    <x v="2"/>
    <m/>
    <x v="1"/>
    <n v="0.5"/>
    <x v="5"/>
    <m/>
    <m/>
    <m/>
  </r>
  <r>
    <x v="66"/>
    <x v="1"/>
    <s v="Person Responsible"/>
    <x v="66"/>
    <n v="1"/>
    <s v="32, 61"/>
    <s v="dd: user roles"/>
    <m/>
    <x v="2"/>
    <m/>
    <m/>
    <m/>
    <m/>
    <x v="1"/>
    <s v="current"/>
    <x v="1"/>
    <x v="1"/>
    <x v="2"/>
    <x v="2"/>
    <m/>
    <x v="1"/>
    <n v="0.5"/>
    <x v="5"/>
    <m/>
    <m/>
    <m/>
  </r>
  <r>
    <x v="67"/>
    <x v="1"/>
    <s v="Person Responsible"/>
    <x v="67"/>
    <n v="1"/>
    <s v="32, 61"/>
    <s v="dd: user roles"/>
    <m/>
    <x v="2"/>
    <m/>
    <m/>
    <m/>
    <m/>
    <x v="1"/>
    <s v="current"/>
    <x v="1"/>
    <x v="1"/>
    <x v="2"/>
    <x v="2"/>
    <m/>
    <x v="1"/>
    <n v="0.5"/>
    <x v="5"/>
    <m/>
    <m/>
    <m/>
  </r>
  <r>
    <x v="68"/>
    <x v="1"/>
    <s v="Product Setup"/>
    <x v="68"/>
    <n v="1"/>
    <n v="33"/>
    <s v="dd: YES, NO"/>
    <m/>
    <x v="2"/>
    <m/>
    <m/>
    <s v="CASE only (not DISPLAY or WIP)"/>
    <s v="1067 predecessor to 1083-1097; if YES opens 1083+, if NO then skips Forecast section"/>
    <x v="2"/>
    <s v="current"/>
    <x v="1"/>
    <x v="1"/>
    <x v="2"/>
    <x v="2"/>
    <m/>
    <x v="3"/>
    <n v="1"/>
    <x v="5"/>
    <d v="2025-09-24T00:00:00"/>
    <m/>
    <m/>
  </r>
  <r>
    <x v="69"/>
    <x v="1"/>
    <s v="(buttons) Returns"/>
    <x v="69"/>
    <n v="1"/>
    <n v="36"/>
    <s v="free form"/>
    <m/>
    <x v="2"/>
    <m/>
    <m/>
    <m/>
    <m/>
    <x v="1"/>
    <s v="current"/>
    <x v="1"/>
    <x v="1"/>
    <x v="2"/>
    <x v="2"/>
    <m/>
    <x v="1"/>
    <n v="0.5"/>
    <x v="5"/>
    <m/>
    <m/>
    <m/>
  </r>
  <r>
    <x v="70"/>
    <x v="2"/>
    <s v="LIM REPORT section"/>
    <x v="70"/>
    <n v="1"/>
    <s v="37-41"/>
    <s v="export buttons"/>
    <m/>
    <x v="2"/>
    <m/>
    <m/>
    <s v="read only form for exporting data to Excel"/>
    <m/>
    <x v="1"/>
    <s v="future"/>
    <x v="2"/>
    <x v="2"/>
    <x v="3"/>
    <x v="3"/>
    <m/>
    <x v="1"/>
    <n v="0.5"/>
    <x v="6"/>
    <m/>
    <m/>
    <m/>
  </r>
  <r>
    <x v="71"/>
    <x v="3"/>
    <s v="Material Number"/>
    <x v="71"/>
    <n v="1"/>
    <s v="45, 56"/>
    <s v="free form"/>
    <m/>
    <x v="1"/>
    <m/>
    <m/>
    <s v="(field 1013 is same but view only)"/>
    <s v="no known BR based on data entered"/>
    <x v="3"/>
    <s v="early"/>
    <x v="3"/>
    <x v="3"/>
    <x v="3"/>
    <x v="3"/>
    <m/>
    <x v="1"/>
    <n v="0.5"/>
    <x v="6"/>
    <d v="2025-09-19T00:00:00"/>
    <m/>
    <m/>
  </r>
  <r>
    <x v="72"/>
    <x v="3"/>
    <s v="UPC, K#, and GTIN Codes"/>
    <x v="72"/>
    <n v="0"/>
    <s v="29, 47, 52, 56, 98, 113"/>
    <s v="autofill"/>
    <m/>
    <x v="1"/>
    <m/>
    <m/>
    <m/>
    <m/>
    <x v="1"/>
    <s v="future"/>
    <x v="3"/>
    <x v="3"/>
    <x v="3"/>
    <x v="3"/>
    <m/>
    <x v="0"/>
    <n v="0"/>
    <x v="6"/>
    <m/>
    <m/>
    <m/>
  </r>
  <r>
    <x v="73"/>
    <x v="3"/>
    <s v="UPC, K#, and GTIN Codes"/>
    <x v="73"/>
    <n v="1"/>
    <s v="47, 56, 113"/>
    <s v="free form"/>
    <m/>
    <x v="1"/>
    <m/>
    <m/>
    <s v="rows of data: 4 (CS, PKG, LYR, UL);  PCH??"/>
    <m/>
    <x v="1"/>
    <s v="future"/>
    <x v="3"/>
    <x v="3"/>
    <x v="3"/>
    <x v="3"/>
    <m/>
    <x v="1"/>
    <n v="0.5"/>
    <x v="6"/>
    <m/>
    <m/>
    <m/>
  </r>
  <r>
    <x v="74"/>
    <x v="3"/>
    <s v="UPC, K#, and GTIN Codes"/>
    <x v="74"/>
    <n v="1"/>
    <s v="47, 56, 113"/>
    <s v="free form"/>
    <m/>
    <x v="1"/>
    <m/>
    <m/>
    <s v="rows of data: 4 (CS, PKG, LYR, UL);  PCH??"/>
    <m/>
    <x v="1"/>
    <s v="future"/>
    <x v="3"/>
    <x v="3"/>
    <x v="3"/>
    <x v="3"/>
    <m/>
    <x v="1"/>
    <n v="0.5"/>
    <x v="6"/>
    <m/>
    <m/>
    <m/>
  </r>
  <r>
    <x v="75"/>
    <x v="3"/>
    <s v="UPC, K#, and GTIN Codes"/>
    <x v="75"/>
    <n v="0"/>
    <n v="113"/>
    <s v="autofill"/>
    <m/>
    <x v="1"/>
    <m/>
    <m/>
    <s v="value appears to be ZU; need to verify; &quot;EAN Cat&quot; ??"/>
    <m/>
    <x v="1"/>
    <s v="future"/>
    <x v="3"/>
    <x v="3"/>
    <x v="3"/>
    <x v="3"/>
    <m/>
    <x v="0"/>
    <n v="0"/>
    <x v="6"/>
    <m/>
    <m/>
    <m/>
  </r>
  <r>
    <x v="76"/>
    <x v="3"/>
    <s v="UPC, K#, and GTIN Codes"/>
    <x v="76"/>
    <n v="0"/>
    <s v="47, 56, 113"/>
    <s v="autofill"/>
    <m/>
    <x v="1"/>
    <m/>
    <m/>
    <m/>
    <m/>
    <x v="1"/>
    <s v="future"/>
    <x v="3"/>
    <x v="3"/>
    <x v="3"/>
    <x v="3"/>
    <m/>
    <x v="0"/>
    <n v="0"/>
    <x v="6"/>
    <m/>
    <m/>
    <m/>
  </r>
  <r>
    <x v="77"/>
    <x v="3"/>
    <s v="UPC, K#, and GTIN Codes"/>
    <x v="77"/>
    <n v="0"/>
    <s v="47, 56, 113"/>
    <s v="autofill"/>
    <m/>
    <x v="1"/>
    <m/>
    <m/>
    <m/>
    <m/>
    <x v="1"/>
    <s v="future"/>
    <x v="3"/>
    <x v="3"/>
    <x v="3"/>
    <x v="3"/>
    <m/>
    <x v="0"/>
    <n v="0"/>
    <x v="6"/>
    <m/>
    <m/>
    <m/>
  </r>
  <r>
    <x v="78"/>
    <x v="3"/>
    <s v="UPC, K#, and GTIN Codes"/>
    <x v="78"/>
    <n v="1"/>
    <s v="47, 56, 113"/>
    <s v="free form"/>
    <m/>
    <x v="1"/>
    <m/>
    <m/>
    <s v="rows of data: 4 (CS, PKG, LYR, UL);  PCH??"/>
    <m/>
    <x v="1"/>
    <s v="future"/>
    <x v="3"/>
    <x v="3"/>
    <x v="3"/>
    <x v="3"/>
    <m/>
    <x v="1"/>
    <n v="0.5"/>
    <x v="6"/>
    <m/>
    <m/>
    <m/>
  </r>
  <r>
    <x v="79"/>
    <x v="3"/>
    <s v="UPC, K#, and GTIN Codes"/>
    <x v="79"/>
    <n v="0"/>
    <s v="47, 56, 113"/>
    <s v="autofill"/>
    <m/>
    <x v="1"/>
    <m/>
    <m/>
    <m/>
    <m/>
    <x v="1"/>
    <s v="future"/>
    <x v="3"/>
    <x v="3"/>
    <x v="3"/>
    <x v="3"/>
    <m/>
    <x v="0"/>
    <n v="0"/>
    <x v="6"/>
    <m/>
    <m/>
    <m/>
  </r>
  <r>
    <x v="80"/>
    <x v="3"/>
    <s v="UPC, K#, and GTIN Codes"/>
    <x v="80"/>
    <n v="0"/>
    <s v="47, 56, 113"/>
    <s v="autofill"/>
    <m/>
    <x v="1"/>
    <m/>
    <m/>
    <m/>
    <m/>
    <x v="1"/>
    <s v="future"/>
    <x v="3"/>
    <x v="3"/>
    <x v="3"/>
    <x v="3"/>
    <m/>
    <x v="0"/>
    <n v="0"/>
    <x v="6"/>
    <m/>
    <m/>
    <m/>
  </r>
  <r>
    <x v="81"/>
    <x v="3"/>
    <s v="UPC, K#, and GTIN Codes"/>
    <x v="81"/>
    <n v="0"/>
    <s v="47, 56, 113"/>
    <s v="autofill"/>
    <m/>
    <x v="1"/>
    <m/>
    <m/>
    <m/>
    <m/>
    <x v="1"/>
    <s v="future"/>
    <x v="3"/>
    <x v="3"/>
    <x v="3"/>
    <x v="3"/>
    <m/>
    <x v="0"/>
    <n v="0"/>
    <x v="6"/>
    <m/>
    <m/>
    <m/>
  </r>
  <r>
    <x v="82"/>
    <x v="3"/>
    <s v="UPC, K#, and GTIN Codes"/>
    <x v="82"/>
    <n v="1"/>
    <s v="30, 47, 56, 113"/>
    <s v="free form"/>
    <m/>
    <x v="1"/>
    <m/>
    <m/>
    <s v="Multiple rows possible."/>
    <m/>
    <x v="3"/>
    <s v="future"/>
    <x v="3"/>
    <x v="3"/>
    <x v="3"/>
    <x v="3"/>
    <m/>
    <x v="1"/>
    <n v="0.5"/>
    <x v="6"/>
    <m/>
    <m/>
    <m/>
  </r>
  <r>
    <x v="83"/>
    <x v="3"/>
    <s v="(buttons) Returns"/>
    <x v="83"/>
    <n v="1"/>
    <n v="47"/>
    <s v="free form"/>
    <m/>
    <x v="1"/>
    <m/>
    <m/>
    <m/>
    <m/>
    <x v="1"/>
    <s v="future"/>
    <x v="3"/>
    <x v="3"/>
    <x v="3"/>
    <x v="3"/>
    <m/>
    <x v="1"/>
    <n v="0.5"/>
    <x v="6"/>
    <m/>
    <m/>
    <m/>
  </r>
  <r>
    <x v="84"/>
    <x v="4"/>
    <s v="Forecast SKU Requirements"/>
    <x v="84"/>
    <n v="0"/>
    <n v="51"/>
    <s v="dd: reference list: PRL: Manufacturing Company"/>
    <s v="yes"/>
    <x v="2"/>
    <m/>
    <m/>
    <s v="LIM approval to setup Forecast sku; SAP Classification-Manufacturer Company"/>
    <s v="1083 dependent on 1107 Brand"/>
    <x v="0"/>
    <s v="complete"/>
    <x v="4"/>
    <x v="4"/>
    <x v="0"/>
    <x v="0"/>
    <m/>
    <x v="0"/>
    <n v="0"/>
    <x v="0"/>
    <d v="2025-09-24T00:00:00"/>
    <d v="2025-09-29T00:00:00"/>
    <d v="2025-09-29T00:00:00"/>
  </r>
  <r>
    <x v="85"/>
    <x v="4"/>
    <s v="Forecast SKU Requirements"/>
    <x v="85"/>
    <n v="1"/>
    <s v="51, 74"/>
    <s v="dd: reference list: PRL: Material Group"/>
    <s v="yes"/>
    <x v="2"/>
    <s v="Requestor"/>
    <m/>
    <m/>
    <s v="if Product Type=BUNDLE (DTC) then MATERIAL Group=REPACK; otherwise select from dd"/>
    <x v="0"/>
    <s v="complete"/>
    <x v="4"/>
    <x v="4"/>
    <x v="0"/>
    <x v="0"/>
    <n v="5"/>
    <x v="3"/>
    <n v="1"/>
    <x v="0"/>
    <d v="2025-09-24T00:00:00"/>
    <d v="2025-09-26T00:00:00"/>
    <d v="2025-09-29T00:00:00"/>
  </r>
  <r>
    <x v="86"/>
    <x v="4"/>
    <s v="Forecast SKU Requirements"/>
    <x v="86"/>
    <n v="1"/>
    <s v="51, 74, 105"/>
    <s v="dd: reference list: PRL: External Material Group"/>
    <s v="yes"/>
    <x v="2"/>
    <s v="Requestor, CA Finance Tax"/>
    <m/>
    <s v="Bev - check w/TT regarding specific wording in drop down (not part of RDL list)"/>
    <s v="1085 dependent on where CHANNEL=:  AFH/Specialty (1033), Canada (1008), Export (1034), CLUB, RX- where there is a subselection of the list for these areas; otherwise it shows RETAIL choices"/>
    <x v="0"/>
    <s v="complete"/>
    <x v="4"/>
    <x v="4"/>
    <x v="0"/>
    <x v="0"/>
    <n v="5"/>
    <x v="3"/>
    <n v="1"/>
    <x v="0"/>
    <d v="2025-09-24T00:00:00"/>
    <d v="2025-09-26T00:00:00"/>
    <d v="2025-09-29T00:00:00"/>
  </r>
  <r>
    <x v="87"/>
    <x v="4"/>
    <s v="Forecast SKU Requirements"/>
    <x v="87"/>
    <n v="1"/>
    <s v="51, 107"/>
    <s v="free form"/>
    <s v="yes"/>
    <x v="2"/>
    <s v="Category Finance"/>
    <m/>
    <m/>
    <s v="no Business Rules, numbers and decimals only"/>
    <x v="0"/>
    <s v="complete"/>
    <x v="4"/>
    <x v="4"/>
    <x v="0"/>
    <x v="0"/>
    <m/>
    <x v="1"/>
    <n v="0.5"/>
    <x v="0"/>
    <d v="2025-09-24T00:00:00"/>
    <d v="2025-09-26T00:00:00"/>
    <d v="2025-09-29T00:00:00"/>
  </r>
  <r>
    <x v="88"/>
    <x v="5"/>
    <s v="Product Details"/>
    <x v="88"/>
    <n v="1"/>
    <s v="(not on pg 51), 74"/>
    <s v="dd: reference list: PRL: KSC Field Category"/>
    <s v="yes"/>
    <x v="0"/>
    <m/>
    <m/>
    <s v="9/24/25 - in NIF PROD this field is on the LIM - Forecast Approval training section"/>
    <s v="no known BR based on data entered"/>
    <x v="0"/>
    <s v="complete"/>
    <x v="5"/>
    <x v="5"/>
    <x v="0"/>
    <x v="0"/>
    <n v="5"/>
    <x v="1"/>
    <n v="0.5"/>
    <x v="0"/>
    <d v="2025-09-24T00:00:00"/>
    <d v="2025-09-26T00:00:00"/>
    <d v="2025-09-29T00:00:00"/>
  </r>
  <r>
    <x v="89"/>
    <x v="4"/>
    <s v="Forecast SKU Requirements"/>
    <x v="89"/>
    <n v="1"/>
    <n v="51"/>
    <s v="free form"/>
    <s v="yes"/>
    <x v="2"/>
    <m/>
    <m/>
    <s v="Tamara to test - Canada??_x000a_9/26/25 - Query not included in Expert System Rules"/>
    <s v="numbers and decimals; runs query_tax_classification query (what does this do?"/>
    <x v="0"/>
    <s v="last week"/>
    <x v="4"/>
    <x v="4"/>
    <x v="0"/>
    <x v="0"/>
    <m/>
    <x v="1"/>
    <n v="0.5"/>
    <x v="0"/>
    <d v="2025-09-24T00:00:00"/>
    <d v="2025-09-26T00:00:00"/>
    <d v="2025-09-29T00:00:00"/>
  </r>
  <r>
    <x v="90"/>
    <x v="4"/>
    <s v="Forecast SKU Requirements"/>
    <x v="90"/>
    <n v="0"/>
    <n v="51"/>
    <s v="autofill"/>
    <m/>
    <x v="2"/>
    <m/>
    <m/>
    <s v="based off SUB-TYPE DESCRIPTION"/>
    <s v="display only - duplicate of Material Prefix Description (1042)"/>
    <x v="0"/>
    <s v="complete"/>
    <x v="4"/>
    <x v="4"/>
    <x v="0"/>
    <x v="0"/>
    <m/>
    <x v="0"/>
    <n v="0"/>
    <x v="0"/>
    <d v="2025-09-24T00:00:00"/>
    <d v="2025-09-29T00:00:00"/>
    <d v="2025-09-29T00:00:00"/>
  </r>
  <r>
    <x v="91"/>
    <x v="4"/>
    <s v="Forecast SKU Requirements"/>
    <x v="91"/>
    <n v="1"/>
    <s v="51, 80"/>
    <s v="dd: reference list: PRL: Transportation Group"/>
    <s v="yes"/>
    <x v="2"/>
    <m/>
    <m/>
    <m/>
    <s v="no known BR based on data entered"/>
    <x v="0"/>
    <s v="complete"/>
    <x v="4"/>
    <x v="4"/>
    <x v="0"/>
    <x v="0"/>
    <m/>
    <x v="3"/>
    <n v="1"/>
    <x v="0"/>
    <d v="2025-09-24T00:00:00"/>
    <d v="2025-09-26T00:00:00"/>
    <d v="2025-09-29T00:00:00"/>
  </r>
  <r>
    <x v="92"/>
    <x v="4"/>
    <s v="Forecast SKU Requirements"/>
    <x v="92"/>
    <n v="1"/>
    <n v="51"/>
    <s v="free form"/>
    <s v="yes"/>
    <x v="2"/>
    <m/>
    <m/>
    <m/>
    <s v="1090 predecessor to: If US then Imperial (1092) is required and Metric (1091) is open but not required, otherwise if NOT-US then Metric is required and Imperial is open but not required"/>
    <x v="0"/>
    <s v="complete"/>
    <x v="4"/>
    <x v="4"/>
    <x v="0"/>
    <x v="0"/>
    <m/>
    <x v="1"/>
    <n v="0.5"/>
    <x v="0"/>
    <d v="2025-09-24T00:00:00"/>
    <d v="2025-09-28T00:00:00"/>
    <d v="2025-09-29T00:00:00"/>
  </r>
  <r>
    <x v="93"/>
    <x v="4"/>
    <s v="Forecast SKU Requirements"/>
    <x v="93"/>
    <n v="1"/>
    <n v="51"/>
    <s v="free form"/>
    <s v="conditional"/>
    <x v="2"/>
    <m/>
    <m/>
    <m/>
    <s v="1091 dependent on 1090"/>
    <x v="0"/>
    <s v="complete"/>
    <x v="4"/>
    <x v="4"/>
    <x v="0"/>
    <x v="0"/>
    <m/>
    <x v="1"/>
    <n v="0.5"/>
    <x v="0"/>
    <d v="2025-09-24T00:00:00"/>
    <d v="2025-09-28T00:00:00"/>
    <d v="2025-09-29T00:00:00"/>
  </r>
  <r>
    <x v="94"/>
    <x v="4"/>
    <s v="Forecast SKU Requirements"/>
    <x v="94"/>
    <n v="1"/>
    <n v="51"/>
    <s v="free form"/>
    <s v="conditional"/>
    <x v="2"/>
    <m/>
    <m/>
    <m/>
    <s v="1092 dependent on 1090"/>
    <x v="0"/>
    <s v="complete"/>
    <x v="4"/>
    <x v="4"/>
    <x v="0"/>
    <x v="0"/>
    <m/>
    <x v="1"/>
    <n v="0.5"/>
    <x v="0"/>
    <d v="2025-09-24T00:00:00"/>
    <d v="2025-09-28T00:00:00"/>
    <d v="2025-09-29T00:00:00"/>
  </r>
  <r>
    <x v="95"/>
    <x v="4"/>
    <s v="Forecast SKU Requirements"/>
    <x v="95"/>
    <n v="1"/>
    <s v="51, 76"/>
    <s v="dd: reference list: COUNTRY (not in RDL or PRL)"/>
    <s v="yes"/>
    <x v="2"/>
    <s v="Requestor"/>
    <m/>
    <s v="Multiple rows possible._x000a_9/29/25 - DataSync would like this to only be one answer, as it causes issues otherwise. (not yet in NIF code)"/>
    <s v="9/29/25 - did not code: if AA then change to US (might be because Jon put US at the top of the list with the AA); _x000a_no other business rules"/>
    <x v="0"/>
    <s v="complete"/>
    <x v="4"/>
    <x v="4"/>
    <x v="0"/>
    <x v="0"/>
    <n v="6"/>
    <x v="3"/>
    <n v="1"/>
    <x v="0"/>
    <d v="2025-09-25T00:00:00"/>
    <d v="2025-09-28T00:00:00"/>
    <d v="2025-09-29T00:00:00"/>
  </r>
  <r>
    <x v="96"/>
    <x v="4"/>
    <s v="Forecast SKU Requirements"/>
    <x v="96"/>
    <n v="1"/>
    <s v="51, 81"/>
    <s v="dd: reference list: ZMMU table (not in RDL or PRL)"/>
    <s v="yes"/>
    <x v="2"/>
    <m/>
    <m/>
    <s v="Multiple rows possible."/>
    <s v="1094 predecessor to 1095 populates from ref list; if VAS=yes, then In/Out required"/>
    <x v="0"/>
    <s v="complete"/>
    <x v="4"/>
    <x v="4"/>
    <x v="0"/>
    <x v="0"/>
    <m/>
    <x v="3"/>
    <n v="1"/>
    <x v="0"/>
    <d v="2025-09-25T00:00:00"/>
    <d v="2025-09-29T00:00:00"/>
    <d v="2025-09-29T00:00:00"/>
  </r>
  <r>
    <x v="97"/>
    <x v="4"/>
    <s v="Forecast SKU Requirements"/>
    <x v="97"/>
    <n v="0"/>
    <s v="51, 81"/>
    <s v="autofill"/>
    <s v="no"/>
    <x v="2"/>
    <m/>
    <m/>
    <s v="Multiple rows possible."/>
    <s v="1095 dependent on 1094"/>
    <x v="0"/>
    <s v="complete"/>
    <x v="4"/>
    <x v="4"/>
    <x v="0"/>
    <x v="0"/>
    <m/>
    <x v="0"/>
    <n v="0"/>
    <x v="0"/>
    <d v="2025-09-25T00:00:00"/>
    <d v="2025-09-29T00:00:00"/>
    <d v="2025-09-29T00:00:00"/>
  </r>
  <r>
    <x v="98"/>
    <x v="4"/>
    <s v="Forecast SKU Requirements"/>
    <x v="98"/>
    <n v="1"/>
    <s v="51, 81"/>
    <s v="dd: INBOUND, OUTBOUND"/>
    <s v="yes"/>
    <x v="2"/>
    <m/>
    <m/>
    <s v="Multiple rows possible."/>
    <s v="If VAS=yes, then required"/>
    <x v="0"/>
    <s v="complete"/>
    <x v="4"/>
    <x v="4"/>
    <x v="0"/>
    <x v="0"/>
    <m/>
    <x v="1"/>
    <n v="0.5"/>
    <x v="0"/>
    <d v="2025-09-24T00:00:00"/>
    <d v="2025-09-29T00:00:00"/>
    <d v="2025-09-29T00:00:00"/>
  </r>
  <r>
    <x v="99"/>
    <x v="4"/>
    <s v="Forecast SKU Requirements"/>
    <x v="99"/>
    <n v="1"/>
    <s v="51, 81"/>
    <s v="dd: KELLOGG OWNED, NOT OWNED (COMAN)"/>
    <s v="no"/>
    <x v="2"/>
    <m/>
    <m/>
    <s v="Multiple rows possible."/>
    <s v="no known BR based on data entered"/>
    <x v="0"/>
    <s v="complete"/>
    <x v="4"/>
    <x v="4"/>
    <x v="0"/>
    <x v="0"/>
    <m/>
    <x v="1"/>
    <n v="0.5"/>
    <x v="0"/>
    <d v="2025-09-25T00:00:00"/>
    <d v="2025-09-29T00:00:00"/>
    <d v="2025-09-29T00:00:00"/>
  </r>
  <r>
    <x v="100"/>
    <x v="4"/>
    <s v="Fields Used for Material Description"/>
    <x v="100"/>
    <n v="1"/>
    <s v="51, 76, 81"/>
    <s v="dd: reference list: PRL: Flavor"/>
    <s v="yes"/>
    <x v="2"/>
    <s v="Requestor"/>
    <m/>
    <s v="9/28/25 - did not code flavor abbreviation; pull in at Material Description field?"/>
    <s v="Flavor_Abbrv from ref list;"/>
    <x v="0"/>
    <s v="complete"/>
    <x v="4"/>
    <x v="4"/>
    <x v="0"/>
    <x v="0"/>
    <n v="6"/>
    <x v="3"/>
    <n v="1"/>
    <x v="0"/>
    <d v="2025-09-25T00:00:00"/>
    <d v="2025-09-29T00:00:00"/>
    <d v="2025-09-29T00:00:00"/>
  </r>
  <r>
    <x v="101"/>
    <x v="4"/>
    <s v="Fields Used for Material Description"/>
    <x v="101"/>
    <n v="1"/>
    <s v="51, 76, 81, 94"/>
    <s v="dd: reference list: PRL: Food Form"/>
    <s v="yes"/>
    <x v="2"/>
    <s v="Requestor, Nutrition Labeling"/>
    <m/>
    <s v="9/28/25 - did not code food form abbreviation; pull in at Material Description field?"/>
    <s v="1099 predecessor to 1173; gets the Food_Form_Abbrv from ref list; "/>
    <x v="0"/>
    <s v="complete"/>
    <x v="4"/>
    <x v="4"/>
    <x v="0"/>
    <x v="0"/>
    <n v="6"/>
    <x v="3"/>
    <n v="1"/>
    <x v="0"/>
    <d v="2025-09-25T00:00:00"/>
    <d v="2025-09-29T00:00:00"/>
    <d v="2025-09-29T00:00:00"/>
  </r>
  <r>
    <x v="102"/>
    <x v="4"/>
    <s v="Fields Used for Material Description"/>
    <x v="102"/>
    <n v="1"/>
    <s v="51, 76, 81"/>
    <s v="dd: reference list: PRL: Sub Food Form"/>
    <s v="open not req"/>
    <x v="2"/>
    <s v="Requestor"/>
    <m/>
    <m/>
    <s v="no known BR based on data entered"/>
    <x v="0"/>
    <s v="complete"/>
    <x v="4"/>
    <x v="4"/>
    <x v="0"/>
    <x v="0"/>
    <n v="6"/>
    <x v="3"/>
    <n v="1"/>
    <x v="0"/>
    <d v="2025-09-25T00:00:00"/>
    <d v="2025-09-29T00:00:00"/>
    <d v="2025-09-29T00:00:00"/>
  </r>
  <r>
    <x v="103"/>
    <x v="4"/>
    <s v="Product Hierarchy-Brand"/>
    <x v="103"/>
    <n v="0"/>
    <n v="51"/>
    <s v="dd: reference list: PRL: Product Hierarchy Market Segment"/>
    <s v="yes"/>
    <x v="2"/>
    <m/>
    <m/>
    <s v="based off BRAND DESCRIPTION"/>
    <s v="no known BR based on data entered"/>
    <x v="0"/>
    <s v="complete"/>
    <x v="4"/>
    <x v="4"/>
    <x v="0"/>
    <x v="0"/>
    <m/>
    <x v="0"/>
    <n v="0"/>
    <x v="0"/>
    <d v="2025-09-25T00:00:00"/>
    <d v="2025-09-29T00:00:00"/>
    <d v="2025-09-29T00:00:00"/>
  </r>
  <r>
    <x v="104"/>
    <x v="4"/>
    <s v="Product Hierarchy-Brand"/>
    <x v="104"/>
    <n v="0"/>
    <n v="51"/>
    <s v="dd: reference list: PRL: Product Hierarchy Market Segment"/>
    <s v="yes"/>
    <x v="2"/>
    <m/>
    <m/>
    <s v="based off BRAND DESCRIPTION"/>
    <s v="move these rules to the proper field:_x000a_if CA &amp; VAS=yes, BOM_plant=1460; _x000a_if US &amp; VAS=yes &amp; Pringles=no, BOM_plant=1485; _x000a_if US &amp;VAS=yes &amp; Pringles=yes, BOM_plant=1409;_x000a_if US &amp; VAS=yes &amp; Form_type=Case, BOM_plant=1485;_x000a_PH1_Material_Segment=40 &amp; VAS=yes, BOM_plant=1724;"/>
    <x v="0"/>
    <s v="last week"/>
    <x v="4"/>
    <x v="4"/>
    <x v="0"/>
    <x v="0"/>
    <m/>
    <x v="0"/>
    <n v="0"/>
    <x v="0"/>
    <d v="2025-09-25T00:00:00"/>
    <d v="2025-09-29T00:00:00"/>
    <d v="2025-09-29T00:00:00"/>
  </r>
  <r>
    <x v="105"/>
    <x v="4"/>
    <s v="Product Hierarchy-Brand"/>
    <x v="105"/>
    <n v="0"/>
    <n v="51"/>
    <s v="dd: reference list: PRL: Product Hierarchy Market Category"/>
    <s v="yes"/>
    <x v="2"/>
    <m/>
    <m/>
    <s v="based off BRAND DESCRIPTION"/>
    <s v="no known BR based on data entered"/>
    <x v="0"/>
    <s v="complete"/>
    <x v="4"/>
    <x v="4"/>
    <x v="0"/>
    <x v="0"/>
    <m/>
    <x v="0"/>
    <n v="0"/>
    <x v="0"/>
    <d v="2025-09-25T00:00:00"/>
    <d v="2025-09-29T00:00:00"/>
    <d v="2025-09-29T00:00:00"/>
  </r>
  <r>
    <x v="106"/>
    <x v="4"/>
    <s v="Product Hierarchy-Brand"/>
    <x v="106"/>
    <n v="0"/>
    <n v="51"/>
    <s v="dd: reference list: PRL: Product Hierarchy Market Category"/>
    <s v="yes"/>
    <x v="2"/>
    <m/>
    <m/>
    <s v="based off BRAND DESCRIPTION"/>
    <s v="no known BR based on data entered"/>
    <x v="0"/>
    <s v="complete"/>
    <x v="4"/>
    <x v="4"/>
    <x v="0"/>
    <x v="0"/>
    <m/>
    <x v="0"/>
    <n v="0"/>
    <x v="0"/>
    <d v="2025-09-25T00:00:00"/>
    <d v="2025-09-29T00:00:00"/>
    <d v="2025-09-29T00:00:00"/>
  </r>
  <r>
    <x v="107"/>
    <x v="4"/>
    <s v="Product Hierarchy-Brand"/>
    <x v="107"/>
    <n v="0"/>
    <n v="51"/>
    <s v="dd: reference list: PRL: Product Hierarchy Market Sub-Category"/>
    <s v="yes"/>
    <x v="2"/>
    <m/>
    <m/>
    <s v="based off BRAND DESCRIPTION"/>
    <s v="no known BR based on data entered"/>
    <x v="0"/>
    <s v="complete"/>
    <x v="4"/>
    <x v="4"/>
    <x v="0"/>
    <x v="0"/>
    <m/>
    <x v="0"/>
    <n v="0"/>
    <x v="0"/>
    <d v="2025-09-25T00:00:00"/>
    <d v="2025-09-29T00:00:00"/>
    <d v="2025-09-29T00:00:00"/>
  </r>
  <r>
    <x v="108"/>
    <x v="4"/>
    <s v="Product Hierarchy-Brand"/>
    <x v="108"/>
    <n v="0"/>
    <n v="51"/>
    <s v="dd: reference list: PRL: Product Hierarchy Market Sub-Category"/>
    <s v="yes"/>
    <x v="2"/>
    <m/>
    <m/>
    <s v="based off BRAND DESCRIPTION"/>
    <s v="no known BR based on data entered"/>
    <x v="0"/>
    <s v="complete"/>
    <x v="4"/>
    <x v="4"/>
    <x v="0"/>
    <x v="0"/>
    <m/>
    <x v="0"/>
    <n v="0"/>
    <x v="0"/>
    <d v="2025-09-25T00:00:00"/>
    <d v="2025-09-29T00:00:00"/>
    <d v="2025-09-29T00:00:00"/>
  </r>
  <r>
    <x v="109"/>
    <x v="4"/>
    <s v="Product Hierarchy-Brand"/>
    <x v="109"/>
    <n v="1"/>
    <s v="51, 75, 86"/>
    <s v="dd: reference list: PRL: Product Hierarchy Brand"/>
    <s v="yes"/>
    <x v="2"/>
    <s v="Requestor"/>
    <m/>
    <m/>
    <s v="1107 predecessor to 1083; _x000a_Tech name [PH4_Brand_Desc] (26 rules)"/>
    <x v="0"/>
    <s v="last week"/>
    <x v="4"/>
    <x v="4"/>
    <x v="0"/>
    <x v="0"/>
    <n v="6"/>
    <x v="2"/>
    <n v="1.5"/>
    <x v="0"/>
    <d v="2025-09-23T00:00:00"/>
    <d v="2025-09-29T00:00:00"/>
    <d v="2025-09-29T00:00:00"/>
  </r>
  <r>
    <x v="110"/>
    <x v="4"/>
    <s v="Product Hierarchy-Brand"/>
    <x v="110"/>
    <n v="0"/>
    <n v="51"/>
    <s v="dd: reference list: PRL: Product Hierarchy Brand"/>
    <s v="yes"/>
    <x v="2"/>
    <m/>
    <m/>
    <s v="based off BRAND DESCRIPTION"/>
    <s v="no known BR based on data entered"/>
    <x v="0"/>
    <s v="complete"/>
    <x v="4"/>
    <x v="4"/>
    <x v="0"/>
    <x v="0"/>
    <m/>
    <x v="0"/>
    <n v="0"/>
    <x v="0"/>
    <d v="2025-09-25T00:00:00"/>
    <d v="2025-09-29T00:00:00"/>
    <d v="2025-09-29T00:00:00"/>
  </r>
  <r>
    <x v="111"/>
    <x v="4"/>
    <s v="Product Hierarchy-Brand"/>
    <x v="111"/>
    <n v="1"/>
    <s v="51, 110"/>
    <s v="dd: reference list: PRL: Product Hierarchy Type"/>
    <s v="yes"/>
    <x v="2"/>
    <s v="Data Integrity"/>
    <m/>
    <m/>
    <s v="no known BR based on data entered"/>
    <x v="0"/>
    <s v="complete"/>
    <x v="4"/>
    <x v="4"/>
    <x v="0"/>
    <x v="0"/>
    <m/>
    <x v="2"/>
    <n v="1.5"/>
    <x v="0"/>
    <d v="2025-09-25T00:00:00"/>
    <d v="2025-09-29T00:00:00"/>
    <d v="2025-09-29T00:00:00"/>
  </r>
  <r>
    <x v="112"/>
    <x v="4"/>
    <s v="Product Hierarchy-Brand"/>
    <x v="112"/>
    <n v="0"/>
    <n v="51"/>
    <s v="dd: reference list: PRL: Product Hierarchy Type"/>
    <s v="yes"/>
    <x v="2"/>
    <m/>
    <m/>
    <s v="based off TYPE DESCRIPTION"/>
    <s v="no known BR based on data entered"/>
    <x v="0"/>
    <s v="complete"/>
    <x v="4"/>
    <x v="4"/>
    <x v="0"/>
    <x v="0"/>
    <m/>
    <x v="0"/>
    <n v="0"/>
    <x v="0"/>
    <d v="2025-09-25T00:00:00"/>
    <d v="2025-09-29T00:00:00"/>
    <d v="2025-09-29T00:00:00"/>
  </r>
  <r>
    <x v="113"/>
    <x v="4"/>
    <s v="Product Hierarchy-Brand"/>
    <x v="113"/>
    <n v="1"/>
    <s v="51, 110"/>
    <s v="dd: reference list: PRL: Product Hierarchy Sub-Type"/>
    <s v="yes"/>
    <x v="2"/>
    <s v="Data Integrity"/>
    <m/>
    <m/>
    <s v="no known BR based on data entered"/>
    <x v="0"/>
    <s v="complete"/>
    <x v="4"/>
    <x v="4"/>
    <x v="0"/>
    <x v="0"/>
    <m/>
    <x v="2"/>
    <n v="1.5"/>
    <x v="0"/>
    <d v="2025-09-25T00:00:00"/>
    <d v="2025-09-29T00:00:00"/>
    <d v="2025-09-29T00:00:00"/>
  </r>
  <r>
    <x v="114"/>
    <x v="4"/>
    <s v="Product Hierarchy-Brand"/>
    <x v="114"/>
    <n v="0"/>
    <n v="51"/>
    <s v="dd: reference list: PRL: Product Hierarchy Sub-Type"/>
    <s v="yes"/>
    <x v="2"/>
    <m/>
    <m/>
    <s v="based off SUB-TYPE DESCRIPTION"/>
    <s v="no known BR based on data entered"/>
    <x v="0"/>
    <s v="complete"/>
    <x v="4"/>
    <x v="4"/>
    <x v="0"/>
    <x v="0"/>
    <m/>
    <x v="0"/>
    <n v="0"/>
    <x v="0"/>
    <d v="2025-09-25T00:00:00"/>
    <d v="2025-09-29T00:00:00"/>
    <d v="2025-09-29T00:00:00"/>
  </r>
  <r>
    <x v="115"/>
    <x v="4"/>
    <s v="Alternate Units of Measure"/>
    <x v="115"/>
    <n v="1"/>
    <n v="52"/>
    <s v="radio button: DEFAULTS, ESTIMATED, ACTUALS"/>
    <s v="yes"/>
    <x v="2"/>
    <m/>
    <m/>
    <s v="informational only"/>
    <s v="if &quot;Forecast Entry Options&quot; is DEFAULTS, then &quot;Y&quot; (1116) [Numerator_for_Conversion_to_Base_Units_of_Measure]= '1' and &quot;X&quot; (1114) [Denominator_for_conversion_to_base_units_of_measure]= '1' and &quot;Length&quot; (1118) = '1' and &quot;Width&quot; (1119) = '1' and &quot;Height&quot; (1120) = '1'"/>
    <x v="2"/>
    <s v="last week"/>
    <x v="4"/>
    <x v="4"/>
    <x v="0"/>
    <x v="0"/>
    <m/>
    <x v="1"/>
    <n v="0.5"/>
    <x v="0"/>
    <d v="2025-09-25T00:00:00"/>
    <m/>
    <m/>
  </r>
  <r>
    <x v="116"/>
    <x v="4"/>
    <s v="Alternate Units of Measure"/>
    <x v="116"/>
    <n v="1"/>
    <s v="52, 98"/>
    <s v="free form"/>
    <m/>
    <x v="2"/>
    <s v="Packaging Tech"/>
    <m/>
    <s v="rows of data: 4 (CS, PKG, LYR, UL);  PCH??"/>
    <s v="Tech name: [Denominator_for_conversion_to_base_units_of_measure] (10 rules) then executed 4 times throughout rules"/>
    <x v="3"/>
    <s v="last week"/>
    <x v="4"/>
    <x v="4"/>
    <x v="0"/>
    <x v="0"/>
    <m/>
    <x v="1"/>
    <n v="0.5"/>
    <x v="0"/>
    <d v="2025-09-25T00:00:00"/>
    <m/>
    <m/>
  </r>
  <r>
    <x v="117"/>
    <x v="4"/>
    <s v="Alternate Units of Measure"/>
    <x v="117"/>
    <n v="0"/>
    <s v="52, 98"/>
    <s v="autofill"/>
    <m/>
    <x v="2"/>
    <s v="Packaging Tech"/>
    <m/>
    <m/>
    <s v="constant variable for display only"/>
    <x v="3"/>
    <s v="last week"/>
    <x v="4"/>
    <x v="4"/>
    <x v="0"/>
    <x v="0"/>
    <m/>
    <x v="0"/>
    <n v="0"/>
    <x v="0"/>
    <d v="2025-09-25T00:00:00"/>
    <m/>
    <m/>
  </r>
  <r>
    <x v="118"/>
    <x v="4"/>
    <s v="Alternate Units of Measure"/>
    <x v="118"/>
    <n v="1"/>
    <s v="52, 98"/>
    <s v="free form"/>
    <m/>
    <x v="2"/>
    <s v="Packaging Tech"/>
    <m/>
    <s v="rows of data: 4 (CS, PKG, LYR, UL);  PCH??"/>
    <s v="Tech name: [Numerator_for_Conversion_to_Base_Units_of_Measure] (13 rules) then executed 4 times throughout rules"/>
    <x v="3"/>
    <s v="last week"/>
    <x v="4"/>
    <x v="4"/>
    <x v="0"/>
    <x v="0"/>
    <m/>
    <x v="1"/>
    <n v="0.5"/>
    <x v="0"/>
    <d v="2025-09-25T00:00:00"/>
    <m/>
    <m/>
  </r>
  <r>
    <x v="119"/>
    <x v="4"/>
    <s v="Alternate Units of Measure"/>
    <x v="119"/>
    <n v="0"/>
    <s v="29, 52, 98"/>
    <s v="autofill"/>
    <m/>
    <x v="2"/>
    <s v="Packaging Tech"/>
    <m/>
    <m/>
    <s v="based off of RDL: ALT_UOM  (ie: CS, HUL, QUL, FUL, …)_x000a_Tech name: [Base_Unit_of_Measure] (referenced 3 times, but no rules on actual field)"/>
    <x v="3"/>
    <s v="last week"/>
    <x v="4"/>
    <x v="4"/>
    <x v="0"/>
    <x v="0"/>
    <m/>
    <x v="0"/>
    <n v="0"/>
    <x v="0"/>
    <d v="2025-09-25T00:00:00"/>
    <m/>
    <m/>
  </r>
  <r>
    <x v="120"/>
    <x v="4"/>
    <s v="Alternate Units of Measure"/>
    <x v="120"/>
    <n v="1"/>
    <s v="52, 98"/>
    <s v="free form"/>
    <m/>
    <x v="2"/>
    <s v="Packaging Tech"/>
    <m/>
    <s v="rows of data: 4 (CS, PKG, LYR, UL);  PCH??"/>
    <s v="Tech name: [Length] (5 rules)"/>
    <x v="3"/>
    <s v="last week"/>
    <x v="4"/>
    <x v="4"/>
    <x v="0"/>
    <x v="0"/>
    <m/>
    <x v="1"/>
    <n v="0.5"/>
    <x v="0"/>
    <d v="2025-09-25T00:00:00"/>
    <m/>
    <m/>
  </r>
  <r>
    <x v="121"/>
    <x v="4"/>
    <s v="Alternate Units of Measure"/>
    <x v="121"/>
    <n v="1"/>
    <s v="52, 98"/>
    <s v="free form"/>
    <m/>
    <x v="2"/>
    <s v="Packaging Tech"/>
    <m/>
    <s v="rows of data: 4 (CS, PKG, LYR, UL);  PCH??"/>
    <s v="Tech name: [Width] (5 rules)"/>
    <x v="3"/>
    <s v="last week"/>
    <x v="4"/>
    <x v="4"/>
    <x v="0"/>
    <x v="0"/>
    <m/>
    <x v="1"/>
    <n v="0.5"/>
    <x v="0"/>
    <d v="2025-09-25T00:00:00"/>
    <m/>
    <m/>
  </r>
  <r>
    <x v="122"/>
    <x v="4"/>
    <s v="Alternate Units of Measure"/>
    <x v="122"/>
    <n v="1"/>
    <s v="52, 98"/>
    <s v="free form"/>
    <m/>
    <x v="2"/>
    <s v="Packaging Tech"/>
    <m/>
    <s v="rows of data: 4 (CS, PKG, LYR, UL);  PCH??"/>
    <s v="Tech name: [Height] (5 rules)"/>
    <x v="3"/>
    <s v="last week"/>
    <x v="4"/>
    <x v="4"/>
    <x v="0"/>
    <x v="0"/>
    <m/>
    <x v="1"/>
    <n v="0.5"/>
    <x v="0"/>
    <d v="2025-09-25T00:00:00"/>
    <m/>
    <m/>
  </r>
  <r>
    <x v="123"/>
    <x v="4"/>
    <s v="Alternate Units of Measure"/>
    <x v="123"/>
    <n v="0"/>
    <s v="52, 98"/>
    <s v="autofill"/>
    <m/>
    <x v="2"/>
    <s v="Packaging Tech"/>
    <m/>
    <m/>
    <s v="based off of RDL: ALT_UOM "/>
    <x v="3"/>
    <s v="last week"/>
    <x v="4"/>
    <x v="4"/>
    <x v="0"/>
    <x v="0"/>
    <m/>
    <x v="0"/>
    <n v="0"/>
    <x v="0"/>
    <d v="2025-09-25T00:00:00"/>
    <m/>
    <m/>
  </r>
  <r>
    <x v="124"/>
    <x v="4"/>
    <s v="Alternate Units of Measure"/>
    <x v="124"/>
    <n v="0"/>
    <s v="52, 98"/>
    <s v="autofill"/>
    <m/>
    <x v="2"/>
    <s v="Packaging Tech"/>
    <m/>
    <m/>
    <s v="Tech name: [Volume] (1 rule)"/>
    <x v="3"/>
    <s v="last week"/>
    <x v="4"/>
    <x v="4"/>
    <x v="0"/>
    <x v="0"/>
    <m/>
    <x v="0"/>
    <n v="0"/>
    <x v="0"/>
    <d v="2025-09-25T00:00:00"/>
    <m/>
    <m/>
  </r>
  <r>
    <x v="125"/>
    <x v="4"/>
    <s v="Alternate Units of Measure"/>
    <x v="125"/>
    <n v="0"/>
    <s v="52, 98"/>
    <s v="autofill"/>
    <m/>
    <x v="2"/>
    <s v="Packaging Tech"/>
    <m/>
    <m/>
    <s v="based off of RDL: ALT_UOM "/>
    <x v="3"/>
    <s v="last week"/>
    <x v="4"/>
    <x v="4"/>
    <x v="0"/>
    <x v="0"/>
    <m/>
    <x v="0"/>
    <n v="0"/>
    <x v="0"/>
    <d v="2025-09-25T00:00:00"/>
    <m/>
    <m/>
  </r>
  <r>
    <x v="126"/>
    <x v="4"/>
    <s v="Alternate Units of Measure"/>
    <x v="126"/>
    <n v="1"/>
    <s v="52, 98"/>
    <s v="free form"/>
    <m/>
    <x v="2"/>
    <s v="Packaging Tech"/>
    <m/>
    <s v="rows of data: 4 (CS, PKG, LYR, UL);  PCH??"/>
    <s v="Tech name: [Gross_Weight] (14 rules); _x000a_Tech name: [Gross_Weight_UL] (2 rules); _x000a_Tech name: [Gross_Case_Weight] (1 rule)"/>
    <x v="3"/>
    <s v="last week"/>
    <x v="4"/>
    <x v="4"/>
    <x v="0"/>
    <x v="0"/>
    <m/>
    <x v="1"/>
    <n v="0.5"/>
    <x v="0"/>
    <d v="2025-09-25T00:00:00"/>
    <m/>
    <m/>
  </r>
  <r>
    <x v="127"/>
    <x v="4"/>
    <s v="Alternate Units of Measure"/>
    <x v="127"/>
    <n v="0"/>
    <s v="52, 98"/>
    <s v="autofill"/>
    <m/>
    <x v="2"/>
    <s v="Packaging Tech"/>
    <m/>
    <m/>
    <s v="based off of RDL: ALT_UOM; different values depending on the level of the Alternate Units of Measure"/>
    <x v="3"/>
    <s v="last week"/>
    <x v="4"/>
    <x v="4"/>
    <x v="0"/>
    <x v="0"/>
    <m/>
    <x v="0"/>
    <n v="0"/>
    <x v="0"/>
    <d v="2025-09-25T00:00:00"/>
    <m/>
    <m/>
  </r>
  <r>
    <x v="128"/>
    <x v="4"/>
    <s v="Material Description(s)"/>
    <x v="128"/>
    <n v="0"/>
    <s v="52, 58"/>
    <s v="autofill"/>
    <m/>
    <x v="2"/>
    <m/>
    <m/>
    <m/>
    <s v="no known BR based on data entered"/>
    <x v="2"/>
    <s v="last week"/>
    <x v="4"/>
    <x v="4"/>
    <x v="0"/>
    <x v="0"/>
    <m/>
    <x v="0"/>
    <n v="0"/>
    <x v="0"/>
    <d v="2025-09-25T00:00:00"/>
    <m/>
    <m/>
  </r>
  <r>
    <x v="129"/>
    <x v="4"/>
    <s v="Material Description(s)"/>
    <x v="129"/>
    <n v="0"/>
    <s v="52, 58"/>
    <s v="autofill"/>
    <m/>
    <x v="2"/>
    <s v="Requestor, Masterfiles"/>
    <m/>
    <s v="Multiple rows possible. because of languages;_x000a_dependent on &quot;pringles&quot;=yes"/>
    <s v="1127 dependent on 1009 Product Type='Rainbow' then RNBW must be at end of Material Description (for DataSync compliancy); max 40; dependent on 1304 &quot;is this non sellable FERT WIP&quot; = YES, then add WIP to end"/>
    <x v="2"/>
    <s v="last week"/>
    <x v="4"/>
    <x v="4"/>
    <x v="0"/>
    <x v="0"/>
    <n v="7"/>
    <x v="0"/>
    <n v="0"/>
    <x v="0"/>
    <d v="2025-09-24T00:00:00"/>
    <m/>
    <m/>
  </r>
  <r>
    <x v="130"/>
    <x v="4"/>
    <s v="Material Description(s)"/>
    <x v="130"/>
    <n v="0"/>
    <s v="52, 58"/>
    <s v="autofill"/>
    <m/>
    <x v="2"/>
    <m/>
    <m/>
    <m/>
    <s v="no known BR based on data entered"/>
    <x v="2"/>
    <s v="last week"/>
    <x v="4"/>
    <x v="4"/>
    <x v="0"/>
    <x v="0"/>
    <m/>
    <x v="0"/>
    <n v="0"/>
    <x v="0"/>
    <d v="2025-09-25T00:00:00"/>
    <m/>
    <m/>
  </r>
  <r>
    <x v="131"/>
    <x v="4"/>
    <s v="Material Description(s)"/>
    <x v="131"/>
    <n v="0"/>
    <n v="52"/>
    <s v="button"/>
    <m/>
    <x v="2"/>
    <m/>
    <m/>
    <m/>
    <s v="1129 dependent on 1029; run button"/>
    <x v="2"/>
    <s v="last week"/>
    <x v="4"/>
    <x v="4"/>
    <x v="0"/>
    <x v="0"/>
    <m/>
    <x v="1"/>
    <n v="0"/>
    <x v="0"/>
    <d v="2025-09-23T00:00:00"/>
    <m/>
    <m/>
  </r>
  <r>
    <x v="132"/>
    <x v="4"/>
    <s v="Material Description(s)"/>
    <x v="132"/>
    <n v="1"/>
    <s v="52, 58, 81"/>
    <s v="free form"/>
    <m/>
    <x v="2"/>
    <s v="Masterfiles"/>
    <m/>
    <m/>
    <s v="1130 predecessor to 1131; 40 max"/>
    <x v="2"/>
    <s v="last week"/>
    <x v="4"/>
    <x v="4"/>
    <x v="0"/>
    <x v="0"/>
    <m/>
    <x v="3"/>
    <n v="1"/>
    <x v="0"/>
    <d v="2025-09-19T00:00:00"/>
    <m/>
    <m/>
  </r>
  <r>
    <x v="133"/>
    <x v="4"/>
    <s v="Material Description(s)"/>
    <x v="133"/>
    <n v="0"/>
    <s v="52, 58"/>
    <s v="autofill"/>
    <m/>
    <x v="2"/>
    <m/>
    <m/>
    <m/>
    <s v="1131 dependent on: Suggested Material Desc (1130)"/>
    <x v="2"/>
    <s v="last week"/>
    <x v="4"/>
    <x v="4"/>
    <x v="0"/>
    <x v="0"/>
    <m/>
    <x v="0"/>
    <n v="0"/>
    <x v="0"/>
    <d v="2025-09-19T00:00:00"/>
    <m/>
    <m/>
  </r>
  <r>
    <x v="134"/>
    <x v="4"/>
    <s v="Taxes"/>
    <x v="134"/>
    <n v="1"/>
    <s v="52, 105"/>
    <s v="dd: reference list: COUNTRY (not in RDL or PRL)"/>
    <m/>
    <x v="2"/>
    <s v="CA Finance Tax"/>
    <m/>
    <m/>
    <s v="Tech name: [Departure_country__country_from_which_the_goods_are_sent] (2 rules set this value, but rules are not on the field itself)"/>
    <x v="3"/>
    <s v="last week"/>
    <x v="4"/>
    <x v="4"/>
    <x v="0"/>
    <x v="0"/>
    <m/>
    <x v="1"/>
    <n v="0.5"/>
    <x v="0"/>
    <d v="2025-09-25T00:00:00"/>
    <m/>
    <m/>
  </r>
  <r>
    <x v="135"/>
    <x v="4"/>
    <s v="Taxes"/>
    <x v="135"/>
    <n v="0"/>
    <s v="52, 105"/>
    <s v="autofill"/>
    <m/>
    <x v="2"/>
    <s v="CA Finance Tax"/>
    <m/>
    <m/>
    <s v="Tech name: [Tax_category__sales_tax__federal_sales_tax_____] (1 rule) (2 other rules set this value, but they are not on the field itself)"/>
    <x v="3"/>
    <s v="last week"/>
    <x v="4"/>
    <x v="4"/>
    <x v="0"/>
    <x v="0"/>
    <m/>
    <x v="0"/>
    <n v="0"/>
    <x v="0"/>
    <d v="2025-09-25T00:00:00"/>
    <m/>
    <m/>
  </r>
  <r>
    <x v="136"/>
    <x v="4"/>
    <s v="Taxes"/>
    <x v="136"/>
    <n v="1"/>
    <s v="52, 105"/>
    <s v="dd: reference list: TAX_CLASSIFICATION.XLSX"/>
    <m/>
    <x v="2"/>
    <s v="CA Finance Tax"/>
    <m/>
    <m/>
    <s v="Tech name: [Tax_classification_material] (5 rules set this value, but rules are not on the field itself)"/>
    <x v="3"/>
    <s v="last week"/>
    <x v="4"/>
    <x v="4"/>
    <x v="0"/>
    <x v="0"/>
    <m/>
    <x v="1"/>
    <n v="0.5"/>
    <x v="0"/>
    <d v="2025-09-25T00:00:00"/>
    <m/>
    <m/>
  </r>
  <r>
    <x v="137"/>
    <x v="6"/>
    <s v="Forecast Scripts"/>
    <x v="137"/>
    <n v="0"/>
    <n v="59"/>
    <s v="button"/>
    <m/>
    <x v="1"/>
    <m/>
    <m/>
    <s v="Masterfiles setup of Forecast sku"/>
    <m/>
    <x v="1"/>
    <s v="future"/>
    <x v="6"/>
    <x v="3"/>
    <x v="3"/>
    <x v="3"/>
    <m/>
    <x v="1"/>
    <n v="0"/>
    <x v="6"/>
    <m/>
    <m/>
    <m/>
  </r>
  <r>
    <x v="138"/>
    <x v="6"/>
    <s v="Forecast Scripts"/>
    <x v="138"/>
    <n v="0"/>
    <n v="60"/>
    <s v="expand group with more buttons"/>
    <m/>
    <x v="1"/>
    <m/>
    <m/>
    <m/>
    <m/>
    <x v="1"/>
    <s v="future"/>
    <x v="6"/>
    <x v="3"/>
    <x v="3"/>
    <x v="3"/>
    <m/>
    <x v="1"/>
    <n v="0"/>
    <x v="6"/>
    <m/>
    <m/>
    <m/>
  </r>
  <r>
    <x v="139"/>
    <x v="7"/>
    <s v="Product Setup"/>
    <x v="139"/>
    <n v="1"/>
    <n v="62"/>
    <s v="dd: YES, NO"/>
    <m/>
    <x v="2"/>
    <m/>
    <m/>
    <s v="if yes, there will be a BOM requirement in the form, and the Material Group will be set to REPACK."/>
    <s v="1137 [VAS] predecessor for 1176-1192"/>
    <x v="3"/>
    <s v="current"/>
    <x v="7"/>
    <x v="1"/>
    <x v="2"/>
    <x v="2"/>
    <m/>
    <x v="3"/>
    <n v="1"/>
    <x v="5"/>
    <d v="2025-09-22T00:00:00"/>
    <m/>
    <m/>
  </r>
  <r>
    <x v="140"/>
    <x v="8"/>
    <s v="(buttons) Returns"/>
    <x v="140"/>
    <n v="1"/>
    <n v="63"/>
    <s v="free form"/>
    <m/>
    <x v="2"/>
    <m/>
    <m/>
    <m/>
    <m/>
    <x v="1"/>
    <s v="current"/>
    <x v="8"/>
    <x v="1"/>
    <x v="2"/>
    <x v="2"/>
    <m/>
    <x v="1"/>
    <n v="0.5"/>
    <x v="5"/>
    <m/>
    <m/>
    <m/>
  </r>
  <r>
    <x v="141"/>
    <x v="9"/>
    <s v="NIF Dashboard"/>
    <x v="141"/>
    <n v="0"/>
    <n v="64"/>
    <s v="autofill"/>
    <m/>
    <x v="2"/>
    <m/>
    <m/>
    <s v="statuses of the workflow (X, R, C…)"/>
    <m/>
    <x v="1"/>
    <s v="future"/>
    <x v="9"/>
    <x v="2"/>
    <x v="3"/>
    <x v="3"/>
    <m/>
    <x v="0"/>
    <n v="0"/>
    <x v="6"/>
    <m/>
    <m/>
    <m/>
  </r>
  <r>
    <x v="142"/>
    <x v="5"/>
    <s v="Product Details"/>
    <x v="142"/>
    <n v="1"/>
    <n v="74"/>
    <s v="free form"/>
    <m/>
    <x v="0"/>
    <m/>
    <m/>
    <m/>
    <s v="no known BR based on data entered"/>
    <x v="2"/>
    <s v="last week"/>
    <x v="5"/>
    <x v="5"/>
    <x v="0"/>
    <x v="0"/>
    <n v="5"/>
    <x v="1"/>
    <n v="0.5"/>
    <x v="0"/>
    <d v="2025-09-25T00:00:00"/>
    <m/>
    <m/>
  </r>
  <r>
    <x v="143"/>
    <x v="5"/>
    <s v="Product Details"/>
    <x v="143"/>
    <n v="1"/>
    <n v="74"/>
    <s v="dd: USD, CAD"/>
    <s v="conditional"/>
    <x v="0"/>
    <m/>
    <m/>
    <s v="autofill as default: if country=US then USD; country=CA then CAD"/>
    <s v="no known BR based on data entered"/>
    <x v="2"/>
    <s v="last week"/>
    <x v="5"/>
    <x v="5"/>
    <x v="0"/>
    <x v="0"/>
    <n v="5"/>
    <x v="1"/>
    <n v="0.5"/>
    <x v="0"/>
    <d v="2025-09-25T00:00:00"/>
    <m/>
    <m/>
  </r>
  <r>
    <x v="144"/>
    <x v="5"/>
    <s v="Product Details"/>
    <x v="144"/>
    <n v="1"/>
    <n v="74"/>
    <s v="dd: reference list: PRL: Business Unit"/>
    <m/>
    <x v="0"/>
    <m/>
    <m/>
    <m/>
    <s v="no known BR based on data entered"/>
    <x v="2"/>
    <s v="last week"/>
    <x v="5"/>
    <x v="5"/>
    <x v="0"/>
    <x v="0"/>
    <n v="5"/>
    <x v="1"/>
    <n v="0.5"/>
    <x v="0"/>
    <d v="2025-09-25T00:00:00"/>
    <m/>
    <m/>
  </r>
  <r>
    <x v="145"/>
    <x v="5"/>
    <s v="Product Details"/>
    <x v="145"/>
    <n v="0"/>
    <n v="74"/>
    <s v="dd: reference list: PRL: Material Group 1"/>
    <m/>
    <x v="0"/>
    <m/>
    <m/>
    <m/>
    <s v="populated based on the Brand"/>
    <x v="2"/>
    <s v="last week"/>
    <x v="5"/>
    <x v="5"/>
    <x v="0"/>
    <x v="0"/>
    <n v="5"/>
    <x v="0"/>
    <n v="0"/>
    <x v="0"/>
    <d v="2025-09-25T00:00:00"/>
    <m/>
    <m/>
  </r>
  <r>
    <x v="146"/>
    <x v="5"/>
    <s v="Product Details"/>
    <x v="146"/>
    <n v="1"/>
    <n v="74"/>
    <s v="date"/>
    <m/>
    <x v="0"/>
    <m/>
    <m/>
    <s v="Canada only"/>
    <s v="if &quot;Product Country&quot; is 'CA - Canada' then &quot;1st Arrival Date&quot; must be a Thursday; _x000a_Tech name: [First_Arrival_Date] - set first_ship_date=first_arrival_date-11; set pricing_validity_date=first_arrival_date-11; "/>
    <x v="3"/>
    <s v="last week"/>
    <x v="5"/>
    <x v="5"/>
    <x v="0"/>
    <x v="0"/>
    <n v="5"/>
    <x v="1"/>
    <n v="0.5"/>
    <x v="0"/>
    <d v="2025-09-25T00:00:00"/>
    <m/>
    <m/>
  </r>
  <r>
    <x v="147"/>
    <x v="5"/>
    <s v="Product Details"/>
    <x v="147"/>
    <n v="0"/>
    <n v="74"/>
    <s v="autofill"/>
    <m/>
    <x v="0"/>
    <m/>
    <m/>
    <s v="Canada only"/>
    <s v="has to be Thursday and for CANADA"/>
    <x v="2"/>
    <s v="last week"/>
    <x v="5"/>
    <x v="5"/>
    <x v="0"/>
    <x v="0"/>
    <n v="5"/>
    <x v="0"/>
    <n v="0"/>
    <x v="0"/>
    <d v="2025-09-25T00:00:00"/>
    <m/>
    <m/>
  </r>
  <r>
    <x v="148"/>
    <x v="5"/>
    <s v="Product Details"/>
    <x v="148"/>
    <n v="1"/>
    <s v="74, 80"/>
    <s v="date"/>
    <m/>
    <x v="0"/>
    <s v="LIM"/>
    <m/>
    <s v="Marie's notes: For Canada, First Arrival Date = Thursday; First Ship &amp; Pricing Dates are Sunday Prior (First Arrival - 11 days)"/>
    <s v="Tech name: [First_Ship_Date] - _x000a_if Country=US and first_ship_date=Monday and Forecast=Yes, then set &quot;Pricing Validity Date&quot; (1149)=first_ship_date-1; {what to do if Forecast=No??};_x000a_if Country=CA, set &quot;Pricing Validity Date&quot; (1149)=first_arrival_date-11;_x000a_"/>
    <x v="3"/>
    <s v="last week"/>
    <x v="5"/>
    <x v="5"/>
    <x v="0"/>
    <x v="0"/>
    <n v="5"/>
    <x v="1"/>
    <n v="0.5"/>
    <x v="0"/>
    <d v="2025-09-25T00:00:00"/>
    <m/>
    <m/>
  </r>
  <r>
    <x v="149"/>
    <x v="5"/>
    <s v="Product Details"/>
    <x v="149"/>
    <n v="0"/>
    <n v="74"/>
    <s v="autofill"/>
    <m/>
    <x v="0"/>
    <m/>
    <m/>
    <m/>
    <s v="has to be Monday and for US"/>
    <x v="2"/>
    <s v="last week"/>
    <x v="5"/>
    <x v="5"/>
    <x v="0"/>
    <x v="0"/>
    <n v="5"/>
    <x v="0"/>
    <n v="0"/>
    <x v="0"/>
    <d v="2025-09-25T00:00:00"/>
    <m/>
    <m/>
  </r>
  <r>
    <x v="150"/>
    <x v="5"/>
    <s v="Product Details"/>
    <x v="150"/>
    <n v="1"/>
    <n v="74"/>
    <s v="dd: reference list: PRL: FERT Type"/>
    <m/>
    <x v="0"/>
    <m/>
    <m/>
    <m/>
    <s v="no known BR based on data entered"/>
    <x v="2"/>
    <s v="last week"/>
    <x v="5"/>
    <x v="5"/>
    <x v="0"/>
    <x v="0"/>
    <n v="5"/>
    <x v="1"/>
    <n v="0.5"/>
    <x v="0"/>
    <d v="2025-09-25T00:00:00"/>
    <m/>
    <m/>
  </r>
  <r>
    <x v="151"/>
    <x v="5"/>
    <s v="Product Details"/>
    <x v="151"/>
    <n v="0"/>
    <n v="74"/>
    <s v="autofill"/>
    <m/>
    <x v="0"/>
    <m/>
    <m/>
    <m/>
    <s v="rule for formatting the date"/>
    <x v="3"/>
    <s v="last week"/>
    <x v="5"/>
    <x v="5"/>
    <x v="0"/>
    <x v="0"/>
    <n v="5"/>
    <x v="0"/>
    <n v="0"/>
    <x v="0"/>
    <d v="2025-09-25T00:00:00"/>
    <m/>
    <m/>
  </r>
  <r>
    <x v="152"/>
    <x v="5"/>
    <s v="Product Details"/>
    <x v="152"/>
    <n v="1"/>
    <s v="74, 80"/>
    <s v="dd: reference list: PRL: Pack Type Use"/>
    <m/>
    <x v="0"/>
    <m/>
    <m/>
    <s v="Marie: field is owned by AFH (Speciality); default to GROCERY if it is not AFH; except might be for DISPLAY where it might be SHIPPER"/>
    <s v="5 rules"/>
    <x v="3"/>
    <s v="last week"/>
    <x v="5"/>
    <x v="5"/>
    <x v="0"/>
    <x v="0"/>
    <n v="5"/>
    <x v="1"/>
    <n v="0.5"/>
    <x v="0"/>
    <d v="2025-09-25T00:00:00"/>
    <m/>
    <m/>
  </r>
  <r>
    <x v="153"/>
    <x v="5"/>
    <s v="Product Details"/>
    <x v="153"/>
    <n v="1"/>
    <n v="74"/>
    <s v="dd: reference list: PRL: Planning Variant"/>
    <m/>
    <x v="0"/>
    <m/>
    <m/>
    <s v="EDI references this to find which item is considered the Base Material. If items share package UPC’s, there can only be one that is considered the Base Material. The Planning Variant field is where thisis indicated within SAP. Other items(children sku’s) that use the same package UPC as the Base (most often seen with Repack/RCP’s and Promo Codes), will use National, Customer or Limited. Therefore, if yoursetup type IS NOT Repack/RCP that is using an existing package UPC, your Planning Variantshould always be Base Material. If yoursetup type IS a Repack/RCP that is using an existing package UPC, your Planning Variant needs to be National, Customer or Limited. In addition, if you are setting up a Repack/RCP that is using an existing package UPC, there may be special setup required if your customer is going to order by the package UPC. Click here for more information, and list of customers that order by the package UPC."/>
    <s v="EDI uses it to find the BASE MATERIAL; {Customers usually order with a CASE CODE, which is good.  But if they order with a PACKAGE CODE, EDI uses the XREF table to reference the proper CASE CODE related to the Customer for the PACKAGE CODE they are sending (like Dollar General has its own ~EDI PARTNER #)};_x000a_1151 dependent on FALB (1304)=yes then can't be BASE MATERIAL; 4 rules, but doesn't seem to include the FALB one, so make sure it's included"/>
    <x v="3"/>
    <s v="last week"/>
    <x v="5"/>
    <x v="5"/>
    <x v="0"/>
    <x v="0"/>
    <n v="5"/>
    <x v="1"/>
    <n v="0.5"/>
    <x v="0"/>
    <d v="2025-09-22T00:00:00"/>
    <m/>
    <m/>
  </r>
  <r>
    <x v="154"/>
    <x v="5"/>
    <s v="Product Details"/>
    <x v="154"/>
    <n v="1"/>
    <n v="74"/>
    <s v="dd: PERMANENT, LIMITED"/>
    <m/>
    <x v="0"/>
    <m/>
    <m/>
    <m/>
    <s v="4 rules"/>
    <x v="3"/>
    <s v="last week"/>
    <x v="5"/>
    <x v="5"/>
    <x v="0"/>
    <x v="0"/>
    <n v="5"/>
    <x v="1"/>
    <n v="0.5"/>
    <x v="0"/>
    <d v="2025-09-25T00:00:00"/>
    <m/>
    <m/>
  </r>
  <r>
    <x v="155"/>
    <x v="5"/>
    <s v="Product Details"/>
    <x v="155"/>
    <n v="1"/>
    <n v="0"/>
    <s v="date"/>
    <s v="conditional"/>
    <x v="0"/>
    <m/>
    <m/>
    <s v="9/25/25 new field identified"/>
    <s v="if SKU Type=LIMITED then opens, then Remarket Date &amp; Stop Ship date are auto calculated; otherwise locked"/>
    <x v="3"/>
    <s v="last week"/>
    <x v="10"/>
    <x v="6"/>
    <x v="4"/>
    <x v="4"/>
    <m/>
    <x v="3"/>
    <n v="1"/>
    <x v="0"/>
    <d v="2025-09-25T00:00:00"/>
    <m/>
    <m/>
  </r>
  <r>
    <x v="156"/>
    <x v="5"/>
    <s v="Product Details"/>
    <x v="156"/>
    <n v="1"/>
    <n v="74"/>
    <s v="date"/>
    <m/>
    <x v="0"/>
    <m/>
    <m/>
    <s v="dependent on SKU TYPE"/>
    <s v="2 rules - probably a month afterwards (28 days after Promo End Date)"/>
    <x v="3"/>
    <s v="last week"/>
    <x v="5"/>
    <x v="5"/>
    <x v="0"/>
    <x v="0"/>
    <n v="5"/>
    <x v="1"/>
    <n v="0.5"/>
    <x v="0"/>
    <d v="2025-09-25T00:00:00"/>
    <m/>
    <m/>
  </r>
  <r>
    <x v="157"/>
    <x v="5"/>
    <s v="Product Details"/>
    <x v="157"/>
    <n v="0"/>
    <n v="74"/>
    <s v="autofill"/>
    <m/>
    <x v="0"/>
    <m/>
    <m/>
    <m/>
    <s v="rule for formatting the date, check br doc; 14 days after Promo End Date"/>
    <x v="3"/>
    <s v="last week"/>
    <x v="5"/>
    <x v="5"/>
    <x v="0"/>
    <x v="0"/>
    <n v="5"/>
    <x v="0"/>
    <n v="0"/>
    <x v="0"/>
    <d v="2025-09-25T00:00:00"/>
    <m/>
    <m/>
  </r>
  <r>
    <x v="158"/>
    <x v="5"/>
    <s v="Product Details"/>
    <x v="158"/>
    <n v="1"/>
    <n v="74"/>
    <s v="dd: YES, NO"/>
    <m/>
    <x v="0"/>
    <m/>
    <m/>
    <m/>
    <s v="2 rules; opens next 2 fields"/>
    <x v="3"/>
    <s v="last week"/>
    <x v="5"/>
    <x v="5"/>
    <x v="0"/>
    <x v="0"/>
    <n v="5"/>
    <x v="1"/>
    <n v="0.5"/>
    <x v="0"/>
    <d v="2025-09-25T00:00:00"/>
    <m/>
    <m/>
  </r>
  <r>
    <x v="159"/>
    <x v="5"/>
    <s v="Product Details"/>
    <x v="159"/>
    <n v="1"/>
    <n v="74"/>
    <s v="free form"/>
    <m/>
    <x v="0"/>
    <m/>
    <m/>
    <s v="dependent on IS THIS A SKU TO SKU TRANSITION"/>
    <s v="no known BR based on data entered"/>
    <x v="2"/>
    <s v="last week"/>
    <x v="5"/>
    <x v="5"/>
    <x v="0"/>
    <x v="0"/>
    <n v="5"/>
    <x v="1"/>
    <n v="0.5"/>
    <x v="0"/>
    <d v="2025-09-25T00:00:00"/>
    <m/>
    <m/>
  </r>
  <r>
    <x v="160"/>
    <x v="5"/>
    <s v="Product Details"/>
    <x v="160"/>
    <n v="1"/>
    <n v="74"/>
    <s v="date"/>
    <m/>
    <x v="0"/>
    <m/>
    <m/>
    <s v="dependent on IS THIS A SKU TO SKU TRANSITION"/>
    <s v="no known BR based on data entered"/>
    <x v="2"/>
    <s v="last week"/>
    <x v="5"/>
    <x v="5"/>
    <x v="0"/>
    <x v="0"/>
    <n v="5"/>
    <x v="1"/>
    <n v="0.5"/>
    <x v="0"/>
    <d v="2025-09-25T00:00:00"/>
    <m/>
    <m/>
  </r>
  <r>
    <x v="161"/>
    <x v="5"/>
    <s v="Product Details"/>
    <x v="161"/>
    <n v="1"/>
    <n v="74"/>
    <s v="dd: reference list: PRL: OTG Type"/>
    <m/>
    <x v="0"/>
    <m/>
    <m/>
    <m/>
    <s v="no known BR based on data entered"/>
    <x v="2"/>
    <s v="last week"/>
    <x v="5"/>
    <x v="5"/>
    <x v="0"/>
    <x v="0"/>
    <n v="5"/>
    <x v="1"/>
    <n v="0.5"/>
    <x v="0"/>
    <d v="2025-09-25T00:00:00"/>
    <m/>
    <m/>
  </r>
  <r>
    <x v="162"/>
    <x v="5"/>
    <s v="Product Details"/>
    <x v="162"/>
    <n v="1"/>
    <n v="74"/>
    <s v="dd: YES, NO"/>
    <m/>
    <x v="0"/>
    <m/>
    <m/>
    <m/>
    <s v="no known BR based on data entered; there may be previous rule to open this only when Product Type is SINGLE SERVE and SS REPACK"/>
    <x v="2"/>
    <s v="last week"/>
    <x v="5"/>
    <x v="5"/>
    <x v="0"/>
    <x v="0"/>
    <n v="5"/>
    <x v="1"/>
    <n v="0.5"/>
    <x v="0"/>
    <d v="2025-09-25T00:00:00"/>
    <m/>
    <m/>
  </r>
  <r>
    <x v="163"/>
    <x v="5"/>
    <s v="Product Details"/>
    <x v="163"/>
    <n v="1"/>
    <n v="0"/>
    <s v="dd: reference list: PRL: Pack Size _x000a_(CLUB PACK, RETAIL, SINGLE SERVE)"/>
    <m/>
    <x v="0"/>
    <m/>
    <m/>
    <s v="9/25/25 new field identified"/>
    <s v="Product Type=Club, Club Pack; =Single Serve, Single Serve; =anything else, Retail;;; find br rules"/>
    <x v="3"/>
    <s v="last week"/>
    <x v="10"/>
    <x v="6"/>
    <x v="4"/>
    <x v="4"/>
    <m/>
    <x v="3"/>
    <n v="1"/>
    <x v="0"/>
    <d v="2025-09-25T00:00:00"/>
    <m/>
    <m/>
  </r>
  <r>
    <x v="164"/>
    <x v="5"/>
    <s v="Product Details"/>
    <x v="164"/>
    <n v="1"/>
    <s v="74, 88"/>
    <s v="free form"/>
    <m/>
    <x v="0"/>
    <s v="R&amp;D Quality"/>
    <m/>
    <m/>
    <s v="5 rules - on R&amp;D QUALITY; doesn't appear anymore in DEV for REQ UPD;  Marie-if DISPLAY, then may be open and required on Req Upd; otherwise this would be open for R&amp;D QUALITY"/>
    <x v="3"/>
    <s v="last week"/>
    <x v="5"/>
    <x v="5"/>
    <x v="0"/>
    <x v="0"/>
    <n v="5"/>
    <x v="1"/>
    <n v="0.5"/>
    <x v="0"/>
    <d v="2025-09-25T00:00:00"/>
    <m/>
    <m/>
  </r>
  <r>
    <x v="165"/>
    <x v="5"/>
    <s v="Product Hierarchy-Brand"/>
    <x v="165"/>
    <n v="1"/>
    <s v="75, 125"/>
    <s v="dd: YES, NO"/>
    <m/>
    <x v="0"/>
    <s v="Masterfiles"/>
    <m/>
    <m/>
    <s v="1162 dependent on 1012 DTC"/>
    <x v="1"/>
    <s v="current"/>
    <x v="5"/>
    <x v="5"/>
    <x v="2"/>
    <x v="2"/>
    <n v="5"/>
    <x v="3"/>
    <n v="1"/>
    <x v="5"/>
    <d v="2025-09-23T00:00:00"/>
    <m/>
    <m/>
  </r>
  <r>
    <x v="166"/>
    <x v="5"/>
    <s v="Alternate Hierarchy"/>
    <x v="166"/>
    <n v="0"/>
    <s v="76, 86"/>
    <s v="autofill"/>
    <m/>
    <x v="0"/>
    <m/>
    <m/>
    <m/>
    <m/>
    <x v="1"/>
    <s v="current"/>
    <x v="5"/>
    <x v="5"/>
    <x v="2"/>
    <x v="2"/>
    <n v="5"/>
    <x v="0"/>
    <n v="0"/>
    <x v="5"/>
    <m/>
    <m/>
    <m/>
  </r>
  <r>
    <x v="167"/>
    <x v="5"/>
    <s v="Alternate Hierarchy"/>
    <x v="167"/>
    <n v="0"/>
    <s v="76, 86"/>
    <s v="autofill"/>
    <m/>
    <x v="0"/>
    <m/>
    <m/>
    <m/>
    <m/>
    <x v="1"/>
    <s v="current"/>
    <x v="5"/>
    <x v="5"/>
    <x v="2"/>
    <x v="2"/>
    <n v="5"/>
    <x v="0"/>
    <n v="0"/>
    <x v="5"/>
    <m/>
    <m/>
    <m/>
  </r>
  <r>
    <x v="168"/>
    <x v="5"/>
    <s v="Alternate Hierarchy"/>
    <x v="168"/>
    <n v="0"/>
    <s v="76, 86"/>
    <s v="autofill"/>
    <m/>
    <x v="0"/>
    <m/>
    <m/>
    <m/>
    <m/>
    <x v="1"/>
    <s v="current"/>
    <x v="5"/>
    <x v="5"/>
    <x v="2"/>
    <x v="2"/>
    <n v="5"/>
    <x v="0"/>
    <n v="0"/>
    <x v="5"/>
    <m/>
    <m/>
    <m/>
  </r>
  <r>
    <x v="169"/>
    <x v="5"/>
    <s v="Trade Channel &amp; Country Sold In"/>
    <x v="169"/>
    <n v="1"/>
    <n v="76"/>
    <s v="dd: reference list: PRL: Trade Channel"/>
    <m/>
    <x v="0"/>
    <m/>
    <m/>
    <m/>
    <s v="1166 dependent on 1026"/>
    <x v="3"/>
    <s v="current"/>
    <x v="5"/>
    <x v="5"/>
    <x v="2"/>
    <x v="2"/>
    <n v="6"/>
    <x v="3"/>
    <n v="1"/>
    <x v="5"/>
    <d v="2025-09-22T00:00:00"/>
    <m/>
    <m/>
  </r>
  <r>
    <x v="170"/>
    <x v="5"/>
    <s v="Promotion"/>
    <x v="170"/>
    <n v="1"/>
    <n v="76"/>
    <s v="dd: reference list: PRL: Promotion"/>
    <m/>
    <x v="0"/>
    <m/>
    <m/>
    <m/>
    <m/>
    <x v="1"/>
    <s v="current"/>
    <x v="5"/>
    <x v="5"/>
    <x v="2"/>
    <x v="2"/>
    <n v="6"/>
    <x v="1"/>
    <n v="0.5"/>
    <x v="5"/>
    <m/>
    <m/>
    <m/>
  </r>
  <r>
    <x v="171"/>
    <x v="5"/>
    <s v="Promotion"/>
    <x v="171"/>
    <n v="0"/>
    <n v="76"/>
    <s v="dd: reference list: PRL: Promotion"/>
    <m/>
    <x v="0"/>
    <m/>
    <m/>
    <m/>
    <m/>
    <x v="1"/>
    <s v="current"/>
    <x v="5"/>
    <x v="5"/>
    <x v="2"/>
    <x v="2"/>
    <n v="6"/>
    <x v="0"/>
    <n v="0"/>
    <x v="5"/>
    <m/>
    <m/>
    <m/>
  </r>
  <r>
    <x v="172"/>
    <x v="5"/>
    <s v="Promotion"/>
    <x v="172"/>
    <n v="0"/>
    <n v="76"/>
    <s v="dd: reference list: PRL: Business Unit for Promo"/>
    <m/>
    <x v="0"/>
    <m/>
    <m/>
    <m/>
    <m/>
    <x v="1"/>
    <s v="current"/>
    <x v="5"/>
    <x v="5"/>
    <x v="2"/>
    <x v="2"/>
    <n v="6"/>
    <x v="0"/>
    <n v="0"/>
    <x v="5"/>
    <m/>
    <m/>
    <m/>
  </r>
  <r>
    <x v="173"/>
    <x v="5"/>
    <s v="Promotion"/>
    <x v="173"/>
    <n v="1"/>
    <n v="76"/>
    <s v="dd: reference list: PRL: Royalty Product Type"/>
    <m/>
    <x v="0"/>
    <m/>
    <m/>
    <m/>
    <m/>
    <x v="1"/>
    <s v="current"/>
    <x v="5"/>
    <x v="5"/>
    <x v="2"/>
    <x v="2"/>
    <n v="6"/>
    <x v="1"/>
    <n v="0.5"/>
    <x v="5"/>
    <m/>
    <m/>
    <m/>
  </r>
  <r>
    <x v="174"/>
    <x v="5"/>
    <s v="Promotion"/>
    <x v="174"/>
    <n v="0"/>
    <n v="76"/>
    <s v="dd: reference list: PRL: Royalty Licenser"/>
    <m/>
    <x v="0"/>
    <m/>
    <m/>
    <m/>
    <m/>
    <x v="1"/>
    <s v="current"/>
    <x v="5"/>
    <x v="5"/>
    <x v="2"/>
    <x v="2"/>
    <n v="6"/>
    <x v="0"/>
    <n v="0"/>
    <x v="5"/>
    <m/>
    <m/>
    <m/>
  </r>
  <r>
    <x v="175"/>
    <x v="5"/>
    <s v="Promotion"/>
    <x v="175"/>
    <n v="0"/>
    <n v="76"/>
    <s v="dd: reference list: PRL: Royalty Licenser"/>
    <m/>
    <x v="0"/>
    <m/>
    <m/>
    <m/>
    <m/>
    <x v="1"/>
    <s v="current"/>
    <x v="5"/>
    <x v="5"/>
    <x v="2"/>
    <x v="2"/>
    <n v="6"/>
    <x v="0"/>
    <n v="0"/>
    <x v="5"/>
    <m/>
    <m/>
    <m/>
  </r>
  <r>
    <x v="176"/>
    <x v="5"/>
    <s v="Values used to determine material description"/>
    <x v="176"/>
    <n v="1"/>
    <s v="76, 81"/>
    <s v="free form"/>
    <m/>
    <x v="0"/>
    <m/>
    <m/>
    <m/>
    <s v="1173 dependent on 1099 required"/>
    <x v="1"/>
    <s v="current"/>
    <x v="5"/>
    <x v="5"/>
    <x v="2"/>
    <x v="2"/>
    <n v="6"/>
    <x v="1"/>
    <n v="0.5"/>
    <x v="5"/>
    <m/>
    <m/>
    <m/>
  </r>
  <r>
    <x v="177"/>
    <x v="5"/>
    <s v="Values used to determine material description"/>
    <x v="177"/>
    <n v="1"/>
    <s v="76, 81"/>
    <s v="dd: reference list: PRL: Special Pack Type"/>
    <m/>
    <x v="0"/>
    <m/>
    <m/>
    <m/>
    <m/>
    <x v="1"/>
    <s v="current"/>
    <x v="5"/>
    <x v="5"/>
    <x v="2"/>
    <x v="2"/>
    <n v="6"/>
    <x v="1"/>
    <n v="0.5"/>
    <x v="5"/>
    <m/>
    <m/>
    <m/>
  </r>
  <r>
    <x v="178"/>
    <x v="5"/>
    <s v="Values used to determine material description"/>
    <x v="178"/>
    <n v="1"/>
    <s v="76, 81"/>
    <s v="free form"/>
    <m/>
    <x v="0"/>
    <m/>
    <m/>
    <m/>
    <s v="1175 dependent on &quot;pringles&quot; (1011)=yes then required, and used for material descr with country"/>
    <x v="3"/>
    <s v="current"/>
    <x v="5"/>
    <x v="5"/>
    <x v="2"/>
    <x v="2"/>
    <n v="6"/>
    <x v="1"/>
    <n v="0.5"/>
    <x v="5"/>
    <d v="2025-09-19T00:00:00"/>
    <m/>
    <m/>
  </r>
  <r>
    <x v="179"/>
    <x v="5"/>
    <s v="BOM Setup (VAS)"/>
    <x v="179"/>
    <n v="1"/>
    <s v="77, 124"/>
    <s v="free form"/>
    <m/>
    <x v="0"/>
    <s v="Masterfiles"/>
    <m/>
    <m/>
    <s v="1187 dependent on 1137 [VAS]"/>
    <x v="3"/>
    <s v="current"/>
    <x v="5"/>
    <x v="5"/>
    <x v="2"/>
    <x v="2"/>
    <n v="7"/>
    <x v="1"/>
    <n v="0.5"/>
    <x v="5"/>
    <d v="2025-09-22T00:00:00"/>
    <m/>
    <m/>
  </r>
  <r>
    <x v="180"/>
    <x v="5"/>
    <s v="BOM Setup (VAS)"/>
    <x v="180"/>
    <n v="0"/>
    <s v="77, 124"/>
    <s v="autofill"/>
    <m/>
    <x v="2"/>
    <s v="Requestor, Masterfiles"/>
    <m/>
    <m/>
    <s v="1187 dependent on 1137 [VAS]"/>
    <x v="3"/>
    <s v="current"/>
    <x v="5"/>
    <x v="5"/>
    <x v="2"/>
    <x v="2"/>
    <n v="7"/>
    <x v="0"/>
    <n v="0"/>
    <x v="5"/>
    <d v="2025-09-22T00:00:00"/>
    <m/>
    <m/>
  </r>
  <r>
    <x v="181"/>
    <x v="5"/>
    <s v="BOM Setup (VAS)"/>
    <x v="181"/>
    <n v="1"/>
    <s v="77, 124"/>
    <s v="free form"/>
    <m/>
    <x v="0"/>
    <s v="Masterfiles"/>
    <m/>
    <m/>
    <s v="1187 dependent on 1137 [VAS]"/>
    <x v="3"/>
    <s v="current"/>
    <x v="5"/>
    <x v="5"/>
    <x v="2"/>
    <x v="2"/>
    <n v="7"/>
    <x v="1"/>
    <n v="0.5"/>
    <x v="5"/>
    <d v="2025-09-22T00:00:00"/>
    <m/>
    <m/>
  </r>
  <r>
    <x v="182"/>
    <x v="5"/>
    <s v="BOM Setup (VAS)"/>
    <x v="182"/>
    <n v="1"/>
    <s v="77, 124"/>
    <s v="free form"/>
    <m/>
    <x v="0"/>
    <s v="Masterfiles"/>
    <m/>
    <m/>
    <s v="1187 dependent on 1137 [VAS]"/>
    <x v="3"/>
    <s v="current"/>
    <x v="5"/>
    <x v="5"/>
    <x v="2"/>
    <x v="2"/>
    <n v="7"/>
    <x v="1"/>
    <n v="0.5"/>
    <x v="5"/>
    <d v="2025-09-22T00:00:00"/>
    <m/>
    <m/>
  </r>
  <r>
    <x v="183"/>
    <x v="5"/>
    <s v="BOM Setup (VAS)"/>
    <x v="183"/>
    <n v="1"/>
    <s v="77, 124"/>
    <s v="free form"/>
    <m/>
    <x v="0"/>
    <s v="Masterfiles"/>
    <m/>
    <m/>
    <s v="1187 dependent on 1137 [VAS]"/>
    <x v="3"/>
    <s v="current"/>
    <x v="5"/>
    <x v="5"/>
    <x v="2"/>
    <x v="2"/>
    <n v="7"/>
    <x v="1"/>
    <n v="0.5"/>
    <x v="5"/>
    <d v="2025-09-22T00:00:00"/>
    <m/>
    <m/>
  </r>
  <r>
    <x v="184"/>
    <x v="5"/>
    <s v="BOM Setup (VAS)"/>
    <x v="184"/>
    <n v="1"/>
    <s v="77, 124"/>
    <s v="dd: GM, OZ"/>
    <m/>
    <x v="0"/>
    <s v="Masterfiles"/>
    <m/>
    <m/>
    <s v="1187 dependent on 1137 [VAS]"/>
    <x v="3"/>
    <s v="current"/>
    <x v="5"/>
    <x v="5"/>
    <x v="2"/>
    <x v="2"/>
    <n v="7"/>
    <x v="1"/>
    <n v="0.5"/>
    <x v="5"/>
    <d v="2025-09-22T00:00:00"/>
    <m/>
    <m/>
  </r>
  <r>
    <x v="185"/>
    <x v="5"/>
    <s v="BOM Setup (VAS)"/>
    <x v="185"/>
    <n v="1"/>
    <s v="77, 124"/>
    <s v="free form"/>
    <m/>
    <x v="0"/>
    <s v="Masterfiles"/>
    <m/>
    <m/>
    <s v="1187 dependent on 1137 [VAS]"/>
    <x v="3"/>
    <s v="current"/>
    <x v="5"/>
    <x v="5"/>
    <x v="2"/>
    <x v="2"/>
    <n v="7"/>
    <x v="1"/>
    <n v="0.5"/>
    <x v="5"/>
    <d v="2025-09-22T00:00:00"/>
    <m/>
    <m/>
  </r>
  <r>
    <x v="186"/>
    <x v="5"/>
    <s v="BOM Setup (VAS)"/>
    <x v="186"/>
    <n v="1"/>
    <s v="77, 124"/>
    <s v="dd: GM, OZ"/>
    <m/>
    <x v="0"/>
    <s v="Masterfiles"/>
    <m/>
    <m/>
    <s v="1187 dependent on 1137 [VAS]"/>
    <x v="3"/>
    <s v="current"/>
    <x v="5"/>
    <x v="5"/>
    <x v="2"/>
    <x v="2"/>
    <n v="7"/>
    <x v="1"/>
    <n v="0.5"/>
    <x v="5"/>
    <d v="2025-09-22T00:00:00"/>
    <m/>
    <m/>
  </r>
  <r>
    <x v="187"/>
    <x v="5"/>
    <s v="BOM Setup (VAS)"/>
    <x v="187"/>
    <n v="1"/>
    <s v="77, 124"/>
    <s v="free form"/>
    <m/>
    <x v="0"/>
    <s v="Masterfiles"/>
    <m/>
    <m/>
    <s v="1187 dependent on 1137 [VAS]"/>
    <x v="3"/>
    <s v="current"/>
    <x v="5"/>
    <x v="5"/>
    <x v="2"/>
    <x v="2"/>
    <n v="7"/>
    <x v="1"/>
    <n v="0.5"/>
    <x v="5"/>
    <d v="2025-09-22T00:00:00"/>
    <m/>
    <m/>
  </r>
  <r>
    <x v="188"/>
    <x v="5"/>
    <s v="BOM Setup (VAS)"/>
    <x v="188"/>
    <n v="1"/>
    <s v="77, 124"/>
    <s v="free form"/>
    <m/>
    <x v="0"/>
    <s v="Masterfiles"/>
    <m/>
    <m/>
    <s v="1187 dependent on 1137 [VAS]"/>
    <x v="3"/>
    <s v="current"/>
    <x v="5"/>
    <x v="5"/>
    <x v="2"/>
    <x v="2"/>
    <n v="7"/>
    <x v="1"/>
    <n v="0.5"/>
    <x v="5"/>
    <d v="2025-09-22T00:00:00"/>
    <m/>
    <m/>
  </r>
  <r>
    <x v="189"/>
    <x v="5"/>
    <s v="BOM Setup (VAS)"/>
    <x v="189"/>
    <n v="1"/>
    <s v="77, 124"/>
    <s v="free form"/>
    <m/>
    <x v="0"/>
    <s v="Masterfiles"/>
    <m/>
    <m/>
    <s v="1187 dependent on 1137 [VAS]"/>
    <x v="3"/>
    <s v="current"/>
    <x v="5"/>
    <x v="5"/>
    <x v="2"/>
    <x v="2"/>
    <n v="7"/>
    <x v="1"/>
    <n v="0.5"/>
    <x v="5"/>
    <d v="2025-09-22T00:00:00"/>
    <m/>
    <m/>
  </r>
  <r>
    <x v="190"/>
    <x v="5"/>
    <s v="BOM Setup (VAS)"/>
    <x v="190"/>
    <n v="1"/>
    <s v="77, 124"/>
    <s v="dd: YES, NO"/>
    <m/>
    <x v="0"/>
    <s v="Masterfiles"/>
    <m/>
    <s v="also called &quot;BOM_Taxable&quot;"/>
    <s v="1187 dependent on 1137 [VAS]"/>
    <x v="3"/>
    <s v="current"/>
    <x v="5"/>
    <x v="5"/>
    <x v="2"/>
    <x v="2"/>
    <n v="7"/>
    <x v="1"/>
    <n v="0.5"/>
    <x v="5"/>
    <d v="2025-09-22T00:00:00"/>
    <m/>
    <m/>
  </r>
  <r>
    <x v="191"/>
    <x v="5"/>
    <s v="Variety Pack 0200 BOM Setup"/>
    <x v="191"/>
    <n v="1"/>
    <s v="77, 124"/>
    <s v="free form"/>
    <m/>
    <x v="0"/>
    <s v="Masterfiles"/>
    <m/>
    <m/>
    <s v="1188 dependent 1031 [VP], 1137 [VAS]"/>
    <x v="3"/>
    <s v="current"/>
    <x v="5"/>
    <x v="5"/>
    <x v="2"/>
    <x v="2"/>
    <n v="7"/>
    <x v="1"/>
    <n v="0.5"/>
    <x v="5"/>
    <d v="2025-09-22T00:00:00"/>
    <d v="2025-09-23T00:00:00"/>
    <m/>
  </r>
  <r>
    <x v="192"/>
    <x v="5"/>
    <s v="Variety Pack 0200 BOM Setup"/>
    <x v="192"/>
    <n v="1"/>
    <s v="77, 124"/>
    <s v="free form"/>
    <m/>
    <x v="0"/>
    <s v="Masterfiles"/>
    <m/>
    <m/>
    <s v="1188 dependent 1031 [VP], 1137 [VAS]"/>
    <x v="3"/>
    <s v="current"/>
    <x v="5"/>
    <x v="5"/>
    <x v="2"/>
    <x v="2"/>
    <n v="7"/>
    <x v="1"/>
    <n v="0.5"/>
    <x v="5"/>
    <d v="2025-09-22T00:00:00"/>
    <d v="2025-09-23T00:00:00"/>
    <m/>
  </r>
  <r>
    <x v="193"/>
    <x v="5"/>
    <s v="Variety Pack 0200 BOM Setup"/>
    <x v="193"/>
    <n v="1"/>
    <s v="77, 124"/>
    <s v="free form"/>
    <m/>
    <x v="0"/>
    <s v="Masterfiles"/>
    <m/>
    <m/>
    <s v="1188 dependent 1031 [VP], 1137 [VAS]"/>
    <x v="3"/>
    <s v="current"/>
    <x v="5"/>
    <x v="5"/>
    <x v="2"/>
    <x v="2"/>
    <n v="7"/>
    <x v="1"/>
    <n v="0.5"/>
    <x v="5"/>
    <d v="2025-09-22T00:00:00"/>
    <d v="2025-09-23T00:00:00"/>
    <m/>
  </r>
  <r>
    <x v="194"/>
    <x v="5"/>
    <s v="Variety Pack 0200 BOM Setup"/>
    <x v="194"/>
    <n v="1"/>
    <s v="77, 124"/>
    <s v="free form"/>
    <m/>
    <x v="0"/>
    <s v="Masterfiles"/>
    <m/>
    <m/>
    <s v="1188 dependent 1031 [VP], 1137 [VAS]"/>
    <x v="3"/>
    <s v="current"/>
    <x v="5"/>
    <x v="5"/>
    <x v="2"/>
    <x v="2"/>
    <n v="7"/>
    <x v="1"/>
    <n v="0.5"/>
    <x v="5"/>
    <d v="2025-09-22T00:00:00"/>
    <d v="2025-09-23T00:00:00"/>
    <m/>
  </r>
  <r>
    <x v="195"/>
    <x v="5"/>
    <s v="Variety Pack 0200 BOM Setup"/>
    <x v="195"/>
    <n v="1"/>
    <s v="77, 124"/>
    <s v="free form"/>
    <m/>
    <x v="0"/>
    <s v="Masterfiles"/>
    <m/>
    <m/>
    <s v="1188 dependent 1031 [VP], 1137 [VAS]"/>
    <x v="3"/>
    <s v="current"/>
    <x v="5"/>
    <x v="5"/>
    <x v="2"/>
    <x v="2"/>
    <n v="7"/>
    <x v="1"/>
    <n v="0.5"/>
    <x v="5"/>
    <d v="2025-09-22T00:00:00"/>
    <d v="2025-09-23T00:00:00"/>
    <m/>
  </r>
  <r>
    <x v="196"/>
    <x v="10"/>
    <s v="General Product Data"/>
    <x v="196"/>
    <n v="1"/>
    <n v="80"/>
    <s v="dd: reference list: PRL: Display Vehicle"/>
    <m/>
    <x v="2"/>
    <m/>
    <m/>
    <s v="dependent on FORM TYPE: DISPLAY; 4 rules; actually part of Requestor Update; after Pack Size"/>
    <s v="4 rules"/>
    <x v="3"/>
    <s v="current"/>
    <x v="11"/>
    <x v="1"/>
    <x v="2"/>
    <x v="2"/>
    <m/>
    <x v="1"/>
    <n v="0.5"/>
    <x v="5"/>
    <m/>
    <m/>
    <m/>
  </r>
  <r>
    <x v="197"/>
    <x v="10"/>
    <s v="General Product Data"/>
    <x v="197"/>
    <n v="1"/>
    <n v="80"/>
    <s v="dd: reference list: PRL: Material Freight Group"/>
    <m/>
    <x v="2"/>
    <m/>
    <m/>
    <m/>
    <m/>
    <x v="1"/>
    <s v="current"/>
    <x v="11"/>
    <x v="1"/>
    <x v="2"/>
    <x v="2"/>
    <m/>
    <x v="1"/>
    <n v="0.5"/>
    <x v="5"/>
    <m/>
    <m/>
    <m/>
  </r>
  <r>
    <x v="198"/>
    <x v="10"/>
    <s v="General Product Data"/>
    <x v="198"/>
    <n v="1"/>
    <n v="80"/>
    <s v="dd: YES, NO"/>
    <m/>
    <x v="2"/>
    <m/>
    <m/>
    <m/>
    <m/>
    <x v="1"/>
    <s v="current"/>
    <x v="11"/>
    <x v="1"/>
    <x v="2"/>
    <x v="2"/>
    <m/>
    <x v="1"/>
    <n v="0.5"/>
    <x v="5"/>
    <m/>
    <m/>
    <m/>
  </r>
  <r>
    <x v="199"/>
    <x v="10"/>
    <s v="General Product Data"/>
    <x v="199"/>
    <n v="0"/>
    <n v="80"/>
    <s v="autofill"/>
    <m/>
    <x v="2"/>
    <m/>
    <m/>
    <m/>
    <m/>
    <x v="1"/>
    <s v="current"/>
    <x v="11"/>
    <x v="1"/>
    <x v="2"/>
    <x v="2"/>
    <m/>
    <x v="0"/>
    <n v="0"/>
    <x v="5"/>
    <m/>
    <m/>
    <m/>
  </r>
  <r>
    <x v="200"/>
    <x v="10"/>
    <s v="General Product Data"/>
    <x v="200"/>
    <n v="0"/>
    <n v="80"/>
    <s v="autofill"/>
    <m/>
    <x v="2"/>
    <m/>
    <m/>
    <m/>
    <m/>
    <x v="1"/>
    <s v="current"/>
    <x v="11"/>
    <x v="1"/>
    <x v="2"/>
    <x v="2"/>
    <m/>
    <x v="0"/>
    <n v="0"/>
    <x v="5"/>
    <m/>
    <m/>
    <m/>
  </r>
  <r>
    <x v="201"/>
    <x v="10"/>
    <s v="General Product Data"/>
    <x v="201"/>
    <n v="0"/>
    <n v="80"/>
    <s v="autofill"/>
    <m/>
    <x v="2"/>
    <m/>
    <m/>
    <m/>
    <m/>
    <x v="1"/>
    <s v="current"/>
    <x v="11"/>
    <x v="1"/>
    <x v="2"/>
    <x v="2"/>
    <m/>
    <x v="0"/>
    <n v="0"/>
    <x v="5"/>
    <m/>
    <m/>
    <m/>
  </r>
  <r>
    <x v="202"/>
    <x v="10"/>
    <s v="General Product Data"/>
    <x v="202"/>
    <n v="0"/>
    <n v="80"/>
    <s v="autofill"/>
    <m/>
    <x v="2"/>
    <m/>
    <m/>
    <m/>
    <m/>
    <x v="1"/>
    <s v="current"/>
    <x v="11"/>
    <x v="1"/>
    <x v="2"/>
    <x v="2"/>
    <m/>
    <x v="0"/>
    <n v="0"/>
    <x v="5"/>
    <m/>
    <m/>
    <m/>
  </r>
  <r>
    <x v="203"/>
    <x v="10"/>
    <s v="General Product Data"/>
    <x v="203"/>
    <n v="1"/>
    <n v="80"/>
    <s v="dd: reference list: PRL: Country of Origin"/>
    <m/>
    <x v="2"/>
    <m/>
    <m/>
    <m/>
    <m/>
    <x v="1"/>
    <s v="current"/>
    <x v="11"/>
    <x v="1"/>
    <x v="2"/>
    <x v="2"/>
    <m/>
    <x v="1"/>
    <n v="0.5"/>
    <x v="5"/>
    <m/>
    <m/>
    <m/>
  </r>
  <r>
    <x v="204"/>
    <x v="10"/>
    <s v="Manufacturing Locations"/>
    <x v="204"/>
    <n v="1"/>
    <s v="81, 82"/>
    <s v="dd: YES, NO"/>
    <m/>
    <x v="2"/>
    <m/>
    <m/>
    <m/>
    <m/>
    <x v="1"/>
    <s v="current"/>
    <x v="11"/>
    <x v="1"/>
    <x v="2"/>
    <x v="2"/>
    <m/>
    <x v="1"/>
    <n v="0.5"/>
    <x v="5"/>
    <m/>
    <m/>
    <m/>
  </r>
  <r>
    <x v="205"/>
    <x v="10"/>
    <s v="(buttons) Returns"/>
    <x v="205"/>
    <n v="1"/>
    <n v="81"/>
    <s v="free form"/>
    <m/>
    <x v="2"/>
    <m/>
    <m/>
    <m/>
    <m/>
    <x v="1"/>
    <s v="current"/>
    <x v="11"/>
    <x v="1"/>
    <x v="2"/>
    <x v="2"/>
    <m/>
    <x v="1"/>
    <n v="0.5"/>
    <x v="5"/>
    <m/>
    <m/>
    <m/>
  </r>
  <r>
    <x v="206"/>
    <x v="10"/>
    <s v="Manufacturing Locations"/>
    <x v="206"/>
    <n v="1"/>
    <n v="82"/>
    <s v="dd: reference list: VAS_PLANTS.XLSX"/>
    <m/>
    <x v="2"/>
    <m/>
    <m/>
    <s v="for REPACKS &amp; DISPLAYS"/>
    <m/>
    <x v="1"/>
    <s v="current"/>
    <x v="11"/>
    <x v="1"/>
    <x v="2"/>
    <x v="2"/>
    <m/>
    <x v="3"/>
    <n v="1"/>
    <x v="5"/>
    <m/>
    <m/>
    <m/>
  </r>
  <r>
    <x v="207"/>
    <x v="11"/>
    <s v="Select Sub-Brand"/>
    <x v="207"/>
    <n v="1"/>
    <n v="84"/>
    <s v="dd: reference list: PRL: Sub Brand (Finance)"/>
    <m/>
    <x v="3"/>
    <m/>
    <m/>
    <m/>
    <m/>
    <x v="1"/>
    <s v="future"/>
    <x v="12"/>
    <x v="7"/>
    <x v="3"/>
    <x v="3"/>
    <m/>
    <x v="1"/>
    <n v="0.5"/>
    <x v="6"/>
    <m/>
    <m/>
    <m/>
  </r>
  <r>
    <x v="208"/>
    <x v="11"/>
    <s v="(buttons) Returns"/>
    <x v="208"/>
    <n v="1"/>
    <n v="84"/>
    <s v="free form"/>
    <m/>
    <x v="3"/>
    <m/>
    <m/>
    <m/>
    <m/>
    <x v="1"/>
    <s v="future"/>
    <x v="12"/>
    <x v="7"/>
    <x v="3"/>
    <x v="3"/>
    <m/>
    <x v="1"/>
    <n v="0.5"/>
    <x v="6"/>
    <m/>
    <m/>
    <m/>
  </r>
  <r>
    <x v="209"/>
    <x v="12"/>
    <s v="Product Details - Brand Derived"/>
    <x v="209"/>
    <n v="1"/>
    <n v="86"/>
    <s v="free form"/>
    <m/>
    <x v="4"/>
    <m/>
    <m/>
    <m/>
    <m/>
    <x v="1"/>
    <s v="future"/>
    <x v="13"/>
    <x v="7"/>
    <x v="3"/>
    <x v="3"/>
    <m/>
    <x v="1"/>
    <n v="0.5"/>
    <x v="6"/>
    <m/>
    <m/>
    <m/>
  </r>
  <r>
    <x v="210"/>
    <x v="13"/>
    <s v="Product Details"/>
    <x v="210"/>
    <n v="1"/>
    <n v="88"/>
    <s v="free form"/>
    <m/>
    <x v="5"/>
    <m/>
    <m/>
    <m/>
    <s v="5 rules"/>
    <x v="3"/>
    <s v="future"/>
    <x v="14"/>
    <x v="7"/>
    <x v="3"/>
    <x v="3"/>
    <m/>
    <x v="1"/>
    <n v="0.5"/>
    <x v="6"/>
    <d v="2025-09-25T00:00:00"/>
    <m/>
    <m/>
  </r>
  <r>
    <x v="211"/>
    <x v="13"/>
    <s v="R &amp; D Quality"/>
    <x v="211"/>
    <n v="1"/>
    <n v="89"/>
    <s v="dd: YES, NO"/>
    <m/>
    <x v="5"/>
    <m/>
    <m/>
    <m/>
    <m/>
    <x v="1"/>
    <s v="future"/>
    <x v="14"/>
    <x v="7"/>
    <x v="3"/>
    <x v="3"/>
    <m/>
    <x v="1"/>
    <n v="0.5"/>
    <x v="6"/>
    <m/>
    <m/>
    <m/>
  </r>
  <r>
    <x v="212"/>
    <x v="13"/>
    <s v="R &amp; D Quality"/>
    <x v="212"/>
    <n v="1"/>
    <n v="89"/>
    <s v="dd: reference list: PRL: Defect Group"/>
    <m/>
    <x v="5"/>
    <m/>
    <m/>
    <m/>
    <m/>
    <x v="1"/>
    <s v="future"/>
    <x v="14"/>
    <x v="7"/>
    <x v="3"/>
    <x v="3"/>
    <m/>
    <x v="1"/>
    <n v="0.5"/>
    <x v="6"/>
    <m/>
    <m/>
    <m/>
  </r>
  <r>
    <x v="213"/>
    <x v="13"/>
    <s v="R &amp; D Quality"/>
    <x v="213"/>
    <n v="1"/>
    <n v="89"/>
    <s v="dd: YES, NO"/>
    <m/>
    <x v="5"/>
    <m/>
    <m/>
    <m/>
    <m/>
    <x v="1"/>
    <s v="future"/>
    <x v="14"/>
    <x v="7"/>
    <x v="3"/>
    <x v="3"/>
    <m/>
    <x v="1"/>
    <n v="0.5"/>
    <x v="6"/>
    <m/>
    <m/>
    <m/>
  </r>
  <r>
    <x v="214"/>
    <x v="14"/>
    <s v="Food Weights"/>
    <x v="214"/>
    <n v="1"/>
    <n v="94"/>
    <s v="free form"/>
    <m/>
    <x v="6"/>
    <m/>
    <m/>
    <m/>
    <m/>
    <x v="1"/>
    <s v="future"/>
    <x v="15"/>
    <x v="8"/>
    <x v="5"/>
    <x v="5"/>
    <m/>
    <x v="1"/>
    <n v="0.5"/>
    <x v="7"/>
    <m/>
    <m/>
    <m/>
  </r>
  <r>
    <x v="215"/>
    <x v="14"/>
    <s v="Food Weights"/>
    <x v="215"/>
    <n v="1"/>
    <n v="94"/>
    <s v="radio button: IMPERIAL, METRIC"/>
    <m/>
    <x v="6"/>
    <m/>
    <m/>
    <m/>
    <m/>
    <x v="1"/>
    <s v="future"/>
    <x v="15"/>
    <x v="8"/>
    <x v="5"/>
    <x v="5"/>
    <m/>
    <x v="1"/>
    <n v="0.5"/>
    <x v="7"/>
    <m/>
    <m/>
    <m/>
  </r>
  <r>
    <x v="216"/>
    <x v="14"/>
    <s v="Food Weights"/>
    <x v="216"/>
    <n v="1"/>
    <n v="94"/>
    <s v="free form"/>
    <m/>
    <x v="6"/>
    <m/>
    <m/>
    <s v="dependent on: Weight Measure=METRIC"/>
    <m/>
    <x v="1"/>
    <s v="future"/>
    <x v="15"/>
    <x v="8"/>
    <x v="5"/>
    <x v="5"/>
    <m/>
    <x v="1"/>
    <n v="0.5"/>
    <x v="7"/>
    <m/>
    <m/>
    <m/>
  </r>
  <r>
    <x v="217"/>
    <x v="14"/>
    <s v="Food Weights"/>
    <x v="217"/>
    <n v="0"/>
    <n v="94"/>
    <s v="autofill"/>
    <m/>
    <x v="6"/>
    <m/>
    <m/>
    <s v="dependent on: Weight Measure=METRIC"/>
    <m/>
    <x v="1"/>
    <s v="future"/>
    <x v="15"/>
    <x v="8"/>
    <x v="5"/>
    <x v="5"/>
    <m/>
    <x v="1"/>
    <n v="0"/>
    <x v="7"/>
    <m/>
    <m/>
    <m/>
  </r>
  <r>
    <x v="218"/>
    <x v="14"/>
    <s v="Food Weights"/>
    <x v="218"/>
    <n v="1"/>
    <n v="94"/>
    <s v="free form"/>
    <m/>
    <x v="6"/>
    <m/>
    <m/>
    <s v="dependent on: Weight Measure=METRIC"/>
    <m/>
    <x v="1"/>
    <s v="future"/>
    <x v="15"/>
    <x v="8"/>
    <x v="5"/>
    <x v="5"/>
    <m/>
    <x v="1"/>
    <n v="0.5"/>
    <x v="7"/>
    <m/>
    <m/>
    <m/>
  </r>
  <r>
    <x v="219"/>
    <x v="14"/>
    <s v="Food Weights"/>
    <x v="219"/>
    <n v="0"/>
    <n v="94"/>
    <s v="autofill"/>
    <m/>
    <x v="6"/>
    <m/>
    <m/>
    <s v="dependent on: Weight Measure=METRIC"/>
    <m/>
    <x v="1"/>
    <s v="future"/>
    <x v="15"/>
    <x v="8"/>
    <x v="5"/>
    <x v="5"/>
    <m/>
    <x v="1"/>
    <n v="0"/>
    <x v="7"/>
    <m/>
    <m/>
    <m/>
  </r>
  <r>
    <x v="220"/>
    <x v="14"/>
    <s v="Food Weights"/>
    <x v="220"/>
    <n v="1"/>
    <n v="94"/>
    <s v="free form"/>
    <m/>
    <x v="6"/>
    <m/>
    <m/>
    <s v="dependent on: Weight Measure=METRIC"/>
    <m/>
    <x v="1"/>
    <s v="future"/>
    <x v="15"/>
    <x v="8"/>
    <x v="5"/>
    <x v="5"/>
    <m/>
    <x v="1"/>
    <n v="0.5"/>
    <x v="7"/>
    <m/>
    <m/>
    <m/>
  </r>
  <r>
    <x v="221"/>
    <x v="14"/>
    <s v="Food Weights"/>
    <x v="221"/>
    <n v="1"/>
    <n v="94"/>
    <s v="free form"/>
    <m/>
    <x v="6"/>
    <m/>
    <m/>
    <s v="dependent on: Weight Measure=IMPERIAL"/>
    <m/>
    <x v="1"/>
    <s v="future"/>
    <x v="15"/>
    <x v="8"/>
    <x v="5"/>
    <x v="5"/>
    <m/>
    <x v="1"/>
    <n v="0.5"/>
    <x v="7"/>
    <m/>
    <m/>
    <m/>
  </r>
  <r>
    <x v="222"/>
    <x v="14"/>
    <s v="Food Weights"/>
    <x v="222"/>
    <n v="0"/>
    <n v="94"/>
    <s v="autofill"/>
    <m/>
    <x v="6"/>
    <m/>
    <m/>
    <s v="dependent on: Weight Measure=IMPERIAL"/>
    <m/>
    <x v="1"/>
    <s v="future"/>
    <x v="15"/>
    <x v="8"/>
    <x v="5"/>
    <x v="5"/>
    <m/>
    <x v="1"/>
    <n v="0"/>
    <x v="7"/>
    <m/>
    <m/>
    <m/>
  </r>
  <r>
    <x v="223"/>
    <x v="14"/>
    <s v="Food Weights"/>
    <x v="223"/>
    <n v="1"/>
    <n v="94"/>
    <s v="free form"/>
    <m/>
    <x v="6"/>
    <m/>
    <m/>
    <s v="dependent on: Weight Measure=IMPERIAL"/>
    <m/>
    <x v="1"/>
    <s v="future"/>
    <x v="15"/>
    <x v="8"/>
    <x v="5"/>
    <x v="5"/>
    <m/>
    <x v="1"/>
    <n v="0.5"/>
    <x v="7"/>
    <m/>
    <m/>
    <m/>
  </r>
  <r>
    <x v="224"/>
    <x v="14"/>
    <s v="Food Weights"/>
    <x v="224"/>
    <n v="1"/>
    <n v="94"/>
    <s v="dd: OZ, LB"/>
    <m/>
    <x v="6"/>
    <m/>
    <m/>
    <s v="dependent on: Weight Measure=IMPERIAL"/>
    <m/>
    <x v="1"/>
    <s v="future"/>
    <x v="15"/>
    <x v="8"/>
    <x v="5"/>
    <x v="5"/>
    <m/>
    <x v="1"/>
    <n v="0.5"/>
    <x v="7"/>
    <m/>
    <m/>
    <m/>
  </r>
  <r>
    <x v="225"/>
    <x v="14"/>
    <s v="Food Weights"/>
    <x v="225"/>
    <n v="1"/>
    <n v="94"/>
    <s v="free form"/>
    <m/>
    <x v="6"/>
    <m/>
    <m/>
    <s v="dependent on: Weight Measure=IMPERIAL"/>
    <m/>
    <x v="1"/>
    <s v="future"/>
    <x v="15"/>
    <x v="8"/>
    <x v="5"/>
    <x v="5"/>
    <m/>
    <x v="1"/>
    <n v="0.5"/>
    <x v="7"/>
    <m/>
    <m/>
    <m/>
  </r>
  <r>
    <x v="226"/>
    <x v="14"/>
    <s v="Food Weights in grams/ounces"/>
    <x v="226"/>
    <n v="1"/>
    <n v="94"/>
    <s v="calculation"/>
    <m/>
    <x v="6"/>
    <m/>
    <m/>
    <s v="calculations"/>
    <m/>
    <x v="1"/>
    <s v="future"/>
    <x v="15"/>
    <x v="8"/>
    <x v="5"/>
    <x v="5"/>
    <m/>
    <x v="2"/>
    <n v="1.5"/>
    <x v="7"/>
    <m/>
    <m/>
    <m/>
  </r>
  <r>
    <x v="227"/>
    <x v="14"/>
    <s v="Food Weights in grams/ounces"/>
    <x v="227"/>
    <n v="1"/>
    <n v="94"/>
    <s v="calculation"/>
    <m/>
    <x v="6"/>
    <m/>
    <m/>
    <s v="calculations"/>
    <m/>
    <x v="1"/>
    <s v="future"/>
    <x v="15"/>
    <x v="8"/>
    <x v="5"/>
    <x v="5"/>
    <m/>
    <x v="2"/>
    <n v="1.5"/>
    <x v="7"/>
    <m/>
    <m/>
    <m/>
  </r>
  <r>
    <x v="228"/>
    <x v="14"/>
    <s v="Food Weights in grams/ounces"/>
    <x v="228"/>
    <n v="1"/>
    <n v="94"/>
    <s v="calculation"/>
    <m/>
    <x v="6"/>
    <m/>
    <m/>
    <s v="calculations"/>
    <m/>
    <x v="1"/>
    <s v="future"/>
    <x v="15"/>
    <x v="8"/>
    <x v="5"/>
    <x v="5"/>
    <m/>
    <x v="2"/>
    <n v="1.5"/>
    <x v="7"/>
    <m/>
    <m/>
    <m/>
  </r>
  <r>
    <x v="229"/>
    <x v="14"/>
    <s v="Food Weights in grams/ounces"/>
    <x v="229"/>
    <n v="1"/>
    <n v="94"/>
    <s v="calculation"/>
    <m/>
    <x v="6"/>
    <m/>
    <m/>
    <s v="calculations"/>
    <m/>
    <x v="1"/>
    <s v="future"/>
    <x v="15"/>
    <x v="8"/>
    <x v="5"/>
    <x v="5"/>
    <m/>
    <x v="2"/>
    <n v="1.5"/>
    <x v="7"/>
    <m/>
    <m/>
    <m/>
  </r>
  <r>
    <x v="230"/>
    <x v="14"/>
    <s v="Data Sync Requirements - Nutrition Labeling"/>
    <x v="230"/>
    <n v="1"/>
    <n v="94"/>
    <s v="free form"/>
    <m/>
    <x v="6"/>
    <m/>
    <m/>
    <s v="dependent on: Form Type=BULK w/pkg upc"/>
    <m/>
    <x v="1"/>
    <s v="future"/>
    <x v="15"/>
    <x v="8"/>
    <x v="5"/>
    <x v="5"/>
    <m/>
    <x v="1"/>
    <n v="0.5"/>
    <x v="7"/>
    <m/>
    <m/>
    <m/>
  </r>
  <r>
    <x v="231"/>
    <x v="14"/>
    <s v="Data Sync Requirements - Nutrition Labeling"/>
    <x v="231"/>
    <n v="1"/>
    <n v="94"/>
    <s v="free form"/>
    <m/>
    <x v="6"/>
    <m/>
    <m/>
    <s v="dependent on: Form Type=BULK w/pkg upc"/>
    <m/>
    <x v="1"/>
    <s v="future"/>
    <x v="15"/>
    <x v="8"/>
    <x v="5"/>
    <x v="5"/>
    <m/>
    <x v="1"/>
    <n v="0.5"/>
    <x v="7"/>
    <m/>
    <m/>
    <m/>
  </r>
  <r>
    <x v="232"/>
    <x v="14"/>
    <s v="Data Sync Requirements - Nutrition Labeling"/>
    <x v="232"/>
    <n v="1"/>
    <n v="94"/>
    <s v="free form"/>
    <m/>
    <x v="6"/>
    <m/>
    <m/>
    <s v="dependent on: Form Type=BULK w/pkg upc"/>
    <m/>
    <x v="1"/>
    <s v="future"/>
    <x v="15"/>
    <x v="8"/>
    <x v="5"/>
    <x v="5"/>
    <m/>
    <x v="1"/>
    <n v="0.5"/>
    <x v="7"/>
    <m/>
    <m/>
    <m/>
  </r>
  <r>
    <x v="233"/>
    <x v="14"/>
    <s v="Canada - Validate Food Form"/>
    <x v="233"/>
    <n v="1"/>
    <n v="94"/>
    <s v="checkbox"/>
    <m/>
    <x v="6"/>
    <m/>
    <m/>
    <s v="dependent on: Product Country=CANADA"/>
    <m/>
    <x v="1"/>
    <s v="future"/>
    <x v="15"/>
    <x v="8"/>
    <x v="5"/>
    <x v="5"/>
    <m/>
    <x v="1"/>
    <n v="0.5"/>
    <x v="7"/>
    <m/>
    <m/>
    <m/>
  </r>
  <r>
    <x v="234"/>
    <x v="14"/>
    <s v="Net Wt. Statement for Graphics"/>
    <x v="234"/>
    <n v="1"/>
    <n v="94"/>
    <s v="free form"/>
    <m/>
    <x v="6"/>
    <m/>
    <m/>
    <m/>
    <m/>
    <x v="1"/>
    <s v="future"/>
    <x v="15"/>
    <x v="8"/>
    <x v="5"/>
    <x v="5"/>
    <m/>
    <x v="1"/>
    <n v="0.5"/>
    <x v="7"/>
    <m/>
    <m/>
    <m/>
  </r>
  <r>
    <x v="235"/>
    <x v="14"/>
    <s v="Net Wt. Statement for Graphics"/>
    <x v="235"/>
    <n v="1"/>
    <n v="94"/>
    <s v="free form"/>
    <m/>
    <x v="6"/>
    <m/>
    <m/>
    <m/>
    <m/>
    <x v="1"/>
    <s v="future"/>
    <x v="15"/>
    <x v="8"/>
    <x v="5"/>
    <x v="5"/>
    <m/>
    <x v="1"/>
    <n v="0.5"/>
    <x v="7"/>
    <m/>
    <m/>
    <m/>
  </r>
  <r>
    <x v="236"/>
    <x v="14"/>
    <s v="Net Wt. Statement for Graphics"/>
    <x v="236"/>
    <n v="1"/>
    <n v="94"/>
    <s v="free form"/>
    <m/>
    <x v="6"/>
    <m/>
    <m/>
    <m/>
    <m/>
    <x v="1"/>
    <s v="future"/>
    <x v="15"/>
    <x v="8"/>
    <x v="5"/>
    <x v="5"/>
    <m/>
    <x v="1"/>
    <n v="0.5"/>
    <x v="7"/>
    <m/>
    <m/>
    <m/>
  </r>
  <r>
    <x v="237"/>
    <x v="14"/>
    <s v="Net Wt. Statement for Graphics"/>
    <x v="237"/>
    <n v="1"/>
    <n v="94"/>
    <s v="free form"/>
    <m/>
    <x v="6"/>
    <m/>
    <m/>
    <m/>
    <m/>
    <x v="1"/>
    <s v="future"/>
    <x v="15"/>
    <x v="8"/>
    <x v="5"/>
    <x v="5"/>
    <m/>
    <x v="1"/>
    <n v="0.5"/>
    <x v="7"/>
    <m/>
    <m/>
    <m/>
  </r>
  <r>
    <x v="238"/>
    <x v="15"/>
    <s v="Packaging Details"/>
    <x v="238"/>
    <n v="0"/>
    <n v="97"/>
    <s v="autofill"/>
    <m/>
    <x v="7"/>
    <m/>
    <m/>
    <s v="Packaging Tech task: For Pringles only, in the Packaging Details section, the Pringles Can Size and Pringles Cube Size are open for population, but not required. If not Pringles, both are grayed out/locked."/>
    <s v="1235 dependent on &quot;pringles&quot; (1011) =open but not required"/>
    <x v="3"/>
    <s v="early"/>
    <x v="16"/>
    <x v="8"/>
    <x v="5"/>
    <x v="5"/>
    <m/>
    <x v="0"/>
    <n v="0"/>
    <x v="7"/>
    <d v="2025-09-19T00:00:00"/>
    <m/>
    <m/>
  </r>
  <r>
    <x v="239"/>
    <x v="15"/>
    <s v="Packaging Details"/>
    <x v="239"/>
    <n v="1"/>
    <n v="97"/>
    <s v="dd: reference list: PRL: Stacking Factor"/>
    <m/>
    <x v="7"/>
    <m/>
    <m/>
    <m/>
    <m/>
    <x v="1"/>
    <s v="future"/>
    <x v="16"/>
    <x v="8"/>
    <x v="5"/>
    <x v="5"/>
    <m/>
    <x v="1"/>
    <n v="0.5"/>
    <x v="7"/>
    <m/>
    <m/>
    <m/>
  </r>
  <r>
    <x v="240"/>
    <x v="15"/>
    <s v="Packaging Details"/>
    <x v="240"/>
    <n v="1"/>
    <n v="97"/>
    <s v="dd: reference list: PRL: Packaging Profile"/>
    <m/>
    <x v="7"/>
    <m/>
    <m/>
    <m/>
    <m/>
    <x v="1"/>
    <s v="future"/>
    <x v="16"/>
    <x v="8"/>
    <x v="5"/>
    <x v="5"/>
    <m/>
    <x v="1"/>
    <n v="0.5"/>
    <x v="7"/>
    <m/>
    <m/>
    <m/>
  </r>
  <r>
    <x v="241"/>
    <x v="15"/>
    <s v="Packaging Details"/>
    <x v="241"/>
    <n v="1"/>
    <n v="97"/>
    <s v="dd: reference list: PRL: Handling Platform Type"/>
    <m/>
    <x v="7"/>
    <m/>
    <m/>
    <m/>
    <m/>
    <x v="1"/>
    <s v="future"/>
    <x v="16"/>
    <x v="8"/>
    <x v="5"/>
    <x v="5"/>
    <m/>
    <x v="1"/>
    <n v="0.5"/>
    <x v="7"/>
    <m/>
    <m/>
    <m/>
  </r>
  <r>
    <x v="242"/>
    <x v="15"/>
    <s v="Packaging Details"/>
    <x v="242"/>
    <n v="1"/>
    <n v="97"/>
    <s v="dd: reference list: PRL: Cube Size"/>
    <m/>
    <x v="7"/>
    <m/>
    <m/>
    <s v="Packaging Tech task: For Pringles only, in the Packaging Details section, the Pringles Can Size and Pringles Cube Size are open for population, but not required. If not Pringles, both are grayed out/locked."/>
    <s v="1239 dependent on &quot;pringles&quot; (1011) =open but not required"/>
    <x v="3"/>
    <s v="early"/>
    <x v="16"/>
    <x v="8"/>
    <x v="5"/>
    <x v="5"/>
    <m/>
    <x v="1"/>
    <n v="0.5"/>
    <x v="7"/>
    <d v="2025-09-19T00:00:00"/>
    <m/>
    <m/>
  </r>
  <r>
    <x v="243"/>
    <x v="15"/>
    <s v="Packaging Details"/>
    <x v="243"/>
    <n v="1"/>
    <n v="97"/>
    <s v="dd: reference list: PRL: Clamp Pressure"/>
    <m/>
    <x v="7"/>
    <m/>
    <m/>
    <m/>
    <m/>
    <x v="1"/>
    <s v="future"/>
    <x v="16"/>
    <x v="8"/>
    <x v="5"/>
    <x v="5"/>
    <m/>
    <x v="1"/>
    <n v="0.5"/>
    <x v="7"/>
    <m/>
    <m/>
    <m/>
  </r>
  <r>
    <x v="244"/>
    <x v="15"/>
    <s v="Alternate Units of Measure"/>
    <x v="244"/>
    <n v="0"/>
    <n v="98"/>
    <s v="autofill"/>
    <m/>
    <x v="7"/>
    <m/>
    <m/>
    <m/>
    <m/>
    <x v="1"/>
    <s v="future"/>
    <x v="16"/>
    <x v="8"/>
    <x v="5"/>
    <x v="5"/>
    <m/>
    <x v="0"/>
    <n v="0"/>
    <x v="7"/>
    <m/>
    <m/>
    <m/>
  </r>
  <r>
    <x v="245"/>
    <x v="15"/>
    <s v="Alternate Units of Measure"/>
    <x v="245"/>
    <n v="0"/>
    <n v="98"/>
    <s v="autofill"/>
    <m/>
    <x v="7"/>
    <m/>
    <m/>
    <m/>
    <m/>
    <x v="1"/>
    <s v="future"/>
    <x v="16"/>
    <x v="8"/>
    <x v="5"/>
    <x v="5"/>
    <m/>
    <x v="0"/>
    <n v="0"/>
    <x v="7"/>
    <m/>
    <m/>
    <m/>
  </r>
  <r>
    <x v="246"/>
    <x v="15"/>
    <s v="Alternate Units of Measure"/>
    <x v="246"/>
    <n v="0"/>
    <n v="98"/>
    <s v="autofill"/>
    <m/>
    <x v="7"/>
    <m/>
    <m/>
    <m/>
    <m/>
    <x v="1"/>
    <s v="future"/>
    <x v="16"/>
    <x v="8"/>
    <x v="5"/>
    <x v="5"/>
    <m/>
    <x v="0"/>
    <n v="0"/>
    <x v="7"/>
    <m/>
    <m/>
    <m/>
  </r>
  <r>
    <x v="247"/>
    <x v="15"/>
    <s v="Packaging Components"/>
    <x v="247"/>
    <n v="1"/>
    <s v="99, 125"/>
    <s v="free form"/>
    <m/>
    <x v="7"/>
    <s v="Masterfiles"/>
    <m/>
    <m/>
    <m/>
    <x v="1"/>
    <s v="future"/>
    <x v="16"/>
    <x v="8"/>
    <x v="5"/>
    <x v="5"/>
    <m/>
    <x v="1"/>
    <n v="0.5"/>
    <x v="7"/>
    <m/>
    <m/>
    <m/>
  </r>
  <r>
    <x v="248"/>
    <x v="15"/>
    <s v="Packaging Components"/>
    <x v="248"/>
    <n v="1"/>
    <s v="99, 125"/>
    <s v="free form"/>
    <m/>
    <x v="7"/>
    <s v="Masterfiles"/>
    <m/>
    <m/>
    <m/>
    <x v="1"/>
    <s v="future"/>
    <x v="16"/>
    <x v="8"/>
    <x v="5"/>
    <x v="5"/>
    <m/>
    <x v="1"/>
    <n v="0.5"/>
    <x v="7"/>
    <m/>
    <m/>
    <m/>
  </r>
  <r>
    <x v="249"/>
    <x v="15"/>
    <s v="Packaging Components"/>
    <x v="249"/>
    <n v="1"/>
    <s v="99, 125"/>
    <s v="dd: reference list"/>
    <m/>
    <x v="7"/>
    <s v="Masterfiles"/>
    <m/>
    <m/>
    <m/>
    <x v="1"/>
    <s v="future"/>
    <x v="16"/>
    <x v="8"/>
    <x v="5"/>
    <x v="5"/>
    <m/>
    <x v="1"/>
    <n v="0.5"/>
    <x v="7"/>
    <m/>
    <m/>
    <m/>
  </r>
  <r>
    <x v="250"/>
    <x v="15"/>
    <s v="Packaging Components"/>
    <x v="250"/>
    <n v="1"/>
    <s v="99, 125"/>
    <s v="free form"/>
    <m/>
    <x v="7"/>
    <s v="Masterfiles"/>
    <m/>
    <m/>
    <m/>
    <x v="1"/>
    <s v="future"/>
    <x v="16"/>
    <x v="8"/>
    <x v="5"/>
    <x v="5"/>
    <m/>
    <x v="1"/>
    <n v="0.5"/>
    <x v="7"/>
    <m/>
    <m/>
    <m/>
  </r>
  <r>
    <x v="251"/>
    <x v="15"/>
    <s v="Packaging Components"/>
    <x v="251"/>
    <n v="1"/>
    <s v="99, 125"/>
    <s v="free form"/>
    <m/>
    <x v="7"/>
    <s v="Masterfiles"/>
    <m/>
    <m/>
    <m/>
    <x v="1"/>
    <s v="future"/>
    <x v="16"/>
    <x v="8"/>
    <x v="5"/>
    <x v="5"/>
    <m/>
    <x v="1"/>
    <n v="0.5"/>
    <x v="7"/>
    <m/>
    <m/>
    <m/>
  </r>
  <r>
    <x v="252"/>
    <x v="15"/>
    <s v="Packaging Components"/>
    <x v="252"/>
    <n v="1"/>
    <s v="99, 125"/>
    <s v="free form"/>
    <m/>
    <x v="7"/>
    <s v="Masterfiles"/>
    <m/>
    <m/>
    <m/>
    <x v="1"/>
    <s v="future"/>
    <x v="16"/>
    <x v="8"/>
    <x v="5"/>
    <x v="5"/>
    <m/>
    <x v="1"/>
    <n v="0.5"/>
    <x v="7"/>
    <m/>
    <m/>
    <m/>
  </r>
  <r>
    <x v="253"/>
    <x v="15"/>
    <s v="Packaging Components"/>
    <x v="253"/>
    <n v="1"/>
    <s v="99, 125"/>
    <s v="dd: YES, NO"/>
    <m/>
    <x v="7"/>
    <s v="Masterfiles"/>
    <m/>
    <m/>
    <m/>
    <x v="1"/>
    <s v="future"/>
    <x v="16"/>
    <x v="8"/>
    <x v="5"/>
    <x v="5"/>
    <m/>
    <x v="1"/>
    <n v="0.5"/>
    <x v="7"/>
    <m/>
    <m/>
    <m/>
  </r>
  <r>
    <x v="254"/>
    <x v="15"/>
    <s v="Packaging Components"/>
    <x v="254"/>
    <n v="1"/>
    <s v="99, 125"/>
    <s v="dd: YES, NO"/>
    <m/>
    <x v="7"/>
    <s v="Masterfiles"/>
    <m/>
    <m/>
    <m/>
    <x v="1"/>
    <s v="future"/>
    <x v="16"/>
    <x v="8"/>
    <x v="5"/>
    <x v="5"/>
    <m/>
    <x v="1"/>
    <n v="0.5"/>
    <x v="7"/>
    <m/>
    <m/>
    <m/>
  </r>
  <r>
    <x v="255"/>
    <x v="15"/>
    <s v="Net Weight if no Nutrition Labeling"/>
    <x v="255"/>
    <n v="1"/>
    <n v="99"/>
    <s v="free form"/>
    <m/>
    <x v="7"/>
    <m/>
    <m/>
    <m/>
    <m/>
    <x v="1"/>
    <s v="future"/>
    <x v="16"/>
    <x v="8"/>
    <x v="5"/>
    <x v="5"/>
    <m/>
    <x v="1"/>
    <n v="0.5"/>
    <x v="7"/>
    <m/>
    <m/>
    <m/>
  </r>
  <r>
    <x v="256"/>
    <x v="15"/>
    <s v="Net Weight if no Nutrition Labeling"/>
    <x v="256"/>
    <n v="1"/>
    <n v="99"/>
    <s v="free form"/>
    <m/>
    <x v="7"/>
    <m/>
    <m/>
    <m/>
    <m/>
    <x v="1"/>
    <s v="future"/>
    <x v="16"/>
    <x v="8"/>
    <x v="5"/>
    <x v="5"/>
    <m/>
    <x v="1"/>
    <n v="0.5"/>
    <x v="7"/>
    <m/>
    <m/>
    <m/>
  </r>
  <r>
    <x v="257"/>
    <x v="16"/>
    <s v="Material Group/Tax Data"/>
    <x v="257"/>
    <n v="1"/>
    <n v="105"/>
    <s v="dd: reference list: PRL: Material Group 5"/>
    <m/>
    <x v="8"/>
    <m/>
    <m/>
    <m/>
    <m/>
    <x v="1"/>
    <s v="future"/>
    <x v="17"/>
    <x v="7"/>
    <x v="3"/>
    <x v="3"/>
    <m/>
    <x v="1"/>
    <n v="0.5"/>
    <x v="6"/>
    <m/>
    <m/>
    <m/>
  </r>
  <r>
    <x v="258"/>
    <x v="16"/>
    <s v="Material Group/Tax Data"/>
    <x v="258"/>
    <n v="1"/>
    <n v="105"/>
    <s v="free form"/>
    <m/>
    <x v="8"/>
    <m/>
    <m/>
    <m/>
    <m/>
    <x v="1"/>
    <s v="future"/>
    <x v="17"/>
    <x v="7"/>
    <x v="3"/>
    <x v="3"/>
    <m/>
    <x v="1"/>
    <n v="0.5"/>
    <x v="6"/>
    <m/>
    <m/>
    <m/>
  </r>
  <r>
    <x v="259"/>
    <x v="17"/>
    <s v="Pricing"/>
    <x v="259"/>
    <n v="1"/>
    <n v="107"/>
    <s v="free form"/>
    <m/>
    <x v="9"/>
    <m/>
    <m/>
    <m/>
    <m/>
    <x v="1"/>
    <s v="future"/>
    <x v="18"/>
    <x v="7"/>
    <x v="3"/>
    <x v="3"/>
    <m/>
    <x v="1"/>
    <n v="0.5"/>
    <x v="6"/>
    <m/>
    <m/>
    <m/>
  </r>
  <r>
    <x v="260"/>
    <x v="18"/>
    <s v="(buttons) Returns"/>
    <x v="260"/>
    <n v="1"/>
    <n v="110"/>
    <s v="free form"/>
    <m/>
    <x v="4"/>
    <m/>
    <m/>
    <m/>
    <m/>
    <x v="1"/>
    <s v="future"/>
    <x v="19"/>
    <x v="7"/>
    <x v="3"/>
    <x v="3"/>
    <m/>
    <x v="1"/>
    <n v="0.5"/>
    <x v="6"/>
    <m/>
    <m/>
    <m/>
  </r>
  <r>
    <x v="261"/>
    <x v="19"/>
    <s v="LIM Dashboard Returns"/>
    <x v="261"/>
    <n v="1"/>
    <s v="71, 111"/>
    <s v="dd: user roles"/>
    <m/>
    <x v="2"/>
    <m/>
    <m/>
    <s v="returning to previous team"/>
    <m/>
    <x v="1"/>
    <s v="current"/>
    <x v="20"/>
    <x v="1"/>
    <x v="2"/>
    <x v="2"/>
    <m/>
    <x v="1"/>
    <n v="0.5"/>
    <x v="5"/>
    <m/>
    <m/>
    <m/>
  </r>
  <r>
    <x v="262"/>
    <x v="19"/>
    <s v="LIM Dashboard Returns"/>
    <x v="262"/>
    <n v="1"/>
    <s v="71, 111"/>
    <s v="free form"/>
    <m/>
    <x v="2"/>
    <m/>
    <m/>
    <s v="can only return to one group at a time"/>
    <m/>
    <x v="1"/>
    <s v="current"/>
    <x v="20"/>
    <x v="1"/>
    <x v="2"/>
    <x v="2"/>
    <m/>
    <x v="1"/>
    <n v="0.5"/>
    <x v="5"/>
    <m/>
    <m/>
    <m/>
  </r>
  <r>
    <x v="263"/>
    <x v="20"/>
    <s v="Review Material Descriptions"/>
    <x v="263"/>
    <n v="1"/>
    <n v="114"/>
    <s v="free form"/>
    <m/>
    <x v="1"/>
    <m/>
    <m/>
    <m/>
    <m/>
    <x v="1"/>
    <s v="future"/>
    <x v="21"/>
    <x v="9"/>
    <x v="3"/>
    <x v="3"/>
    <m/>
    <x v="1"/>
    <n v="0.5"/>
    <x v="6"/>
    <m/>
    <m/>
    <m/>
  </r>
  <r>
    <x v="264"/>
    <x v="20"/>
    <s v="Review Material Descriptions"/>
    <x v="264"/>
    <n v="1"/>
    <n v="114"/>
    <s v="free form"/>
    <m/>
    <x v="1"/>
    <m/>
    <m/>
    <m/>
    <m/>
    <x v="1"/>
    <s v="future"/>
    <x v="21"/>
    <x v="9"/>
    <x v="3"/>
    <x v="3"/>
    <m/>
    <x v="1"/>
    <n v="0.5"/>
    <x v="6"/>
    <m/>
    <m/>
    <m/>
  </r>
  <r>
    <x v="265"/>
    <x v="20"/>
    <s v="Review - Derived Values"/>
    <x v="265"/>
    <n v="1"/>
    <n v="114"/>
    <s v="dd: reference list: DISTRIBUTION_METHODS.XLSX"/>
    <m/>
    <x v="1"/>
    <m/>
    <m/>
    <m/>
    <m/>
    <x v="1"/>
    <s v="future"/>
    <x v="21"/>
    <x v="9"/>
    <x v="3"/>
    <x v="3"/>
    <m/>
    <x v="1"/>
    <n v="0.5"/>
    <x v="6"/>
    <m/>
    <m/>
    <m/>
  </r>
  <r>
    <x v="266"/>
    <x v="20"/>
    <s v="Sales Organization Extension"/>
    <x v="266"/>
    <n v="0"/>
    <n v="115"/>
    <s v="autofill"/>
    <m/>
    <x v="1"/>
    <m/>
    <m/>
    <m/>
    <m/>
    <x v="1"/>
    <s v="future"/>
    <x v="21"/>
    <x v="9"/>
    <x v="3"/>
    <x v="3"/>
    <m/>
    <x v="0"/>
    <n v="0"/>
    <x v="6"/>
    <m/>
    <m/>
    <m/>
  </r>
  <r>
    <x v="267"/>
    <x v="20"/>
    <s v="Sales Organization Extension"/>
    <x v="267"/>
    <n v="0"/>
    <n v="115"/>
    <s v="autofill"/>
    <m/>
    <x v="1"/>
    <m/>
    <m/>
    <m/>
    <m/>
    <x v="1"/>
    <s v="future"/>
    <x v="21"/>
    <x v="9"/>
    <x v="3"/>
    <x v="3"/>
    <m/>
    <x v="0"/>
    <n v="0"/>
    <x v="6"/>
    <m/>
    <m/>
    <m/>
  </r>
  <r>
    <x v="268"/>
    <x v="20"/>
    <s v="Sales Organization Extension"/>
    <x v="268"/>
    <n v="0"/>
    <n v="115"/>
    <s v="autofill"/>
    <m/>
    <x v="1"/>
    <m/>
    <m/>
    <m/>
    <m/>
    <x v="1"/>
    <s v="future"/>
    <x v="21"/>
    <x v="9"/>
    <x v="3"/>
    <x v="3"/>
    <m/>
    <x v="0"/>
    <n v="0"/>
    <x v="6"/>
    <m/>
    <m/>
    <m/>
  </r>
  <r>
    <x v="269"/>
    <x v="20"/>
    <s v="Sales Organization Extension"/>
    <x v="269"/>
    <n v="1"/>
    <n v="115"/>
    <s v="free form"/>
    <m/>
    <x v="1"/>
    <m/>
    <m/>
    <m/>
    <s v="Sales_Org_CA_Tax ?? (LIM Forecast - field name: Canada Tax Code); see notes from 9/25/25"/>
    <x v="1"/>
    <s v="future"/>
    <x v="21"/>
    <x v="9"/>
    <x v="3"/>
    <x v="3"/>
    <m/>
    <x v="1"/>
    <n v="0.5"/>
    <x v="6"/>
    <m/>
    <m/>
    <m/>
  </r>
  <r>
    <x v="270"/>
    <x v="20"/>
    <s v="Masterfiles Approval Returns"/>
    <x v="270"/>
    <n v="1"/>
    <n v="118"/>
    <s v="checkbox"/>
    <m/>
    <x v="1"/>
    <m/>
    <m/>
    <m/>
    <m/>
    <x v="1"/>
    <s v="future"/>
    <x v="21"/>
    <x v="9"/>
    <x v="3"/>
    <x v="3"/>
    <m/>
    <x v="1"/>
    <n v="0.5"/>
    <x v="6"/>
    <m/>
    <m/>
    <m/>
  </r>
  <r>
    <x v="271"/>
    <x v="20"/>
    <s v="Masterfiles Approval Returns"/>
    <x v="271"/>
    <n v="1"/>
    <n v="118"/>
    <s v="free form"/>
    <m/>
    <x v="1"/>
    <m/>
    <m/>
    <m/>
    <m/>
    <x v="1"/>
    <s v="future"/>
    <x v="21"/>
    <x v="9"/>
    <x v="3"/>
    <x v="3"/>
    <m/>
    <x v="1"/>
    <n v="0.5"/>
    <x v="6"/>
    <m/>
    <m/>
    <m/>
  </r>
  <r>
    <x v="272"/>
    <x v="20"/>
    <s v="Masterfiles Approval Returns"/>
    <x v="272"/>
    <n v="1"/>
    <n v="118"/>
    <s v="checkbox"/>
    <m/>
    <x v="1"/>
    <m/>
    <m/>
    <m/>
    <m/>
    <x v="1"/>
    <s v="future"/>
    <x v="21"/>
    <x v="9"/>
    <x v="3"/>
    <x v="3"/>
    <m/>
    <x v="1"/>
    <n v="0.5"/>
    <x v="6"/>
    <m/>
    <m/>
    <m/>
  </r>
  <r>
    <x v="273"/>
    <x v="20"/>
    <s v="Masterfiles Approval Returns"/>
    <x v="273"/>
    <n v="1"/>
    <n v="118"/>
    <s v="free form"/>
    <m/>
    <x v="1"/>
    <m/>
    <m/>
    <m/>
    <m/>
    <x v="1"/>
    <s v="future"/>
    <x v="21"/>
    <x v="9"/>
    <x v="3"/>
    <x v="3"/>
    <m/>
    <x v="1"/>
    <n v="0.5"/>
    <x v="6"/>
    <m/>
    <m/>
    <m/>
  </r>
  <r>
    <x v="274"/>
    <x v="20"/>
    <s v="Masterfiles Approval Returns"/>
    <x v="274"/>
    <n v="1"/>
    <n v="118"/>
    <s v="checkbox"/>
    <m/>
    <x v="1"/>
    <m/>
    <m/>
    <m/>
    <m/>
    <x v="1"/>
    <s v="future"/>
    <x v="21"/>
    <x v="9"/>
    <x v="3"/>
    <x v="3"/>
    <m/>
    <x v="1"/>
    <n v="0.5"/>
    <x v="6"/>
    <m/>
    <m/>
    <m/>
  </r>
  <r>
    <x v="275"/>
    <x v="20"/>
    <s v="Masterfiles Approval Returns"/>
    <x v="275"/>
    <n v="1"/>
    <n v="118"/>
    <s v="free form"/>
    <m/>
    <x v="1"/>
    <m/>
    <m/>
    <m/>
    <m/>
    <x v="1"/>
    <s v="future"/>
    <x v="21"/>
    <x v="9"/>
    <x v="3"/>
    <x v="3"/>
    <m/>
    <x v="1"/>
    <n v="0.5"/>
    <x v="6"/>
    <m/>
    <m/>
    <m/>
  </r>
  <r>
    <x v="276"/>
    <x v="20"/>
    <s v="Masterfiles Approval Returns"/>
    <x v="276"/>
    <n v="1"/>
    <n v="118"/>
    <s v="checkbox"/>
    <m/>
    <x v="1"/>
    <m/>
    <m/>
    <m/>
    <m/>
    <x v="1"/>
    <s v="future"/>
    <x v="21"/>
    <x v="9"/>
    <x v="3"/>
    <x v="3"/>
    <m/>
    <x v="1"/>
    <n v="0.5"/>
    <x v="6"/>
    <m/>
    <m/>
    <m/>
  </r>
  <r>
    <x v="277"/>
    <x v="20"/>
    <s v="Masterfiles Approval Returns"/>
    <x v="277"/>
    <n v="1"/>
    <n v="118"/>
    <s v="free form"/>
    <m/>
    <x v="1"/>
    <m/>
    <m/>
    <m/>
    <m/>
    <x v="1"/>
    <s v="future"/>
    <x v="21"/>
    <x v="9"/>
    <x v="3"/>
    <x v="3"/>
    <m/>
    <x v="1"/>
    <n v="0.5"/>
    <x v="6"/>
    <m/>
    <m/>
    <m/>
  </r>
  <r>
    <x v="278"/>
    <x v="20"/>
    <s v="Masterfiles Approval Returns"/>
    <x v="278"/>
    <n v="1"/>
    <n v="118"/>
    <s v="checkbox"/>
    <m/>
    <x v="1"/>
    <m/>
    <m/>
    <m/>
    <m/>
    <x v="1"/>
    <s v="future"/>
    <x v="21"/>
    <x v="9"/>
    <x v="3"/>
    <x v="3"/>
    <m/>
    <x v="1"/>
    <n v="0.5"/>
    <x v="6"/>
    <m/>
    <m/>
    <m/>
  </r>
  <r>
    <x v="279"/>
    <x v="20"/>
    <s v="Masterfiles Approval Returns"/>
    <x v="279"/>
    <n v="1"/>
    <n v="118"/>
    <s v="free form"/>
    <m/>
    <x v="1"/>
    <m/>
    <m/>
    <m/>
    <m/>
    <x v="1"/>
    <s v="future"/>
    <x v="21"/>
    <x v="9"/>
    <x v="3"/>
    <x v="3"/>
    <m/>
    <x v="1"/>
    <n v="0.5"/>
    <x v="6"/>
    <m/>
    <m/>
    <m/>
  </r>
  <r>
    <x v="280"/>
    <x v="20"/>
    <s v="Masterfiles Approval Returns"/>
    <x v="280"/>
    <n v="1"/>
    <n v="118"/>
    <s v="button"/>
    <m/>
    <x v="1"/>
    <m/>
    <m/>
    <m/>
    <m/>
    <x v="1"/>
    <s v="future"/>
    <x v="21"/>
    <x v="9"/>
    <x v="3"/>
    <x v="3"/>
    <m/>
    <x v="1"/>
    <n v="0.5"/>
    <x v="6"/>
    <m/>
    <m/>
    <m/>
  </r>
  <r>
    <x v="281"/>
    <x v="21"/>
    <s v="ZMMU_PLANT_Query"/>
    <x v="281"/>
    <n v="1"/>
    <n v="120"/>
    <s v="dd: reference list"/>
    <m/>
    <x v="1"/>
    <m/>
    <m/>
    <m/>
    <m/>
    <x v="1"/>
    <s v="future"/>
    <x v="22"/>
    <x v="9"/>
    <x v="3"/>
    <x v="3"/>
    <m/>
    <x v="1"/>
    <n v="0.5"/>
    <x v="6"/>
    <m/>
    <m/>
    <m/>
  </r>
  <r>
    <x v="282"/>
    <x v="21"/>
    <s v="ZMMU_PLANT_Query"/>
    <x v="282"/>
    <n v="1"/>
    <n v="120"/>
    <s v="dd: reference list"/>
    <m/>
    <x v="1"/>
    <m/>
    <m/>
    <m/>
    <m/>
    <x v="1"/>
    <s v="future"/>
    <x v="22"/>
    <x v="9"/>
    <x v="3"/>
    <x v="3"/>
    <m/>
    <x v="1"/>
    <n v="0.5"/>
    <x v="6"/>
    <m/>
    <m/>
    <m/>
  </r>
  <r>
    <x v="283"/>
    <x v="21"/>
    <s v="ZMMU_PLANT_Query"/>
    <x v="283"/>
    <n v="0"/>
    <n v="120"/>
    <s v="autofill"/>
    <m/>
    <x v="1"/>
    <m/>
    <m/>
    <m/>
    <m/>
    <x v="1"/>
    <s v="future"/>
    <x v="22"/>
    <x v="9"/>
    <x v="3"/>
    <x v="3"/>
    <m/>
    <x v="0"/>
    <n v="0"/>
    <x v="6"/>
    <m/>
    <m/>
    <m/>
  </r>
  <r>
    <x v="284"/>
    <x v="21"/>
    <s v="Plant Extension Selection"/>
    <x v="284"/>
    <n v="1"/>
    <n v="120"/>
    <s v="checkbox"/>
    <m/>
    <x v="1"/>
    <m/>
    <m/>
    <m/>
    <m/>
    <x v="1"/>
    <s v="future"/>
    <x v="22"/>
    <x v="9"/>
    <x v="3"/>
    <x v="3"/>
    <m/>
    <x v="1"/>
    <n v="0.5"/>
    <x v="6"/>
    <m/>
    <m/>
    <m/>
  </r>
  <r>
    <x v="285"/>
    <x v="21"/>
    <s v="Plant Extension Selection"/>
    <x v="285"/>
    <n v="1"/>
    <n v="120"/>
    <s v="free form"/>
    <m/>
    <x v="1"/>
    <m/>
    <m/>
    <m/>
    <m/>
    <x v="1"/>
    <s v="future"/>
    <x v="22"/>
    <x v="9"/>
    <x v="3"/>
    <x v="3"/>
    <m/>
    <x v="1"/>
    <n v="0.5"/>
    <x v="6"/>
    <m/>
    <m/>
    <m/>
  </r>
  <r>
    <x v="286"/>
    <x v="21"/>
    <s v="Plant Extension Selection"/>
    <x v="286"/>
    <n v="1"/>
    <n v="120"/>
    <s v="free form"/>
    <m/>
    <x v="1"/>
    <m/>
    <m/>
    <m/>
    <m/>
    <x v="1"/>
    <s v="future"/>
    <x v="22"/>
    <x v="9"/>
    <x v="3"/>
    <x v="3"/>
    <m/>
    <x v="1"/>
    <n v="0.5"/>
    <x v="6"/>
    <m/>
    <m/>
    <m/>
  </r>
  <r>
    <x v="287"/>
    <x v="21"/>
    <s v="Packaging - Merge with BOM"/>
    <x v="287"/>
    <n v="1"/>
    <n v="125"/>
    <s v="free form"/>
    <m/>
    <x v="1"/>
    <m/>
    <m/>
    <m/>
    <m/>
    <x v="1"/>
    <s v="future"/>
    <x v="22"/>
    <x v="9"/>
    <x v="3"/>
    <x v="3"/>
    <m/>
    <x v="1"/>
    <n v="0.5"/>
    <x v="6"/>
    <m/>
    <m/>
    <m/>
  </r>
  <r>
    <x v="288"/>
    <x v="21"/>
    <s v="Packaging - Merge with BOM"/>
    <x v="288"/>
    <n v="1"/>
    <n v="125"/>
    <s v="free form"/>
    <m/>
    <x v="1"/>
    <m/>
    <m/>
    <m/>
    <m/>
    <x v="1"/>
    <s v="future"/>
    <x v="22"/>
    <x v="9"/>
    <x v="3"/>
    <x v="3"/>
    <m/>
    <x v="1"/>
    <n v="0.5"/>
    <x v="6"/>
    <m/>
    <m/>
    <m/>
  </r>
  <r>
    <x v="289"/>
    <x v="21"/>
    <s v="Packaging - Merge with BOM"/>
    <x v="289"/>
    <n v="1"/>
    <n v="125"/>
    <s v="free form"/>
    <m/>
    <x v="1"/>
    <m/>
    <m/>
    <m/>
    <m/>
    <x v="1"/>
    <s v="future"/>
    <x v="22"/>
    <x v="9"/>
    <x v="3"/>
    <x v="3"/>
    <m/>
    <x v="1"/>
    <n v="0.5"/>
    <x v="6"/>
    <m/>
    <m/>
    <m/>
  </r>
  <r>
    <x v="290"/>
    <x v="21"/>
    <s v="VAS BOM Plant Assingments (CS07)"/>
    <x v="290"/>
    <n v="1"/>
    <n v="125"/>
    <s v="checkbox"/>
    <m/>
    <x v="1"/>
    <m/>
    <m/>
    <m/>
    <m/>
    <x v="1"/>
    <s v="future"/>
    <x v="22"/>
    <x v="9"/>
    <x v="3"/>
    <x v="3"/>
    <m/>
    <x v="1"/>
    <n v="0.5"/>
    <x v="6"/>
    <m/>
    <m/>
    <m/>
  </r>
  <r>
    <x v="291"/>
    <x v="21"/>
    <s v="VAS BOM Plant Assingments (CS07)"/>
    <x v="291"/>
    <n v="1"/>
    <n v="125"/>
    <s v="free form"/>
    <m/>
    <x v="1"/>
    <m/>
    <m/>
    <m/>
    <m/>
    <x v="1"/>
    <s v="future"/>
    <x v="22"/>
    <x v="9"/>
    <x v="3"/>
    <x v="3"/>
    <m/>
    <x v="1"/>
    <n v="0.5"/>
    <x v="6"/>
    <m/>
    <m/>
    <m/>
  </r>
  <r>
    <x v="292"/>
    <x v="21"/>
    <s v="VAS BOM Plant Assingments (CS07)"/>
    <x v="292"/>
    <n v="1"/>
    <n v="125"/>
    <s v="free form"/>
    <m/>
    <x v="1"/>
    <m/>
    <m/>
    <m/>
    <m/>
    <x v="1"/>
    <s v="future"/>
    <x v="22"/>
    <x v="9"/>
    <x v="3"/>
    <x v="3"/>
    <m/>
    <x v="1"/>
    <n v="0.5"/>
    <x v="6"/>
    <m/>
    <m/>
    <m/>
  </r>
  <r>
    <x v="293"/>
    <x v="21"/>
    <s v="VAS BOM Plant Assingments (CS07)"/>
    <x v="293"/>
    <n v="1"/>
    <n v="125"/>
    <s v="free form"/>
    <m/>
    <x v="1"/>
    <m/>
    <m/>
    <m/>
    <m/>
    <x v="1"/>
    <s v="future"/>
    <x v="22"/>
    <x v="9"/>
    <x v="3"/>
    <x v="3"/>
    <m/>
    <x v="1"/>
    <n v="0.5"/>
    <x v="6"/>
    <m/>
    <m/>
    <m/>
  </r>
  <r>
    <x v="294"/>
    <x v="21"/>
    <s v="DTC Questions"/>
    <x v="294"/>
    <n v="1"/>
    <n v="125"/>
    <s v="dd: YES, NO"/>
    <m/>
    <x v="1"/>
    <m/>
    <m/>
    <m/>
    <m/>
    <x v="1"/>
    <s v="future"/>
    <x v="22"/>
    <x v="9"/>
    <x v="3"/>
    <x v="3"/>
    <m/>
    <x v="1"/>
    <n v="0.5"/>
    <x v="6"/>
    <m/>
    <m/>
    <m/>
  </r>
  <r>
    <x v="295"/>
    <x v="21"/>
    <s v="DTC Questions"/>
    <x v="295"/>
    <n v="1"/>
    <n v="125"/>
    <s v="free form"/>
    <m/>
    <x v="1"/>
    <m/>
    <m/>
    <m/>
    <s v="?? 1292 dependent on 1012 DTC"/>
    <x v="1"/>
    <s v="future"/>
    <x v="22"/>
    <x v="9"/>
    <x v="3"/>
    <x v="3"/>
    <m/>
    <x v="1"/>
    <n v="0.5"/>
    <x v="6"/>
    <m/>
    <m/>
    <m/>
  </r>
  <r>
    <x v="296"/>
    <x v="21"/>
    <s v="Masterfiles Manual Checklist"/>
    <x v="296"/>
    <n v="1"/>
    <n v="126"/>
    <s v="checkbox"/>
    <m/>
    <x v="1"/>
    <m/>
    <m/>
    <s v="Manually perform all steps"/>
    <m/>
    <x v="1"/>
    <s v="future"/>
    <x v="22"/>
    <x v="9"/>
    <x v="3"/>
    <x v="3"/>
    <m/>
    <x v="0"/>
    <n v="0"/>
    <x v="6"/>
    <m/>
    <m/>
    <m/>
  </r>
  <r>
    <x v="297"/>
    <x v="21"/>
    <s v="Returns"/>
    <x v="297"/>
    <n v="1"/>
    <n v="126"/>
    <s v="button"/>
    <m/>
    <x v="1"/>
    <m/>
    <m/>
    <m/>
    <m/>
    <x v="1"/>
    <s v="future"/>
    <x v="22"/>
    <x v="9"/>
    <x v="3"/>
    <x v="3"/>
    <m/>
    <x v="1"/>
    <n v="0.5"/>
    <x v="6"/>
    <m/>
    <m/>
    <m/>
  </r>
  <r>
    <x v="298"/>
    <x v="22"/>
    <s v="DTC Product Details"/>
    <x v="298"/>
    <n v="1"/>
    <n v="128"/>
    <s v="dd: reference list: COUNTRY (not in RDL or PRL)"/>
    <m/>
    <x v="0"/>
    <m/>
    <m/>
    <m/>
    <m/>
    <x v="1"/>
    <s v="current"/>
    <x v="23"/>
    <x v="5"/>
    <x v="2"/>
    <x v="2"/>
    <n v="8"/>
    <x v="1"/>
    <n v="0.5"/>
    <x v="5"/>
    <m/>
    <m/>
    <m/>
  </r>
  <r>
    <x v="299"/>
    <x v="22"/>
    <s v="DTC Product Details"/>
    <x v="299"/>
    <n v="1"/>
    <n v="128"/>
    <s v="free form"/>
    <m/>
    <x v="0"/>
    <m/>
    <m/>
    <m/>
    <m/>
    <x v="1"/>
    <s v="current"/>
    <x v="23"/>
    <x v="5"/>
    <x v="2"/>
    <x v="2"/>
    <n v="8"/>
    <x v="1"/>
    <n v="0.5"/>
    <x v="5"/>
    <m/>
    <m/>
    <m/>
  </r>
  <r>
    <x v="300"/>
    <x v="22"/>
    <s v="DTC Product Details"/>
    <x v="300"/>
    <n v="0"/>
    <n v="128"/>
    <s v="script button"/>
    <m/>
    <x v="0"/>
    <m/>
    <m/>
    <m/>
    <m/>
    <x v="1"/>
    <s v="current"/>
    <x v="23"/>
    <x v="5"/>
    <x v="2"/>
    <x v="2"/>
    <n v="8"/>
    <x v="2"/>
    <n v="0"/>
    <x v="5"/>
    <m/>
    <m/>
    <m/>
  </r>
  <r>
    <x v="301"/>
    <x v="22"/>
    <s v="DTC Product Details"/>
    <x v="301"/>
    <n v="0"/>
    <n v="129"/>
    <s v="script button"/>
    <m/>
    <x v="0"/>
    <m/>
    <m/>
    <m/>
    <m/>
    <x v="1"/>
    <s v="current"/>
    <x v="23"/>
    <x v="5"/>
    <x v="2"/>
    <x v="2"/>
    <n v="8"/>
    <x v="2"/>
    <n v="0"/>
    <x v="5"/>
    <m/>
    <m/>
    <m/>
  </r>
  <r>
    <x v="302"/>
    <x v="22"/>
    <s v="DTC Product Details"/>
    <x v="302"/>
    <n v="0"/>
    <n v="130"/>
    <s v="script button"/>
    <m/>
    <x v="0"/>
    <m/>
    <m/>
    <m/>
    <m/>
    <x v="1"/>
    <s v="current"/>
    <x v="23"/>
    <x v="5"/>
    <x v="2"/>
    <x v="2"/>
    <n v="8"/>
    <x v="2"/>
    <n v="0"/>
    <x v="5"/>
    <m/>
    <m/>
    <m/>
  </r>
  <r>
    <x v="303"/>
    <x v="22"/>
    <s v="Attachments"/>
    <x v="303"/>
    <n v="1"/>
    <n v="130"/>
    <s v="dd: directory"/>
    <m/>
    <x v="0"/>
    <m/>
    <m/>
    <m/>
    <m/>
    <x v="1"/>
    <s v="current"/>
    <x v="23"/>
    <x v="5"/>
    <x v="2"/>
    <x v="2"/>
    <n v="8"/>
    <x v="3"/>
    <n v="1"/>
    <x v="5"/>
    <m/>
    <m/>
    <m/>
  </r>
  <r>
    <x v="304"/>
    <x v="22"/>
    <s v="DTC Launch Validation"/>
    <x v="304"/>
    <n v="1"/>
    <n v="130"/>
    <s v="dd: YES, NO"/>
    <m/>
    <x v="0"/>
    <m/>
    <m/>
    <m/>
    <s v="?? 1301 dependent on 1012 DTC"/>
    <x v="1"/>
    <s v="current"/>
    <x v="23"/>
    <x v="5"/>
    <x v="2"/>
    <x v="2"/>
    <n v="8"/>
    <x v="1"/>
    <n v="0.5"/>
    <x v="5"/>
    <m/>
    <m/>
    <m/>
  </r>
  <r>
    <x v="305"/>
    <x v="22"/>
    <s v="DTC Launch Validation"/>
    <x v="305"/>
    <n v="0"/>
    <n v="130"/>
    <s v="script button"/>
    <m/>
    <x v="0"/>
    <m/>
    <m/>
    <m/>
    <s v="?? 1302 dependent on 1012 DTC"/>
    <x v="1"/>
    <s v="current"/>
    <x v="23"/>
    <x v="5"/>
    <x v="2"/>
    <x v="2"/>
    <n v="8"/>
    <x v="2"/>
    <n v="0"/>
    <x v="5"/>
    <m/>
    <m/>
    <m/>
  </r>
  <r>
    <x v="306"/>
    <x v="22"/>
    <s v="DTC Launch Validation"/>
    <x v="306"/>
    <n v="0"/>
    <n v="130"/>
    <s v="script button"/>
    <m/>
    <x v="0"/>
    <m/>
    <m/>
    <m/>
    <m/>
    <x v="1"/>
    <s v="current"/>
    <x v="23"/>
    <x v="5"/>
    <x v="2"/>
    <x v="2"/>
    <n v="8"/>
    <x v="2"/>
    <n v="0"/>
    <x v="5"/>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CB6716-8D6F-4170-A8E5-E432DC757AA8}" name="PivotTable5" cacheId="3"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location ref="AA6:AF196" firstHeaderRow="2" firstDataRow="2" firstDataCol="5"/>
  <pivotFields count="22">
    <pivotField compact="0" outline="0" subtotalTop="0" showAll="0" defaultSubtotal="0"/>
    <pivotField compact="0" outline="0" subtotalTop="0" showAll="0" defaultSubtotal="0"/>
    <pivotField axis="axisRow" compact="0" outline="0" showAll="0" defaultSubtotal="0">
      <items count="63">
        <item x="26"/>
        <item x="21"/>
        <item m="1" x="62"/>
        <item x="40"/>
        <item x="39"/>
        <item x="56"/>
        <item x="7"/>
        <item x="37"/>
        <item x="38"/>
        <item x="32"/>
        <item x="47"/>
        <item x="14"/>
        <item x="10"/>
        <item x="33"/>
        <item x="45"/>
        <item x="15"/>
        <item x="41"/>
        <item x="25"/>
        <item x="6"/>
        <item x="43"/>
        <item x="42"/>
        <item x="12"/>
        <item x="1"/>
        <item x="46"/>
        <item x="11"/>
        <item x="18"/>
        <item x="35"/>
        <item x="2"/>
        <item x="28"/>
        <item x="36"/>
        <item x="4"/>
        <item x="0"/>
        <item x="49"/>
        <item x="34"/>
        <item x="8"/>
        <item x="3"/>
        <item x="27"/>
        <item x="9"/>
        <item x="16"/>
        <item x="29"/>
        <item x="31"/>
        <item x="17"/>
        <item x="19"/>
        <item x="20"/>
        <item x="22"/>
        <item x="23"/>
        <item x="24"/>
        <item x="44"/>
        <item x="48"/>
        <item x="50"/>
        <item x="51"/>
        <item x="52"/>
        <item x="53"/>
        <item x="54"/>
        <item x="55"/>
        <item x="57"/>
        <item x="58"/>
        <item x="59"/>
        <item x="60"/>
        <item x="61"/>
        <item x="5"/>
        <item x="13"/>
        <item x="30"/>
      </items>
    </pivotField>
    <pivotField axis="axisRow" dataField="1" compact="0" outline="0" showAll="0" defaultSubtotal="0">
      <items count="310">
        <item x="117"/>
        <item x="300"/>
        <item x="146"/>
        <item x="147"/>
        <item x="148"/>
        <item x="149"/>
        <item x="301"/>
        <item x="254"/>
        <item x="54"/>
        <item x="72"/>
        <item x="167"/>
        <item x="166"/>
        <item x="168"/>
        <item x="26"/>
        <item x="290"/>
        <item x="182"/>
        <item x="119"/>
        <item x="109"/>
        <item x="110"/>
        <item x="17"/>
        <item x="35"/>
        <item x="32"/>
        <item x="39"/>
        <item x="144"/>
        <item x="172"/>
        <item x="195"/>
        <item x="236"/>
        <item x="24"/>
        <item x="23"/>
        <item x="106"/>
        <item m="1" x="307"/>
        <item x="64"/>
        <item x="198"/>
        <item x="303"/>
        <item x="243"/>
        <item x="288"/>
        <item x="248"/>
        <item x="187"/>
        <item x="193"/>
        <item x="50"/>
        <item x="159"/>
        <item x="160"/>
        <item x="298"/>
        <item x="203"/>
        <item x="95"/>
        <item x="137"/>
        <item x="284"/>
        <item x="59"/>
        <item x="60"/>
        <item x="41"/>
        <item x="212"/>
        <item x="134"/>
        <item x="28"/>
        <item x="233"/>
        <item x="304"/>
        <item x="251"/>
        <item x="245"/>
        <item x="244"/>
        <item x="196"/>
        <item x="265"/>
        <item x="305"/>
        <item x="295"/>
        <item x="58"/>
        <item x="87"/>
        <item x="86"/>
        <item x="150"/>
        <item x="259"/>
        <item x="100"/>
        <item x="176"/>
        <item x="101"/>
        <item x="115"/>
        <item x="7"/>
        <item x="131"/>
        <item x="214"/>
        <item x="183"/>
        <item x="126"/>
        <item x="246"/>
        <item x="184"/>
        <item x="78"/>
        <item x="80"/>
        <item x="79"/>
        <item x="241"/>
        <item x="122"/>
        <item x="94"/>
        <item x="98"/>
        <item m="1" x="308"/>
        <item x="44"/>
        <item x="27"/>
        <item x="204"/>
        <item x="11"/>
        <item x="158"/>
        <item x="34"/>
        <item x="12"/>
        <item x="33"/>
        <item x="99"/>
        <item x="128"/>
        <item x="306"/>
        <item x="120"/>
        <item x="25"/>
        <item x="5"/>
        <item x="276"/>
        <item x="53"/>
        <item x="36"/>
        <item x="40"/>
        <item x="181"/>
        <item x="49"/>
        <item x="96"/>
        <item x="97"/>
        <item x="138"/>
        <item x="57"/>
        <item x="129"/>
        <item x="130"/>
        <item x="197"/>
        <item x="85"/>
        <item x="145"/>
        <item x="257"/>
        <item x="71"/>
        <item x="90"/>
        <item x="43"/>
        <item x="104"/>
        <item x="103"/>
        <item x="281"/>
        <item x="210"/>
        <item x="227"/>
        <item x="218"/>
        <item x="219"/>
        <item x="93"/>
        <item x="217"/>
        <item x="226"/>
        <item x="216"/>
        <item x="84"/>
        <item x="213"/>
        <item x="92"/>
        <item x="185"/>
        <item x="255"/>
        <item x="186"/>
        <item x="268"/>
        <item x="267"/>
        <item x="293"/>
        <item x="189"/>
        <item x="250"/>
        <item x="62"/>
        <item x="287"/>
        <item x="292"/>
        <item x="161"/>
        <item x="152"/>
        <item x="235"/>
        <item x="230"/>
        <item x="231"/>
        <item x="232"/>
        <item x="46"/>
        <item x="201"/>
        <item x="202"/>
        <item x="45"/>
        <item x="188"/>
        <item x="240"/>
        <item x="63"/>
        <item x="66"/>
        <item x="211"/>
        <item x="192"/>
        <item x="153"/>
        <item x="285"/>
        <item x="282"/>
        <item x="283"/>
        <item x="234"/>
        <item x="48"/>
        <item x="199"/>
        <item x="200"/>
        <item x="47"/>
        <item x="151"/>
        <item x="238"/>
        <item x="178"/>
        <item x="253"/>
        <item x="55"/>
        <item x="38"/>
        <item x="37"/>
        <item x="8"/>
        <item x="10"/>
        <item x="9"/>
        <item x="15"/>
        <item x="14"/>
        <item x="171"/>
        <item x="170"/>
        <item x="143"/>
        <item x="142"/>
        <item x="289"/>
        <item x="61"/>
        <item x="89"/>
        <item x="157"/>
        <item x="4"/>
        <item x="2"/>
        <item x="1"/>
        <item x="0"/>
        <item x="270"/>
        <item x="299"/>
        <item x="174"/>
        <item x="175"/>
        <item x="173"/>
        <item x="242"/>
        <item x="51"/>
        <item x="13"/>
        <item x="302"/>
        <item x="56"/>
        <item x="280"/>
        <item x="16"/>
        <item x="162"/>
        <item x="154"/>
        <item x="177"/>
        <item x="88"/>
        <item x="229"/>
        <item x="224"/>
        <item x="228"/>
        <item x="221"/>
        <item x="222"/>
        <item x="21"/>
        <item x="22"/>
        <item x="19"/>
        <item x="20"/>
        <item x="156"/>
        <item x="207"/>
        <item x="108"/>
        <item x="107"/>
        <item x="102"/>
        <item x="114"/>
        <item x="113"/>
        <item x="132"/>
        <item x="252"/>
        <item x="68"/>
        <item x="135"/>
        <item x="136"/>
        <item x="269"/>
        <item x="190"/>
        <item x="164"/>
        <item x="169"/>
        <item x="91"/>
        <item x="112"/>
        <item x="111"/>
        <item x="81"/>
        <item x="77"/>
        <item x="52"/>
        <item x="239"/>
        <item x="123"/>
        <item x="249"/>
        <item x="76"/>
        <item x="297"/>
        <item x="31"/>
        <item x="30"/>
        <item x="194"/>
        <item x="206"/>
        <item x="139"/>
        <item x="3"/>
        <item x="124"/>
        <item x="125"/>
        <item x="215"/>
        <item x="127"/>
        <item x="121"/>
        <item x="294"/>
        <item m="1" x="309"/>
        <item x="191"/>
        <item x="116"/>
        <item x="118"/>
        <item x="263"/>
        <item x="264"/>
        <item x="141"/>
        <item x="272"/>
        <item x="133"/>
        <item x="179"/>
        <item x="266"/>
        <item x="18"/>
        <item x="65"/>
        <item x="67"/>
        <item x="69"/>
        <item x="73"/>
        <item x="74"/>
        <item x="75"/>
        <item x="82"/>
        <item x="83"/>
        <item x="140"/>
        <item x="180"/>
        <item x="205"/>
        <item x="208"/>
        <item x="209"/>
        <item x="220"/>
        <item x="223"/>
        <item x="225"/>
        <item x="237"/>
        <item x="247"/>
        <item x="256"/>
        <item x="258"/>
        <item x="260"/>
        <item x="261"/>
        <item x="262"/>
        <item x="271"/>
        <item x="273"/>
        <item x="274"/>
        <item x="275"/>
        <item x="277"/>
        <item x="278"/>
        <item x="279"/>
        <item x="286"/>
        <item x="291"/>
        <item x="70"/>
        <item x="296"/>
        <item x="42"/>
        <item x="165"/>
        <item x="29"/>
        <item x="6"/>
        <item x="155"/>
        <item x="163"/>
        <item x="105"/>
      </items>
    </pivotField>
    <pivotField compact="0" outline="0" showAll="0" defaultSubtotal="0"/>
    <pivotField compact="0" outline="0" showAll="0" defaultSubtotal="0"/>
    <pivotField axis="axisRow" compact="0" outline="0" multipleItemSelectionAllowed="1" showAll="0" defaultSubtotal="0">
      <items count="80">
        <item x="0"/>
        <item x="42"/>
        <item x="67"/>
        <item x="68"/>
        <item x="47"/>
        <item x="3"/>
        <item x="77"/>
        <item x="12"/>
        <item x="30"/>
        <item x="31"/>
        <item x="9"/>
        <item x="18"/>
        <item x="13"/>
        <item x="11"/>
        <item x="28"/>
        <item m="1" x="78"/>
        <item x="1"/>
        <item x="7"/>
        <item x="44"/>
        <item x="22"/>
        <item x="8"/>
        <item x="21"/>
        <item x="41"/>
        <item x="66"/>
        <item x="20"/>
        <item x="14"/>
        <item x="76"/>
        <item x="2"/>
        <item m="1" x="79"/>
        <item x="4"/>
        <item x="5"/>
        <item x="6"/>
        <item x="10"/>
        <item x="15"/>
        <item x="16"/>
        <item x="17"/>
        <item x="19"/>
        <item x="23"/>
        <item x="24"/>
        <item x="25"/>
        <item x="26"/>
        <item x="27"/>
        <item x="29"/>
        <item x="32"/>
        <item x="33"/>
        <item x="34"/>
        <item x="35"/>
        <item x="36"/>
        <item x="37"/>
        <item x="38"/>
        <item x="39"/>
        <item x="40"/>
        <item x="43"/>
        <item x="45"/>
        <item x="46"/>
        <item x="48"/>
        <item x="49"/>
        <item x="50"/>
        <item x="51"/>
        <item x="52"/>
        <item x="53"/>
        <item x="54"/>
        <item x="55"/>
        <item x="56"/>
        <item x="57"/>
        <item x="58"/>
        <item x="59"/>
        <item x="60"/>
        <item x="61"/>
        <item x="62"/>
        <item x="63"/>
        <item x="64"/>
        <item x="65"/>
        <item x="69"/>
        <item x="70"/>
        <item x="71"/>
        <item x="72"/>
        <item x="73"/>
        <item x="74"/>
        <item x="75"/>
      </items>
    </pivotField>
    <pivotField compact="0" outline="0" subtotalTop="0" showAll="0" defaultSubtotal="0"/>
    <pivotField axis="axisRow" compact="0" outline="0" showAll="0" defaultSubtotal="0">
      <items count="10">
        <item x="8"/>
        <item x="9"/>
        <item x="4"/>
        <item x="3"/>
        <item x="2"/>
        <item x="1"/>
        <item x="6"/>
        <item x="7"/>
        <item x="5"/>
        <item x="0"/>
      </items>
    </pivotField>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4" outline="0" subtotalTop="0" showAll="0" defaultSubtotal="0"/>
    <pivotField compact="0" outline="0" showAll="0" defaultSubtotal="0"/>
    <pivotField axis="axisRow" compact="0" outline="0" subtotalTop="0" showAll="0" sortType="descending" defaultSubtotal="0">
      <items count="4">
        <item h="1" x="2"/>
        <item h="1" x="3"/>
        <item x="1"/>
        <item h="1" x="0"/>
      </items>
    </pivotField>
    <pivotField compact="0" outline="0" subtotalTop="0" showAll="0" defaultSubtotal="0"/>
  </pivotFields>
  <rowFields count="5">
    <field x="20"/>
    <field x="3"/>
    <field x="8"/>
    <field x="6"/>
    <field x="2"/>
  </rowFields>
  <rowItems count="189">
    <i>
      <x v="2"/>
      <x v="2"/>
      <x v="9"/>
      <x v="4"/>
      <x v="25"/>
    </i>
    <i r="1">
      <x v="4"/>
      <x v="9"/>
      <x v="4"/>
      <x v="25"/>
    </i>
    <i r="1">
      <x v="7"/>
      <x v="7"/>
      <x v="17"/>
      <x v="19"/>
    </i>
    <i r="1">
      <x v="13"/>
      <x v="9"/>
      <x v="17"/>
      <x v="60"/>
    </i>
    <i r="1">
      <x v="14"/>
      <x v="5"/>
      <x v="3"/>
      <x v="54"/>
    </i>
    <i r="1">
      <x v="15"/>
      <x v="9"/>
      <x v="20"/>
      <x v="62"/>
    </i>
    <i r="1">
      <x v="20"/>
      <x v="9"/>
      <x v="17"/>
      <x v="60"/>
    </i>
    <i r="1">
      <x v="21"/>
      <x v="9"/>
      <x v="17"/>
      <x v="60"/>
    </i>
    <i r="1">
      <x v="22"/>
      <x v="9"/>
      <x v="17"/>
      <x v="60"/>
    </i>
    <i r="1">
      <x v="23"/>
      <x v="9"/>
      <x v="53"/>
      <x v="25"/>
    </i>
    <i r="1">
      <x v="25"/>
      <x v="9"/>
      <x v="20"/>
      <x v="40"/>
    </i>
    <i r="1">
      <x v="26"/>
      <x v="6"/>
      <x v="20"/>
      <x v="16"/>
    </i>
    <i r="1">
      <x v="31"/>
      <x v="4"/>
      <x v="16"/>
      <x v="22"/>
    </i>
    <i r="1">
      <x v="32"/>
      <x v="4"/>
      <x v="17"/>
      <x v="9"/>
    </i>
    <i r="1">
      <x v="34"/>
      <x v="7"/>
      <x v="77"/>
      <x v="20"/>
    </i>
    <i r="1">
      <x v="35"/>
      <x v="5"/>
      <x v="20"/>
      <x v="53"/>
    </i>
    <i r="1">
      <x v="36"/>
      <x v="7"/>
      <x v="20"/>
      <x v="19"/>
    </i>
    <i r="1">
      <x v="37"/>
      <x v="9"/>
      <x v="20"/>
      <x v="62"/>
    </i>
    <i r="1">
      <x v="38"/>
      <x v="9"/>
      <x v="20"/>
      <x v="40"/>
    </i>
    <i r="1">
      <x v="40"/>
      <x v="9"/>
      <x v="20"/>
      <x v="25"/>
    </i>
    <i r="1">
      <x v="41"/>
      <x v="9"/>
      <x v="4"/>
      <x v="25"/>
    </i>
    <i r="1">
      <x v="42"/>
      <x v="9"/>
      <x v="14"/>
      <x v="57"/>
    </i>
    <i r="1">
      <x v="43"/>
      <x v="4"/>
      <x v="69"/>
      <x v="9"/>
    </i>
    <i r="1">
      <x v="45"/>
      <x v="5"/>
      <x v="1"/>
      <x v="46"/>
    </i>
    <i r="1">
      <x v="46"/>
      <x v="5"/>
      <x v="3"/>
      <x v="52"/>
    </i>
    <i r="1">
      <x v="47"/>
      <x v="4"/>
      <x v="16"/>
      <x v="22"/>
    </i>
    <i r="1">
      <x v="48"/>
      <x v="4"/>
      <x v="16"/>
      <x v="22"/>
    </i>
    <i r="1">
      <x v="49"/>
      <x v="9"/>
      <x v="17"/>
      <x v="60"/>
    </i>
    <i r="1">
      <x v="50"/>
      <x v="8"/>
      <x v="72"/>
      <x v="29"/>
    </i>
    <i r="1">
      <x v="51"/>
      <x v="4"/>
      <x v="14"/>
      <x v="45"/>
    </i>
    <i r="1">
      <x v="53"/>
      <x v="6"/>
      <x v="3"/>
      <x v="3"/>
    </i>
    <i r="1">
      <x v="54"/>
      <x v="9"/>
      <x v="17"/>
      <x v="59"/>
    </i>
    <i r="1">
      <x v="55"/>
      <x v="7"/>
      <x v="20"/>
      <x v="19"/>
    </i>
    <i r="1">
      <x v="58"/>
      <x v="4"/>
      <x v="67"/>
      <x v="9"/>
    </i>
    <i r="1">
      <x v="59"/>
      <x v="5"/>
      <x v="79"/>
      <x v="32"/>
    </i>
    <i r="1">
      <x v="61"/>
      <x v="5"/>
      <x v="20"/>
      <x v="5"/>
    </i>
    <i r="1">
      <x v="62"/>
      <x v="4"/>
      <x v="16"/>
      <x v="22"/>
    </i>
    <i r="1">
      <x v="63"/>
      <x v="4"/>
      <x v="20"/>
      <x v="41"/>
    </i>
    <i r="1">
      <x v="65"/>
      <x v="9"/>
      <x v="55"/>
      <x v="25"/>
    </i>
    <i r="1">
      <x v="66"/>
      <x v="1"/>
      <x v="20"/>
      <x v="23"/>
    </i>
    <i r="1">
      <x v="68"/>
      <x v="9"/>
      <x v="20"/>
      <x v="39"/>
    </i>
    <i r="1">
      <x v="70"/>
      <x v="4"/>
      <x v="22"/>
      <x v="1"/>
    </i>
    <i r="1">
      <x v="72"/>
      <x v="4"/>
      <x v="1"/>
      <x v="44"/>
    </i>
    <i r="1">
      <x v="73"/>
      <x v="6"/>
      <x v="20"/>
      <x v="7"/>
    </i>
    <i r="1">
      <x v="74"/>
      <x v="9"/>
      <x v="20"/>
      <x v="62"/>
    </i>
    <i r="1">
      <x v="75"/>
      <x v="4"/>
      <x v="20"/>
      <x v="1"/>
    </i>
    <i r="1">
      <x v="77"/>
      <x v="9"/>
      <x v="14"/>
      <x v="62"/>
    </i>
    <i r="1">
      <x v="78"/>
      <x v="5"/>
      <x v="20"/>
      <x v="38"/>
    </i>
    <i r="1">
      <x v="81"/>
      <x v="7"/>
      <x v="75"/>
      <x v="20"/>
    </i>
    <i r="1">
      <x v="82"/>
      <x v="4"/>
      <x v="20"/>
      <x v="1"/>
    </i>
    <i r="1">
      <x v="83"/>
      <x v="4"/>
      <x v="20"/>
      <x v="41"/>
    </i>
    <i r="1">
      <x v="84"/>
      <x v="4"/>
      <x v="8"/>
      <x v="41"/>
    </i>
    <i r="1">
      <x v="87"/>
      <x v="9"/>
      <x v="17"/>
      <x v="60"/>
    </i>
    <i r="1">
      <x v="88"/>
      <x v="4"/>
      <x v="17"/>
      <x v="13"/>
    </i>
    <i r="1">
      <x v="89"/>
      <x v="9"/>
      <x v="17"/>
      <x v="27"/>
    </i>
    <i r="1">
      <x v="90"/>
      <x v="9"/>
      <x v="17"/>
      <x v="25"/>
    </i>
    <i r="1">
      <x v="91"/>
      <x v="9"/>
      <x v="17"/>
      <x v="60"/>
    </i>
    <i r="1">
      <x v="92"/>
      <x v="9"/>
      <x v="17"/>
      <x v="27"/>
    </i>
    <i r="1">
      <x v="93"/>
      <x v="9"/>
      <x v="17"/>
      <x v="60"/>
    </i>
    <i r="1">
      <x v="94"/>
      <x v="4"/>
      <x v="9"/>
      <x v="41"/>
    </i>
    <i r="1">
      <x v="97"/>
      <x v="4"/>
      <x v="20"/>
      <x v="1"/>
    </i>
    <i r="1">
      <x v="99"/>
      <x v="9"/>
      <x v="16"/>
      <x v="22"/>
    </i>
    <i r="1">
      <x v="100"/>
      <x v="5"/>
      <x v="3"/>
      <x v="50"/>
    </i>
    <i r="1">
      <x v="104"/>
      <x v="9"/>
      <x v="20"/>
      <x v="62"/>
    </i>
    <i r="1">
      <x v="108"/>
      <x v="5"/>
      <x v="18"/>
      <x v="46"/>
    </i>
    <i r="1">
      <x v="109"/>
      <x v="4"/>
      <x v="16"/>
      <x v="22"/>
    </i>
    <i r="1">
      <x v="112"/>
      <x v="4"/>
      <x v="68"/>
      <x v="9"/>
    </i>
    <i r="1">
      <x v="115"/>
      <x/>
      <x v="78"/>
      <x v="14"/>
    </i>
    <i r="1">
      <x v="116"/>
      <x v="5"/>
      <x v="20"/>
      <x v="15"/>
    </i>
    <i r="1">
      <x v="121"/>
      <x v="5"/>
      <x v="14"/>
      <x v="51"/>
    </i>
    <i r="1">
      <x v="122"/>
      <x v="8"/>
      <x v="20"/>
      <x v="25"/>
    </i>
    <i r="1">
      <x v="124"/>
      <x v="6"/>
      <x v="20"/>
      <x v="7"/>
    </i>
    <i r="1">
      <x v="125"/>
      <x v="6"/>
      <x/>
      <x v="7"/>
    </i>
    <i r="1">
      <x v="126"/>
      <x v="4"/>
      <x v="20"/>
      <x v="41"/>
    </i>
    <i r="1">
      <x v="127"/>
      <x v="6"/>
      <x/>
      <x v="7"/>
    </i>
    <i r="1">
      <x v="129"/>
      <x v="6"/>
      <x v="20"/>
      <x v="7"/>
    </i>
    <i r="1">
      <x v="131"/>
      <x v="8"/>
      <x v="17"/>
      <x v="29"/>
    </i>
    <i r="1">
      <x v="132"/>
      <x v="4"/>
      <x v="20"/>
      <x v="41"/>
    </i>
    <i r="1">
      <x v="133"/>
      <x v="9"/>
      <x v="20"/>
      <x v="62"/>
    </i>
    <i r="1">
      <x v="134"/>
      <x v="7"/>
      <x v="20"/>
      <x v="47"/>
    </i>
    <i r="1">
      <x v="135"/>
      <x v="9"/>
      <x v="14"/>
      <x v="62"/>
    </i>
    <i r="1">
      <x v="138"/>
      <x v="5"/>
      <x v="20"/>
      <x v="54"/>
    </i>
    <i r="1">
      <x v="139"/>
      <x v="9"/>
      <x v="20"/>
      <x v="62"/>
    </i>
    <i r="1">
      <x v="140"/>
      <x v="7"/>
      <x v="20"/>
      <x v="19"/>
    </i>
    <i r="1">
      <x v="141"/>
      <x v="4"/>
      <x v="16"/>
      <x v="22"/>
    </i>
    <i r="1">
      <x v="142"/>
      <x v="5"/>
      <x v="20"/>
      <x v="53"/>
    </i>
    <i r="1">
      <x v="143"/>
      <x v="5"/>
      <x v="20"/>
      <x v="54"/>
    </i>
    <i r="1">
      <x v="144"/>
      <x v="9"/>
      <x v="59"/>
      <x v="25"/>
    </i>
    <i r="1">
      <x v="145"/>
      <x v="9"/>
      <x v="56"/>
      <x v="25"/>
    </i>
    <i r="1">
      <x v="146"/>
      <x v="6"/>
      <x v="20"/>
      <x v="16"/>
    </i>
    <i r="1">
      <x v="147"/>
      <x v="6"/>
      <x v="20"/>
      <x v="4"/>
    </i>
    <i r="1">
      <x v="148"/>
      <x v="6"/>
      <x v="20"/>
      <x v="4"/>
    </i>
    <i r="1">
      <x v="149"/>
      <x v="6"/>
      <x v="20"/>
      <x v="4"/>
    </i>
    <i r="1">
      <x v="154"/>
      <x v="9"/>
      <x v="20"/>
      <x v="62"/>
    </i>
    <i r="1">
      <x v="155"/>
      <x v="7"/>
      <x v="74"/>
      <x v="20"/>
    </i>
    <i r="1">
      <x v="156"/>
      <x v="4"/>
      <x v="16"/>
      <x v="22"/>
    </i>
    <i r="1">
      <x v="157"/>
      <x v="4"/>
      <x v="16"/>
      <x v="22"/>
    </i>
    <i r="1">
      <x v="158"/>
      <x v="8"/>
      <x v="17"/>
      <x v="29"/>
    </i>
    <i r="1">
      <x v="159"/>
      <x v="9"/>
      <x v="20"/>
      <x v="40"/>
    </i>
    <i r="1">
      <x v="160"/>
      <x v="9"/>
      <x v="57"/>
      <x v="25"/>
    </i>
    <i r="1">
      <x v="161"/>
      <x v="5"/>
      <x v="20"/>
      <x v="52"/>
    </i>
    <i r="1">
      <x v="162"/>
      <x v="5"/>
      <x v="14"/>
      <x v="51"/>
    </i>
    <i r="1">
      <x v="164"/>
      <x v="6"/>
      <x v="20"/>
      <x v="16"/>
    </i>
    <i r="1">
      <x v="171"/>
      <x v="9"/>
      <x v="20"/>
      <x v="39"/>
    </i>
    <i r="1">
      <x v="172"/>
      <x v="7"/>
      <x v="17"/>
      <x v="19"/>
    </i>
    <i r="1">
      <x v="173"/>
      <x v="4"/>
      <x v="24"/>
      <x v="24"/>
    </i>
    <i r="1">
      <x v="175"/>
      <x v="9"/>
      <x v="17"/>
      <x v="60"/>
    </i>
    <i r="1">
      <x v="179"/>
      <x v="9"/>
      <x v="20"/>
      <x v="27"/>
    </i>
    <i r="1">
      <x v="182"/>
      <x v="9"/>
      <x v="62"/>
      <x v="28"/>
    </i>
    <i r="1">
      <x v="183"/>
      <x v="9"/>
      <x v="14"/>
      <x v="25"/>
    </i>
    <i r="1">
      <x v="184"/>
      <x v="9"/>
      <x v="20"/>
      <x v="25"/>
    </i>
    <i r="1">
      <x v="185"/>
      <x v="5"/>
      <x v="20"/>
      <x v="53"/>
    </i>
    <i r="1">
      <x v="186"/>
      <x v="4"/>
      <x v="16"/>
      <x v="22"/>
    </i>
    <i r="1">
      <x v="187"/>
      <x v="4"/>
      <x v="20"/>
      <x v="41"/>
    </i>
    <i r="1">
      <x v="193"/>
      <x v="5"/>
      <x v="3"/>
      <x v="50"/>
    </i>
    <i r="1">
      <x v="194"/>
      <x v="9"/>
      <x v="20"/>
      <x v="57"/>
    </i>
    <i r="1">
      <x v="197"/>
      <x v="9"/>
      <x v="64"/>
      <x v="28"/>
    </i>
    <i r="1">
      <x v="198"/>
      <x v="7"/>
      <x v="76"/>
      <x v="20"/>
    </i>
    <i r="1">
      <x v="199"/>
      <x v="9"/>
      <x v="17"/>
      <x v="34"/>
    </i>
    <i r="1">
      <x v="200"/>
      <x v="5"/>
      <x v="20"/>
      <x v="27"/>
    </i>
    <i r="1">
      <x v="202"/>
      <x v="4"/>
      <x v="21"/>
      <x v="21"/>
    </i>
    <i r="1">
      <x v="203"/>
      <x v="5"/>
      <x v="1"/>
      <x v="50"/>
    </i>
    <i r="1">
      <x v="204"/>
      <x v="9"/>
      <x v="32"/>
      <x v="27"/>
    </i>
    <i r="1">
      <x v="205"/>
      <x v="9"/>
      <x v="17"/>
      <x v="25"/>
    </i>
    <i r="1">
      <x v="206"/>
      <x v="9"/>
      <x v="58"/>
      <x v="25"/>
    </i>
    <i r="1">
      <x v="207"/>
      <x v="9"/>
      <x v="66"/>
      <x v="39"/>
    </i>
    <i r="1">
      <x v="208"/>
      <x v="9"/>
      <x v="40"/>
      <x v="25"/>
    </i>
    <i r="1">
      <x v="210"/>
      <x v="6"/>
      <x v="14"/>
      <x v="7"/>
    </i>
    <i r="1">
      <x v="212"/>
      <x v="6"/>
      <x v="20"/>
      <x v="7"/>
    </i>
    <i r="1">
      <x v="213"/>
      <x v="6"/>
      <x/>
      <x v="7"/>
    </i>
    <i r="1">
      <x v="214"/>
      <x v="9"/>
      <x v="20"/>
      <x v="35"/>
    </i>
    <i r="1">
      <x v="215"/>
      <x v="9"/>
      <x v="12"/>
      <x v="35"/>
    </i>
    <i r="1">
      <x v="218"/>
      <x v="9"/>
      <x v="4"/>
      <x v="25"/>
    </i>
    <i r="1">
      <x v="219"/>
      <x v="3"/>
      <x v="71"/>
      <x v="33"/>
    </i>
    <i r="1">
      <x v="226"/>
      <x v="7"/>
      <x v="20"/>
      <x v="19"/>
    </i>
    <i r="1">
      <x v="229"/>
      <x v="4"/>
      <x v="52"/>
      <x v="45"/>
    </i>
    <i r="1">
      <x v="230"/>
      <x v="5"/>
      <x v="20"/>
      <x v="49"/>
    </i>
    <i r="1">
      <x v="231"/>
      <x v="9"/>
      <x v="17"/>
      <x v="62"/>
    </i>
    <i r="1">
      <x v="232"/>
      <x v="9"/>
      <x v="20"/>
      <x v="25"/>
    </i>
    <i r="1">
      <x v="240"/>
      <x v="7"/>
      <x v="73"/>
      <x v="20"/>
    </i>
    <i r="1">
      <x v="242"/>
      <x v="7"/>
      <x v="14"/>
      <x v="19"/>
    </i>
    <i r="1">
      <x v="244"/>
      <x v="5"/>
      <x v="1"/>
      <x v="56"/>
    </i>
    <i r="1">
      <x v="245"/>
      <x v="9"/>
      <x v="17"/>
      <x v="60"/>
    </i>
    <i r="1">
      <x v="246"/>
      <x v="9"/>
      <x v="17"/>
      <x v="60"/>
    </i>
    <i r="1">
      <x v="247"/>
      <x v="9"/>
      <x v="20"/>
      <x v="40"/>
    </i>
    <i r="1">
      <x v="253"/>
      <x v="6"/>
      <x v="23"/>
      <x v="7"/>
    </i>
    <i r="1">
      <x v="255"/>
      <x v="4"/>
      <x v="20"/>
      <x v="1"/>
    </i>
    <i r="1">
      <x v="256"/>
      <x v="5"/>
      <x v="17"/>
      <x v="5"/>
    </i>
    <i r="1">
      <x v="258"/>
      <x v="9"/>
      <x v="20"/>
      <x v="40"/>
    </i>
    <i r="1">
      <x v="259"/>
      <x v="4"/>
      <x v="20"/>
      <x v="1"/>
    </i>
    <i r="1">
      <x v="260"/>
      <x v="4"/>
      <x v="20"/>
      <x v="1"/>
    </i>
    <i r="1">
      <x v="261"/>
      <x v="5"/>
      <x v="20"/>
      <x v="48"/>
    </i>
    <i r="1">
      <x v="262"/>
      <x v="5"/>
      <x v="20"/>
      <x v="48"/>
    </i>
    <i r="1">
      <x v="264"/>
      <x v="5"/>
      <x v="3"/>
      <x v="50"/>
    </i>
    <i r="1">
      <x v="266"/>
      <x v="9"/>
      <x v="20"/>
      <x v="62"/>
    </i>
    <i r="1">
      <x v="269"/>
      <x v="4"/>
      <x v="16"/>
      <x v="22"/>
    </i>
    <i r="1">
      <x v="270"/>
      <x v="4"/>
      <x v="16"/>
      <x v="22"/>
    </i>
    <i r="1">
      <x v="271"/>
      <x v="4"/>
      <x v="20"/>
      <x v="61"/>
    </i>
    <i r="1">
      <x v="272"/>
      <x v="5"/>
      <x v="20"/>
      <x v="38"/>
    </i>
    <i r="1">
      <x v="273"/>
      <x v="5"/>
      <x v="20"/>
      <x v="38"/>
    </i>
    <i r="1">
      <x v="275"/>
      <x v="5"/>
      <x v="20"/>
      <x v="38"/>
    </i>
    <i r="1">
      <x v="276"/>
      <x v="5"/>
      <x v="20"/>
      <x v="61"/>
    </i>
    <i r="1">
      <x v="277"/>
      <x v="4"/>
      <x v="20"/>
      <x v="61"/>
    </i>
    <i r="1">
      <x v="279"/>
      <x v="4"/>
      <x v="20"/>
      <x v="61"/>
    </i>
    <i r="1">
      <x v="280"/>
      <x v="3"/>
      <x v="20"/>
      <x v="61"/>
    </i>
    <i r="1">
      <x v="281"/>
      <x v="2"/>
      <x v="20"/>
      <x v="26"/>
    </i>
    <i r="1">
      <x v="282"/>
      <x v="6"/>
      <x v="20"/>
      <x v="7"/>
    </i>
    <i r="1">
      <x v="283"/>
      <x v="6"/>
      <x v="20"/>
      <x v="7"/>
    </i>
    <i r="1">
      <x v="284"/>
      <x v="6"/>
      <x v="20"/>
      <x v="7"/>
    </i>
    <i r="1">
      <x v="285"/>
      <x v="6"/>
      <x v="20"/>
      <x v="16"/>
    </i>
    <i r="1">
      <x v="286"/>
      <x v="7"/>
      <x v="20"/>
      <x v="19"/>
    </i>
    <i r="1">
      <x v="287"/>
      <x v="7"/>
      <x v="20"/>
      <x v="47"/>
    </i>
    <i r="1">
      <x v="288"/>
      <x/>
      <x v="20"/>
      <x v="14"/>
    </i>
    <i r="1">
      <x v="289"/>
      <x v="2"/>
      <x v="20"/>
      <x v="61"/>
    </i>
    <i r="1">
      <x v="290"/>
      <x v="4"/>
      <x v="16"/>
      <x v="10"/>
    </i>
    <i r="1">
      <x v="291"/>
      <x v="4"/>
      <x v="20"/>
      <x v="10"/>
    </i>
    <i r="1">
      <x v="292"/>
      <x v="5"/>
      <x v="20"/>
      <x v="50"/>
    </i>
    <i r="1">
      <x v="293"/>
      <x v="5"/>
      <x v="20"/>
      <x v="50"/>
    </i>
    <i r="1">
      <x v="294"/>
      <x v="5"/>
      <x v="3"/>
      <x v="50"/>
    </i>
    <i r="1">
      <x v="295"/>
      <x v="5"/>
      <x v="20"/>
      <x v="50"/>
    </i>
    <i r="1">
      <x v="296"/>
      <x v="5"/>
      <x v="20"/>
      <x v="50"/>
    </i>
    <i r="1">
      <x v="297"/>
      <x v="5"/>
      <x v="3"/>
      <x v="50"/>
    </i>
    <i r="1">
      <x v="298"/>
      <x v="5"/>
      <x v="20"/>
      <x v="50"/>
    </i>
    <i r="1">
      <x v="299"/>
      <x v="5"/>
      <x v="20"/>
      <x v="52"/>
    </i>
    <i r="1">
      <x v="300"/>
      <x v="5"/>
      <x v="20"/>
      <x v="54"/>
    </i>
    <i r="1">
      <x v="301"/>
      <x v="4"/>
      <x v="19"/>
      <x v="11"/>
    </i>
    <i r="1">
      <x v="305"/>
      <x v="9"/>
      <x v="17"/>
      <x v="60"/>
    </i>
    <i r="1">
      <x v="306"/>
      <x v="9"/>
      <x v="27"/>
      <x v="27"/>
    </i>
    <i t="grand">
      <x/>
    </i>
  </rowItems>
  <colItems count="1">
    <i/>
  </colItems>
  <dataFields count="1">
    <dataField name="Count of field names in Trng deck"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7EF5B2-E560-4B74-9435-9830252164B9}" name="PivotTable1" cacheId="5"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location ref="A6:M53" firstHeaderRow="1" firstDataRow="2" firstDataCol="2"/>
  <pivotFields count="26">
    <pivotField compact="0" outline="0" subtotalTop="0" showAll="0" defaultSubtotal="0"/>
    <pivotField axis="axisRow" compact="0" outline="0" subtotalTop="0" showAll="0" defaultSubtotal="0">
      <items count="23">
        <item x="16"/>
        <item x="17"/>
        <item x="18"/>
        <item x="12"/>
        <item x="11"/>
        <item x="19"/>
        <item x="4"/>
        <item x="1"/>
        <item x="7"/>
        <item x="2"/>
        <item x="10"/>
        <item x="8"/>
        <item x="20"/>
        <item x="21"/>
        <item x="3"/>
        <item x="6"/>
        <item x="14"/>
        <item x="15"/>
        <item x="13"/>
        <item x="0"/>
        <item x="22"/>
        <item x="5"/>
        <item x="9"/>
      </items>
    </pivotField>
    <pivotField compact="0" outline="0" showAll="0" defaultSubtotal="0"/>
    <pivotField dataField="1" compact="0" outline="0" showAll="0" defaultSubtotal="0"/>
    <pivotField compact="0" outline="0" showAll="0" defaultSubtotal="0"/>
    <pivotField compact="0" outline="0" showAll="0" defaultSubtotal="0"/>
    <pivotField compact="0" outline="0" multipleItemSelectionAllowed="1" showAll="0" defaultSubtotal="0"/>
    <pivotField compact="0" outline="0" subtotalTop="0" showAll="0" defaultSubtotal="0"/>
    <pivotField axis="axisCol" compact="0" outline="0" showAll="0" defaultSubtotal="0">
      <items count="10">
        <item x="8"/>
        <item x="9"/>
        <item x="4"/>
        <item x="3"/>
        <item x="2"/>
        <item x="1"/>
        <item x="6"/>
        <item x="7"/>
        <item x="5"/>
        <item x="0"/>
      </items>
    </pivotField>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4" outline="0" subtotalTop="0" showAll="0" defaultSubtotal="0"/>
    <pivotField compact="0" outline="0" showAll="0" defaultSubtotal="0"/>
    <pivotField axis="axisRow" compact="0" outline="0" subtotalTop="0" showAll="0" sortType="descending">
      <items count="5">
        <item x="2"/>
        <item x="3"/>
        <item x="1"/>
        <item x="0"/>
        <item t="default"/>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20"/>
    <field x="1"/>
  </rowFields>
  <rowItems count="46">
    <i>
      <x/>
      <x v="6"/>
    </i>
    <i r="1">
      <x v="16"/>
    </i>
    <i r="1">
      <x v="19"/>
    </i>
    <i r="1">
      <x v="20"/>
    </i>
    <i t="default">
      <x/>
    </i>
    <i>
      <x v="1"/>
      <x v="6"/>
    </i>
    <i r="1">
      <x v="7"/>
    </i>
    <i r="1">
      <x v="8"/>
    </i>
    <i r="1">
      <x v="10"/>
    </i>
    <i r="1">
      <x v="19"/>
    </i>
    <i r="1">
      <x v="20"/>
    </i>
    <i r="1">
      <x v="21"/>
    </i>
    <i t="default">
      <x v="1"/>
    </i>
    <i>
      <x v="2"/>
      <x/>
    </i>
    <i r="1">
      <x v="1"/>
    </i>
    <i r="1">
      <x v="2"/>
    </i>
    <i r="1">
      <x v="3"/>
    </i>
    <i r="1">
      <x v="4"/>
    </i>
    <i r="1">
      <x v="5"/>
    </i>
    <i r="1">
      <x v="6"/>
    </i>
    <i r="1">
      <x v="7"/>
    </i>
    <i r="1">
      <x v="9"/>
    </i>
    <i r="1">
      <x v="10"/>
    </i>
    <i r="1">
      <x v="11"/>
    </i>
    <i r="1">
      <x v="12"/>
    </i>
    <i r="1">
      <x v="13"/>
    </i>
    <i r="1">
      <x v="14"/>
    </i>
    <i r="1">
      <x v="15"/>
    </i>
    <i r="1">
      <x v="16"/>
    </i>
    <i r="1">
      <x v="17"/>
    </i>
    <i r="1">
      <x v="18"/>
    </i>
    <i r="1">
      <x v="19"/>
    </i>
    <i r="1">
      <x v="20"/>
    </i>
    <i r="1">
      <x v="21"/>
    </i>
    <i t="default">
      <x v="2"/>
    </i>
    <i>
      <x v="3"/>
      <x v="6"/>
    </i>
    <i r="1">
      <x v="10"/>
    </i>
    <i r="1">
      <x v="12"/>
    </i>
    <i r="1">
      <x v="13"/>
    </i>
    <i r="1">
      <x v="14"/>
    </i>
    <i r="1">
      <x v="17"/>
    </i>
    <i r="1">
      <x v="19"/>
    </i>
    <i r="1">
      <x v="21"/>
    </i>
    <i r="1">
      <x v="22"/>
    </i>
    <i t="default">
      <x v="3"/>
    </i>
    <i t="grand">
      <x/>
    </i>
  </rowItems>
  <colFields count="1">
    <field x="8"/>
  </colFields>
  <colItems count="11">
    <i>
      <x/>
    </i>
    <i>
      <x v="1"/>
    </i>
    <i>
      <x v="2"/>
    </i>
    <i>
      <x v="3"/>
    </i>
    <i>
      <x v="4"/>
    </i>
    <i>
      <x v="5"/>
    </i>
    <i>
      <x v="6"/>
    </i>
    <i>
      <x v="7"/>
    </i>
    <i>
      <x v="8"/>
    </i>
    <i>
      <x v="9"/>
    </i>
    <i t="grand">
      <x/>
    </i>
  </colItems>
  <dataFields count="1">
    <dataField name="Count of field names in Trng deck" fld="3" subtotal="count" baseField="0" baseItem="0"/>
  </dataFields>
  <formats count="1">
    <format dxfId="13">
      <pivotArea dataOnly="0" outline="0" fieldPosition="0">
        <references count="1">
          <reference field="20" count="0" defaultSubtotal="1"/>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D75DE4-691D-4FFA-9CE9-D8FA446B0A27}" name="PivotTable3" cacheId="3"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location ref="R6:W64" firstHeaderRow="2" firstDataRow="2" firstDataCol="5"/>
  <pivotFields count="22">
    <pivotField compact="0" outline="0" subtotalTop="0" showAll="0" defaultSubtotal="0"/>
    <pivotField compact="0" outline="0" subtotalTop="0" showAll="0" defaultSubtotal="0"/>
    <pivotField axis="axisRow" compact="0" outline="0" showAll="0" defaultSubtotal="0">
      <items count="63">
        <item x="26"/>
        <item x="21"/>
        <item m="1" x="62"/>
        <item x="40"/>
        <item x="39"/>
        <item x="56"/>
        <item x="7"/>
        <item x="37"/>
        <item x="38"/>
        <item x="32"/>
        <item x="47"/>
        <item x="14"/>
        <item x="10"/>
        <item x="33"/>
        <item x="45"/>
        <item x="15"/>
        <item x="41"/>
        <item x="25"/>
        <item x="6"/>
        <item x="43"/>
        <item x="42"/>
        <item x="12"/>
        <item x="1"/>
        <item x="46"/>
        <item x="11"/>
        <item x="18"/>
        <item x="35"/>
        <item x="2"/>
        <item x="28"/>
        <item x="36"/>
        <item x="4"/>
        <item x="0"/>
        <item x="49"/>
        <item x="34"/>
        <item x="8"/>
        <item x="3"/>
        <item x="27"/>
        <item x="9"/>
        <item x="16"/>
        <item x="29"/>
        <item x="31"/>
        <item x="17"/>
        <item x="19"/>
        <item x="20"/>
        <item x="22"/>
        <item x="23"/>
        <item x="24"/>
        <item x="44"/>
        <item x="48"/>
        <item x="50"/>
        <item x="51"/>
        <item x="52"/>
        <item x="53"/>
        <item x="54"/>
        <item x="55"/>
        <item x="57"/>
        <item x="58"/>
        <item x="59"/>
        <item x="60"/>
        <item x="61"/>
        <item x="5"/>
        <item x="13"/>
        <item x="30"/>
      </items>
    </pivotField>
    <pivotField axis="axisRow" dataField="1" compact="0" outline="0" showAll="0" defaultSubtotal="0">
      <items count="310">
        <item x="117"/>
        <item x="300"/>
        <item x="146"/>
        <item x="147"/>
        <item x="148"/>
        <item x="149"/>
        <item x="301"/>
        <item x="254"/>
        <item x="54"/>
        <item x="72"/>
        <item x="167"/>
        <item x="166"/>
        <item x="168"/>
        <item x="26"/>
        <item x="290"/>
        <item x="182"/>
        <item x="119"/>
        <item x="109"/>
        <item x="110"/>
        <item x="17"/>
        <item x="35"/>
        <item x="32"/>
        <item x="39"/>
        <item x="144"/>
        <item x="172"/>
        <item x="195"/>
        <item x="236"/>
        <item x="24"/>
        <item x="23"/>
        <item x="106"/>
        <item m="1" x="307"/>
        <item x="64"/>
        <item x="198"/>
        <item x="303"/>
        <item x="243"/>
        <item x="288"/>
        <item x="248"/>
        <item x="187"/>
        <item x="193"/>
        <item x="50"/>
        <item x="159"/>
        <item x="160"/>
        <item x="298"/>
        <item x="203"/>
        <item x="95"/>
        <item x="137"/>
        <item x="284"/>
        <item x="59"/>
        <item x="60"/>
        <item x="41"/>
        <item x="212"/>
        <item x="134"/>
        <item x="28"/>
        <item x="233"/>
        <item x="304"/>
        <item x="251"/>
        <item x="245"/>
        <item x="244"/>
        <item x="196"/>
        <item x="265"/>
        <item x="305"/>
        <item x="295"/>
        <item x="58"/>
        <item x="87"/>
        <item x="86"/>
        <item x="150"/>
        <item x="259"/>
        <item x="100"/>
        <item x="176"/>
        <item x="101"/>
        <item x="115"/>
        <item x="7"/>
        <item x="131"/>
        <item x="214"/>
        <item x="183"/>
        <item x="126"/>
        <item x="246"/>
        <item x="184"/>
        <item x="78"/>
        <item x="80"/>
        <item x="79"/>
        <item x="241"/>
        <item x="122"/>
        <item x="94"/>
        <item x="98"/>
        <item m="1" x="308"/>
        <item x="44"/>
        <item x="27"/>
        <item x="204"/>
        <item x="11"/>
        <item x="158"/>
        <item x="34"/>
        <item x="12"/>
        <item x="33"/>
        <item x="99"/>
        <item x="128"/>
        <item x="306"/>
        <item x="120"/>
        <item x="25"/>
        <item x="5"/>
        <item x="276"/>
        <item x="53"/>
        <item x="36"/>
        <item x="40"/>
        <item x="181"/>
        <item x="49"/>
        <item x="96"/>
        <item x="97"/>
        <item x="138"/>
        <item x="57"/>
        <item x="129"/>
        <item x="130"/>
        <item x="197"/>
        <item x="85"/>
        <item x="145"/>
        <item x="257"/>
        <item x="71"/>
        <item x="90"/>
        <item x="43"/>
        <item x="104"/>
        <item x="103"/>
        <item x="281"/>
        <item x="210"/>
        <item x="227"/>
        <item x="218"/>
        <item x="219"/>
        <item x="93"/>
        <item x="217"/>
        <item x="226"/>
        <item x="216"/>
        <item x="84"/>
        <item x="213"/>
        <item x="92"/>
        <item x="185"/>
        <item x="255"/>
        <item x="186"/>
        <item x="268"/>
        <item x="267"/>
        <item x="293"/>
        <item x="189"/>
        <item x="250"/>
        <item x="62"/>
        <item x="287"/>
        <item x="292"/>
        <item x="161"/>
        <item x="152"/>
        <item x="235"/>
        <item x="230"/>
        <item x="231"/>
        <item x="232"/>
        <item x="46"/>
        <item x="201"/>
        <item x="202"/>
        <item x="45"/>
        <item x="188"/>
        <item x="240"/>
        <item x="63"/>
        <item x="66"/>
        <item x="211"/>
        <item x="192"/>
        <item x="153"/>
        <item x="285"/>
        <item x="282"/>
        <item x="283"/>
        <item x="234"/>
        <item x="48"/>
        <item x="199"/>
        <item x="200"/>
        <item x="47"/>
        <item x="151"/>
        <item x="238"/>
        <item x="178"/>
        <item x="253"/>
        <item x="55"/>
        <item x="38"/>
        <item x="37"/>
        <item x="8"/>
        <item x="10"/>
        <item x="9"/>
        <item x="15"/>
        <item x="14"/>
        <item x="171"/>
        <item x="170"/>
        <item x="143"/>
        <item x="142"/>
        <item x="289"/>
        <item x="61"/>
        <item x="89"/>
        <item x="157"/>
        <item x="4"/>
        <item x="2"/>
        <item x="1"/>
        <item x="0"/>
        <item x="270"/>
        <item x="299"/>
        <item x="174"/>
        <item x="175"/>
        <item x="173"/>
        <item x="242"/>
        <item x="51"/>
        <item x="13"/>
        <item x="302"/>
        <item x="56"/>
        <item x="280"/>
        <item x="16"/>
        <item x="162"/>
        <item x="154"/>
        <item x="177"/>
        <item x="88"/>
        <item x="229"/>
        <item x="224"/>
        <item x="228"/>
        <item x="221"/>
        <item x="222"/>
        <item x="21"/>
        <item x="22"/>
        <item x="19"/>
        <item x="20"/>
        <item x="156"/>
        <item x="207"/>
        <item x="108"/>
        <item x="107"/>
        <item x="102"/>
        <item x="114"/>
        <item x="113"/>
        <item x="132"/>
        <item x="252"/>
        <item x="68"/>
        <item x="135"/>
        <item x="136"/>
        <item x="269"/>
        <item x="190"/>
        <item x="164"/>
        <item x="169"/>
        <item x="91"/>
        <item x="112"/>
        <item x="111"/>
        <item x="81"/>
        <item x="77"/>
        <item x="52"/>
        <item x="239"/>
        <item x="123"/>
        <item x="249"/>
        <item x="76"/>
        <item x="297"/>
        <item x="31"/>
        <item x="30"/>
        <item x="194"/>
        <item x="206"/>
        <item x="139"/>
        <item x="3"/>
        <item x="124"/>
        <item x="125"/>
        <item x="215"/>
        <item x="127"/>
        <item x="121"/>
        <item x="294"/>
        <item m="1" x="309"/>
        <item x="191"/>
        <item x="116"/>
        <item x="118"/>
        <item x="263"/>
        <item x="264"/>
        <item x="141"/>
        <item x="272"/>
        <item x="133"/>
        <item x="179"/>
        <item x="266"/>
        <item x="18"/>
        <item x="65"/>
        <item x="67"/>
        <item x="69"/>
        <item x="73"/>
        <item x="74"/>
        <item x="75"/>
        <item x="82"/>
        <item x="83"/>
        <item x="140"/>
        <item x="180"/>
        <item x="205"/>
        <item x="208"/>
        <item x="209"/>
        <item x="220"/>
        <item x="223"/>
        <item x="225"/>
        <item x="237"/>
        <item x="247"/>
        <item x="256"/>
        <item x="258"/>
        <item x="260"/>
        <item x="261"/>
        <item x="262"/>
        <item x="271"/>
        <item x="273"/>
        <item x="274"/>
        <item x="275"/>
        <item x="277"/>
        <item x="278"/>
        <item x="279"/>
        <item x="286"/>
        <item x="291"/>
        <item x="70"/>
        <item x="296"/>
        <item x="42"/>
        <item x="165"/>
        <item x="29"/>
        <item x="6"/>
        <item x="155"/>
        <item x="163"/>
        <item x="105"/>
      </items>
    </pivotField>
    <pivotField compact="0" outline="0" showAll="0" defaultSubtotal="0"/>
    <pivotField compact="0" outline="0" showAll="0" defaultSubtotal="0"/>
    <pivotField axis="axisRow" compact="0" outline="0" multipleItemSelectionAllowed="1" showAll="0" defaultSubtotal="0">
      <items count="80">
        <item x="0"/>
        <item x="42"/>
        <item x="67"/>
        <item x="68"/>
        <item x="47"/>
        <item x="3"/>
        <item x="77"/>
        <item x="12"/>
        <item x="30"/>
        <item x="31"/>
        <item x="9"/>
        <item x="18"/>
        <item x="13"/>
        <item x="11"/>
        <item x="28"/>
        <item m="1" x="78"/>
        <item x="1"/>
        <item x="7"/>
        <item x="44"/>
        <item x="22"/>
        <item x="8"/>
        <item x="21"/>
        <item x="41"/>
        <item x="66"/>
        <item x="20"/>
        <item x="14"/>
        <item x="76"/>
        <item x="2"/>
        <item m="1" x="79"/>
        <item x="4"/>
        <item x="5"/>
        <item x="6"/>
        <item x="10"/>
        <item x="15"/>
        <item x="16"/>
        <item x="17"/>
        <item x="19"/>
        <item x="23"/>
        <item x="24"/>
        <item x="25"/>
        <item x="26"/>
        <item x="27"/>
        <item x="29"/>
        <item x="32"/>
        <item x="33"/>
        <item x="34"/>
        <item x="35"/>
        <item x="36"/>
        <item x="37"/>
        <item x="38"/>
        <item x="39"/>
        <item x="40"/>
        <item x="43"/>
        <item x="45"/>
        <item x="46"/>
        <item x="48"/>
        <item x="49"/>
        <item x="50"/>
        <item x="51"/>
        <item x="52"/>
        <item x="53"/>
        <item x="54"/>
        <item x="55"/>
        <item x="56"/>
        <item x="57"/>
        <item x="58"/>
        <item x="59"/>
        <item x="60"/>
        <item x="61"/>
        <item x="62"/>
        <item x="63"/>
        <item x="64"/>
        <item x="65"/>
        <item x="69"/>
        <item x="70"/>
        <item x="71"/>
        <item x="72"/>
        <item x="73"/>
        <item x="74"/>
        <item x="75"/>
      </items>
    </pivotField>
    <pivotField compact="0" outline="0" subtotalTop="0" showAll="0" defaultSubtotal="0"/>
    <pivotField axis="axisRow" compact="0" outline="0" showAll="0" defaultSubtotal="0">
      <items count="10">
        <item x="8"/>
        <item x="9"/>
        <item x="4"/>
        <item x="3"/>
        <item x="2"/>
        <item x="1"/>
        <item x="6"/>
        <item x="7"/>
        <item x="5"/>
        <item x="0"/>
      </items>
    </pivotField>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4" outline="0" subtotalTop="0" showAll="0" defaultSubtotal="0"/>
    <pivotField compact="0" outline="0" showAll="0" defaultSubtotal="0"/>
    <pivotField axis="axisRow" compact="0" outline="0" subtotalTop="0" showAll="0" sortType="descending" defaultSubtotal="0">
      <items count="4">
        <item x="2"/>
        <item x="3"/>
        <item h="1" x="1"/>
        <item h="1" x="0"/>
      </items>
    </pivotField>
    <pivotField compact="0" outline="0" subtotalTop="0" showAll="0" defaultSubtotal="0"/>
  </pivotFields>
  <rowFields count="5">
    <field x="20"/>
    <field x="3"/>
    <field x="8"/>
    <field x="6"/>
    <field x="2"/>
  </rowFields>
  <rowItems count="57">
    <i>
      <x/>
      <x v="1"/>
      <x v="9"/>
      <x v="26"/>
      <x v="57"/>
    </i>
    <i r="1">
      <x v="6"/>
      <x v="9"/>
      <x v="26"/>
      <x v="57"/>
    </i>
    <i r="1">
      <x v="17"/>
      <x v="4"/>
      <x v="49"/>
      <x v="43"/>
    </i>
    <i r="1">
      <x v="27"/>
      <x v="9"/>
      <x v="20"/>
      <x v="35"/>
    </i>
    <i r="1">
      <x v="60"/>
      <x v="9"/>
      <x v="26"/>
      <x v="59"/>
    </i>
    <i r="1">
      <x v="71"/>
      <x v="9"/>
      <x v="5"/>
      <x v="27"/>
    </i>
    <i r="1">
      <x v="96"/>
      <x v="9"/>
      <x v="26"/>
      <x v="59"/>
    </i>
    <i r="1">
      <x v="98"/>
      <x v="9"/>
      <x v="25"/>
      <x v="30"/>
    </i>
    <i r="1">
      <x v="123"/>
      <x v="6"/>
      <x v="2"/>
      <x v="8"/>
    </i>
    <i r="1">
      <x v="128"/>
      <x v="6"/>
      <x v="2"/>
      <x v="8"/>
    </i>
    <i r="1">
      <x v="176"/>
      <x v="9"/>
      <x v="29"/>
      <x v="27"/>
    </i>
    <i r="1">
      <x v="177"/>
      <x v="9"/>
      <x v="31"/>
      <x v="27"/>
    </i>
    <i r="1">
      <x v="178"/>
      <x v="9"/>
      <x v="30"/>
      <x v="27"/>
    </i>
    <i r="1">
      <x v="201"/>
      <x v="9"/>
      <x v="26"/>
      <x v="57"/>
    </i>
    <i r="1">
      <x v="209"/>
      <x v="6"/>
      <x v="2"/>
      <x v="8"/>
    </i>
    <i r="1">
      <x v="211"/>
      <x v="6"/>
      <x v="2"/>
      <x v="8"/>
    </i>
    <i r="1">
      <x v="224"/>
      <x v="4"/>
      <x v="51"/>
      <x v="43"/>
    </i>
    <i r="1">
      <x v="236"/>
      <x v="4"/>
      <x v="50"/>
      <x v="43"/>
    </i>
    <i r="1">
      <x v="303"/>
      <x v="9"/>
      <x v="17"/>
      <x v="60"/>
    </i>
    <i>
      <x v="1"/>
      <x v="8"/>
      <x v="9"/>
      <x v="36"/>
      <x v="34"/>
    </i>
    <i r="1">
      <x v="19"/>
      <x v="9"/>
      <x v="20"/>
      <x v="27"/>
    </i>
    <i r="1">
      <x v="28"/>
      <x v="9"/>
      <x v="7"/>
      <x v="35"/>
    </i>
    <i r="1">
      <x v="33"/>
      <x v="9"/>
      <x v="6"/>
      <x v="58"/>
    </i>
    <i r="1">
      <x v="39"/>
      <x v="9"/>
      <x v="11"/>
      <x v="6"/>
    </i>
    <i r="1">
      <x v="44"/>
      <x v="4"/>
      <x v="14"/>
      <x v="41"/>
    </i>
    <i r="1">
      <x v="52"/>
      <x v="9"/>
      <x v="33"/>
      <x v="60"/>
    </i>
    <i r="1">
      <x v="64"/>
      <x v="4"/>
      <x v="39"/>
      <x v="41"/>
    </i>
    <i r="1">
      <x v="67"/>
      <x v="4"/>
      <x v="43"/>
      <x v="42"/>
    </i>
    <i r="1">
      <x v="69"/>
      <x v="4"/>
      <x v="44"/>
      <x v="42"/>
    </i>
    <i r="1">
      <x v="86"/>
      <x v="9"/>
      <x v="11"/>
      <x v="18"/>
    </i>
    <i r="1">
      <x v="101"/>
      <x v="9"/>
      <x v="20"/>
      <x v="12"/>
    </i>
    <i r="1">
      <x v="102"/>
      <x v="9"/>
      <x v="20"/>
      <x v="60"/>
    </i>
    <i r="1">
      <x v="103"/>
      <x v="9"/>
      <x v="20"/>
      <x v="60"/>
    </i>
    <i r="1">
      <x v="105"/>
      <x v="9"/>
      <x v="20"/>
      <x v="6"/>
    </i>
    <i r="1">
      <x v="106"/>
      <x v="4"/>
      <x v="42"/>
      <x v="41"/>
    </i>
    <i r="1">
      <x v="113"/>
      <x v="4"/>
      <x v="38"/>
      <x v="41"/>
    </i>
    <i r="1">
      <x v="118"/>
      <x v="9"/>
      <x v="35"/>
      <x v="18"/>
    </i>
    <i r="1">
      <x v="150"/>
      <x v="9"/>
      <x v="20"/>
      <x v="6"/>
    </i>
    <i r="1">
      <x v="153"/>
      <x v="9"/>
      <x v="20"/>
      <x v="6"/>
    </i>
    <i r="1">
      <x v="165"/>
      <x v="9"/>
      <x v="20"/>
      <x v="6"/>
    </i>
    <i r="1">
      <x v="168"/>
      <x v="9"/>
      <x v="20"/>
      <x v="6"/>
    </i>
    <i r="1">
      <x v="174"/>
      <x v="9"/>
      <x v="34"/>
      <x v="60"/>
    </i>
    <i r="1">
      <x v="180"/>
      <x v="9"/>
      <x v="10"/>
      <x v="27"/>
    </i>
    <i r="1">
      <x v="216"/>
      <x v="9"/>
      <x v="13"/>
      <x v="35"/>
    </i>
    <i r="1">
      <x v="217"/>
      <x v="9"/>
      <x v="7"/>
      <x v="35"/>
    </i>
    <i r="1">
      <x v="222"/>
      <x v="4"/>
      <x v="45"/>
      <x v="42"/>
    </i>
    <i r="1">
      <x v="225"/>
      <x v="4"/>
      <x v="20"/>
      <x v="44"/>
    </i>
    <i r="1">
      <x v="227"/>
      <x v="4"/>
      <x v="17"/>
      <x v="27"/>
    </i>
    <i r="1">
      <x v="233"/>
      <x v="9"/>
      <x v="61"/>
      <x v="36"/>
    </i>
    <i r="1">
      <x v="234"/>
      <x v="4"/>
      <x v="41"/>
      <x v="41"/>
    </i>
    <i r="1">
      <x v="248"/>
      <x v="4"/>
      <x v="70"/>
      <x v="13"/>
    </i>
    <i r="1">
      <x v="249"/>
      <x v="4"/>
      <x v="17"/>
      <x v="27"/>
    </i>
    <i r="1">
      <x v="268"/>
      <x v="9"/>
      <x v="20"/>
      <x v="27"/>
    </i>
    <i r="1">
      <x v="304"/>
      <x v="9"/>
      <x v="17"/>
      <x v="43"/>
    </i>
    <i r="1">
      <x v="307"/>
      <x v="9"/>
      <x v="4"/>
      <x v="25"/>
    </i>
    <i r="1">
      <x v="308"/>
      <x v="9"/>
      <x v="60"/>
      <x v="25"/>
    </i>
    <i t="grand">
      <x/>
    </i>
  </rowItems>
  <colItems count="1">
    <i/>
  </colItems>
  <dataFields count="1">
    <dataField name="Count of field names in Trng deck"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A88DFA-2712-412A-B188-12A71C965419}" name="PivotTable6" cacheId="3"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location ref="AJ6:AO71" firstHeaderRow="2" firstDataRow="2" firstDataCol="5"/>
  <pivotFields count="22">
    <pivotField compact="0" outline="0" subtotalTop="0" showAll="0" defaultSubtotal="0"/>
    <pivotField compact="0" outline="0" subtotalTop="0" showAll="0" defaultSubtotal="0"/>
    <pivotField axis="axisRow" compact="0" outline="0" showAll="0" defaultSubtotal="0">
      <items count="63">
        <item x="26"/>
        <item x="21"/>
        <item m="1" x="62"/>
        <item x="40"/>
        <item x="39"/>
        <item x="56"/>
        <item x="7"/>
        <item x="37"/>
        <item x="38"/>
        <item x="32"/>
        <item x="47"/>
        <item x="14"/>
        <item x="10"/>
        <item x="33"/>
        <item x="45"/>
        <item x="15"/>
        <item x="41"/>
        <item x="25"/>
        <item x="6"/>
        <item x="43"/>
        <item x="42"/>
        <item x="12"/>
        <item x="1"/>
        <item x="46"/>
        <item x="11"/>
        <item x="18"/>
        <item x="35"/>
        <item x="2"/>
        <item x="28"/>
        <item x="36"/>
        <item x="4"/>
        <item x="0"/>
        <item x="49"/>
        <item x="34"/>
        <item x="8"/>
        <item x="3"/>
        <item x="27"/>
        <item x="9"/>
        <item x="16"/>
        <item x="29"/>
        <item x="31"/>
        <item x="17"/>
        <item x="19"/>
        <item x="20"/>
        <item x="22"/>
        <item x="23"/>
        <item x="24"/>
        <item x="44"/>
        <item x="48"/>
        <item x="50"/>
        <item x="51"/>
        <item x="52"/>
        <item x="53"/>
        <item x="54"/>
        <item x="55"/>
        <item x="57"/>
        <item x="58"/>
        <item x="59"/>
        <item x="60"/>
        <item x="61"/>
        <item x="5"/>
        <item x="13"/>
        <item x="30"/>
      </items>
    </pivotField>
    <pivotField axis="axisRow" dataField="1" compact="0" outline="0" showAll="0" defaultSubtotal="0">
      <items count="310">
        <item x="117"/>
        <item x="300"/>
        <item x="146"/>
        <item x="147"/>
        <item x="148"/>
        <item x="149"/>
        <item x="301"/>
        <item x="254"/>
        <item x="54"/>
        <item x="72"/>
        <item x="167"/>
        <item x="166"/>
        <item x="168"/>
        <item x="26"/>
        <item x="290"/>
        <item x="182"/>
        <item x="119"/>
        <item x="109"/>
        <item x="110"/>
        <item x="17"/>
        <item x="35"/>
        <item x="32"/>
        <item x="39"/>
        <item x="144"/>
        <item x="172"/>
        <item x="195"/>
        <item x="236"/>
        <item x="24"/>
        <item x="23"/>
        <item x="106"/>
        <item m="1" x="307"/>
        <item x="64"/>
        <item x="198"/>
        <item x="303"/>
        <item x="243"/>
        <item x="288"/>
        <item x="248"/>
        <item x="187"/>
        <item x="193"/>
        <item x="50"/>
        <item x="159"/>
        <item x="160"/>
        <item x="298"/>
        <item x="203"/>
        <item x="95"/>
        <item x="137"/>
        <item x="284"/>
        <item x="59"/>
        <item x="60"/>
        <item x="41"/>
        <item x="212"/>
        <item x="134"/>
        <item x="28"/>
        <item x="233"/>
        <item x="304"/>
        <item x="251"/>
        <item x="245"/>
        <item x="244"/>
        <item x="196"/>
        <item x="265"/>
        <item x="305"/>
        <item x="295"/>
        <item x="58"/>
        <item x="87"/>
        <item x="86"/>
        <item x="150"/>
        <item x="259"/>
        <item x="100"/>
        <item x="176"/>
        <item x="101"/>
        <item x="115"/>
        <item x="7"/>
        <item x="131"/>
        <item x="214"/>
        <item x="183"/>
        <item x="126"/>
        <item x="246"/>
        <item x="184"/>
        <item x="78"/>
        <item x="80"/>
        <item x="79"/>
        <item x="241"/>
        <item x="122"/>
        <item x="94"/>
        <item x="98"/>
        <item m="1" x="308"/>
        <item x="44"/>
        <item x="27"/>
        <item x="204"/>
        <item x="11"/>
        <item x="158"/>
        <item x="34"/>
        <item x="12"/>
        <item x="33"/>
        <item x="99"/>
        <item x="128"/>
        <item x="306"/>
        <item x="120"/>
        <item x="25"/>
        <item x="5"/>
        <item x="276"/>
        <item x="53"/>
        <item x="36"/>
        <item x="40"/>
        <item x="181"/>
        <item x="49"/>
        <item x="96"/>
        <item x="97"/>
        <item x="138"/>
        <item x="57"/>
        <item x="129"/>
        <item x="130"/>
        <item x="197"/>
        <item x="85"/>
        <item x="145"/>
        <item x="257"/>
        <item x="71"/>
        <item x="90"/>
        <item x="43"/>
        <item x="104"/>
        <item x="103"/>
        <item x="281"/>
        <item x="210"/>
        <item x="227"/>
        <item x="218"/>
        <item x="219"/>
        <item x="93"/>
        <item x="217"/>
        <item x="226"/>
        <item x="216"/>
        <item x="84"/>
        <item x="213"/>
        <item x="92"/>
        <item x="185"/>
        <item x="255"/>
        <item x="186"/>
        <item x="268"/>
        <item x="267"/>
        <item x="293"/>
        <item x="189"/>
        <item x="250"/>
        <item x="62"/>
        <item x="287"/>
        <item x="292"/>
        <item x="161"/>
        <item x="152"/>
        <item x="235"/>
        <item x="230"/>
        <item x="231"/>
        <item x="232"/>
        <item x="46"/>
        <item x="201"/>
        <item x="202"/>
        <item x="45"/>
        <item x="188"/>
        <item x="240"/>
        <item x="63"/>
        <item x="66"/>
        <item x="211"/>
        <item x="192"/>
        <item x="153"/>
        <item x="285"/>
        <item x="282"/>
        <item x="283"/>
        <item x="234"/>
        <item x="48"/>
        <item x="199"/>
        <item x="200"/>
        <item x="47"/>
        <item x="151"/>
        <item x="238"/>
        <item x="178"/>
        <item x="253"/>
        <item x="55"/>
        <item x="38"/>
        <item x="37"/>
        <item x="8"/>
        <item x="10"/>
        <item x="9"/>
        <item x="15"/>
        <item x="14"/>
        <item x="171"/>
        <item x="170"/>
        <item x="143"/>
        <item x="142"/>
        <item x="289"/>
        <item x="61"/>
        <item x="89"/>
        <item x="157"/>
        <item x="4"/>
        <item x="2"/>
        <item x="1"/>
        <item x="0"/>
        <item x="270"/>
        <item x="299"/>
        <item x="174"/>
        <item x="175"/>
        <item x="173"/>
        <item x="242"/>
        <item x="51"/>
        <item x="13"/>
        <item x="302"/>
        <item x="56"/>
        <item x="280"/>
        <item x="16"/>
        <item x="162"/>
        <item x="154"/>
        <item x="177"/>
        <item x="88"/>
        <item x="229"/>
        <item x="224"/>
        <item x="228"/>
        <item x="221"/>
        <item x="222"/>
        <item x="21"/>
        <item x="22"/>
        <item x="19"/>
        <item x="20"/>
        <item x="156"/>
        <item x="207"/>
        <item x="108"/>
        <item x="107"/>
        <item x="102"/>
        <item x="114"/>
        <item x="113"/>
        <item x="132"/>
        <item x="252"/>
        <item x="68"/>
        <item x="135"/>
        <item x="136"/>
        <item x="269"/>
        <item x="190"/>
        <item x="164"/>
        <item x="169"/>
        <item x="91"/>
        <item x="112"/>
        <item x="111"/>
        <item x="81"/>
        <item x="77"/>
        <item x="52"/>
        <item x="239"/>
        <item x="123"/>
        <item x="249"/>
        <item x="76"/>
        <item x="297"/>
        <item x="31"/>
        <item x="30"/>
        <item x="194"/>
        <item x="206"/>
        <item x="139"/>
        <item x="3"/>
        <item x="124"/>
        <item x="125"/>
        <item x="215"/>
        <item x="127"/>
        <item x="121"/>
        <item x="294"/>
        <item m="1" x="309"/>
        <item x="191"/>
        <item x="116"/>
        <item x="118"/>
        <item x="263"/>
        <item x="264"/>
        <item x="141"/>
        <item x="272"/>
        <item x="133"/>
        <item x="179"/>
        <item x="266"/>
        <item x="18"/>
        <item x="65"/>
        <item x="67"/>
        <item x="69"/>
        <item x="73"/>
        <item x="74"/>
        <item x="75"/>
        <item x="82"/>
        <item x="83"/>
        <item x="140"/>
        <item x="180"/>
        <item x="205"/>
        <item x="208"/>
        <item x="209"/>
        <item x="220"/>
        <item x="223"/>
        <item x="225"/>
        <item x="237"/>
        <item x="247"/>
        <item x="256"/>
        <item x="258"/>
        <item x="260"/>
        <item x="261"/>
        <item x="262"/>
        <item x="271"/>
        <item x="273"/>
        <item x="274"/>
        <item x="275"/>
        <item x="277"/>
        <item x="278"/>
        <item x="279"/>
        <item x="286"/>
        <item x="291"/>
        <item x="70"/>
        <item x="296"/>
        <item x="42"/>
        <item x="165"/>
        <item x="29"/>
        <item x="6"/>
        <item x="155"/>
        <item x="163"/>
        <item x="105"/>
      </items>
    </pivotField>
    <pivotField compact="0" outline="0" showAll="0" defaultSubtotal="0"/>
    <pivotField compact="0" outline="0" showAll="0" defaultSubtotal="0"/>
    <pivotField axis="axisRow" compact="0" outline="0" multipleItemSelectionAllowed="1" showAll="0" defaultSubtotal="0">
      <items count="80">
        <item x="0"/>
        <item x="42"/>
        <item x="67"/>
        <item x="68"/>
        <item x="47"/>
        <item x="3"/>
        <item x="77"/>
        <item x="12"/>
        <item x="30"/>
        <item x="31"/>
        <item x="9"/>
        <item x="18"/>
        <item x="13"/>
        <item x="11"/>
        <item x="28"/>
        <item m="1" x="78"/>
        <item x="1"/>
        <item x="7"/>
        <item x="44"/>
        <item x="22"/>
        <item x="8"/>
        <item x="21"/>
        <item x="41"/>
        <item x="66"/>
        <item x="20"/>
        <item x="14"/>
        <item x="76"/>
        <item x="2"/>
        <item m="1" x="79"/>
        <item x="4"/>
        <item x="5"/>
        <item x="6"/>
        <item x="10"/>
        <item x="15"/>
        <item x="16"/>
        <item x="17"/>
        <item x="19"/>
        <item x="23"/>
        <item x="24"/>
        <item x="25"/>
        <item x="26"/>
        <item x="27"/>
        <item x="29"/>
        <item x="32"/>
        <item x="33"/>
        <item x="34"/>
        <item x="35"/>
        <item x="36"/>
        <item x="37"/>
        <item x="38"/>
        <item x="39"/>
        <item x="40"/>
        <item x="43"/>
        <item x="45"/>
        <item x="46"/>
        <item x="48"/>
        <item x="49"/>
        <item x="50"/>
        <item x="51"/>
        <item x="52"/>
        <item x="53"/>
        <item x="54"/>
        <item x="55"/>
        <item x="56"/>
        <item x="57"/>
        <item x="58"/>
        <item x="59"/>
        <item x="60"/>
        <item x="61"/>
        <item x="62"/>
        <item x="63"/>
        <item x="64"/>
        <item x="65"/>
        <item x="69"/>
        <item x="70"/>
        <item x="71"/>
        <item x="72"/>
        <item x="73"/>
        <item x="74"/>
        <item x="75"/>
      </items>
    </pivotField>
    <pivotField compact="0" outline="0" subtotalTop="0" showAll="0" defaultSubtotal="0"/>
    <pivotField axis="axisRow" compact="0" outline="0" showAll="0" defaultSubtotal="0">
      <items count="10">
        <item x="8"/>
        <item x="9"/>
        <item x="4"/>
        <item x="3"/>
        <item x="2"/>
        <item x="1"/>
        <item x="6"/>
        <item x="7"/>
        <item x="5"/>
        <item x="0"/>
      </items>
    </pivotField>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4" outline="0" subtotalTop="0" showAll="0" defaultSubtotal="0"/>
    <pivotField compact="0" outline="0" showAll="0" defaultSubtotal="0"/>
    <pivotField axis="axisRow" compact="0" outline="0" subtotalTop="0" showAll="0" sortType="descending" defaultSubtotal="0">
      <items count="4">
        <item h="1" x="2"/>
        <item h="1" x="3"/>
        <item h="1" x="1"/>
        <item x="0"/>
      </items>
    </pivotField>
    <pivotField compact="0" outline="0" subtotalTop="0" showAll="0" defaultSubtotal="0"/>
  </pivotFields>
  <rowFields count="5">
    <field x="20"/>
    <field x="3"/>
    <field x="8"/>
    <field x="6"/>
    <field x="2"/>
  </rowFields>
  <rowItems count="64">
    <i>
      <x v="3"/>
      <x/>
      <x v="4"/>
      <x/>
      <x v="1"/>
    </i>
    <i r="1">
      <x v="3"/>
      <x v="9"/>
      <x/>
      <x v="25"/>
    </i>
    <i r="1">
      <x v="5"/>
      <x v="9"/>
      <x/>
      <x v="25"/>
    </i>
    <i r="1">
      <x v="9"/>
      <x v="5"/>
      <x/>
      <x v="38"/>
    </i>
    <i r="1">
      <x v="10"/>
      <x v="9"/>
      <x/>
      <x/>
    </i>
    <i r="1">
      <x v="11"/>
      <x v="9"/>
      <x/>
      <x/>
    </i>
    <i r="1">
      <x v="12"/>
      <x v="9"/>
      <x/>
      <x/>
    </i>
    <i r="1">
      <x v="16"/>
      <x v="4"/>
      <x/>
      <x v="1"/>
    </i>
    <i r="1">
      <x v="18"/>
      <x v="4"/>
      <x v="49"/>
      <x v="43"/>
    </i>
    <i r="1">
      <x v="24"/>
      <x v="9"/>
      <x v="63"/>
      <x v="28"/>
    </i>
    <i r="1">
      <x v="29"/>
      <x v="4"/>
      <x v="47"/>
      <x v="43"/>
    </i>
    <i r="1">
      <x v="56"/>
      <x v="7"/>
      <x/>
      <x v="1"/>
    </i>
    <i r="1">
      <x v="57"/>
      <x v="7"/>
      <x/>
      <x v="1"/>
    </i>
    <i r="1">
      <x v="76"/>
      <x v="7"/>
      <x/>
      <x v="1"/>
    </i>
    <i r="1">
      <x v="79"/>
      <x v="5"/>
      <x/>
      <x v="38"/>
    </i>
    <i r="1">
      <x v="80"/>
      <x v="5"/>
      <x/>
      <x v="38"/>
    </i>
    <i r="1">
      <x v="95"/>
      <x v="4"/>
      <x/>
      <x v="44"/>
    </i>
    <i r="1">
      <x v="107"/>
      <x v="4"/>
      <x/>
      <x v="41"/>
    </i>
    <i r="1">
      <x v="110"/>
      <x v="4"/>
      <x/>
      <x v="44"/>
    </i>
    <i r="1">
      <x v="111"/>
      <x v="4"/>
      <x/>
      <x v="44"/>
    </i>
    <i r="1">
      <x v="114"/>
      <x v="9"/>
      <x v="54"/>
      <x v="25"/>
    </i>
    <i r="1">
      <x v="117"/>
      <x v="4"/>
      <x/>
      <x v="41"/>
    </i>
    <i r="1">
      <x v="119"/>
      <x v="4"/>
      <x v="46"/>
      <x v="43"/>
    </i>
    <i r="1">
      <x v="120"/>
      <x v="4"/>
      <x v="46"/>
      <x v="43"/>
    </i>
    <i r="1">
      <x v="130"/>
      <x v="4"/>
      <x v="37"/>
      <x v="41"/>
    </i>
    <i r="1">
      <x v="136"/>
      <x v="5"/>
      <x/>
      <x v="49"/>
    </i>
    <i r="1">
      <x v="137"/>
      <x v="5"/>
      <x/>
      <x v="49"/>
    </i>
    <i r="1">
      <x v="151"/>
      <x v="4"/>
      <x/>
      <x v="9"/>
    </i>
    <i r="1">
      <x v="152"/>
      <x v="4"/>
      <x/>
      <x v="9"/>
    </i>
    <i r="1">
      <x v="163"/>
      <x v="5"/>
      <x/>
      <x v="51"/>
    </i>
    <i r="1">
      <x v="166"/>
      <x v="4"/>
      <x/>
      <x v="9"/>
    </i>
    <i r="1">
      <x v="167"/>
      <x v="4"/>
      <x/>
      <x v="9"/>
    </i>
    <i r="1">
      <x v="169"/>
      <x v="9"/>
      <x/>
      <x v="25"/>
    </i>
    <i r="1">
      <x v="170"/>
      <x v="7"/>
      <x/>
      <x v="20"/>
    </i>
    <i r="1">
      <x v="181"/>
      <x v="9"/>
      <x v="62"/>
      <x v="28"/>
    </i>
    <i r="1">
      <x v="188"/>
      <x v="9"/>
      <x/>
      <x v="25"/>
    </i>
    <i r="1">
      <x v="189"/>
      <x v="9"/>
      <x v="16"/>
      <x v="22"/>
    </i>
    <i r="1">
      <x v="190"/>
      <x v="9"/>
      <x/>
      <x v="31"/>
    </i>
    <i r="1">
      <x v="191"/>
      <x v="9"/>
      <x/>
      <x v="31"/>
    </i>
    <i r="1">
      <x v="192"/>
      <x v="9"/>
      <x/>
      <x v="31"/>
    </i>
    <i r="1">
      <x v="195"/>
      <x v="9"/>
      <x v="65"/>
      <x v="28"/>
    </i>
    <i r="1">
      <x v="196"/>
      <x v="9"/>
      <x v="65"/>
      <x v="28"/>
    </i>
    <i r="1">
      <x v="220"/>
      <x v="4"/>
      <x v="48"/>
      <x v="43"/>
    </i>
    <i r="1">
      <x v="221"/>
      <x v="4"/>
      <x v="48"/>
      <x v="43"/>
    </i>
    <i r="1">
      <x v="223"/>
      <x v="4"/>
      <x v="51"/>
      <x v="43"/>
    </i>
    <i r="1">
      <x v="228"/>
      <x v="4"/>
      <x/>
      <x v="45"/>
    </i>
    <i r="1">
      <x v="235"/>
      <x v="4"/>
      <x v="50"/>
      <x v="43"/>
    </i>
    <i r="1">
      <x v="237"/>
      <x v="5"/>
      <x/>
      <x v="38"/>
    </i>
    <i r="1">
      <x v="238"/>
      <x v="5"/>
      <x/>
      <x v="38"/>
    </i>
    <i r="1">
      <x v="239"/>
      <x v="9"/>
      <x/>
      <x v="37"/>
    </i>
    <i r="1">
      <x v="241"/>
      <x v="4"/>
      <x/>
      <x v="1"/>
    </i>
    <i r="1">
      <x v="243"/>
      <x v="5"/>
      <x/>
      <x v="38"/>
    </i>
    <i r="1">
      <x v="250"/>
      <x v="9"/>
      <x/>
      <x v="31"/>
    </i>
    <i r="1">
      <x v="251"/>
      <x v="4"/>
      <x/>
      <x v="1"/>
    </i>
    <i r="1">
      <x v="252"/>
      <x v="4"/>
      <x/>
      <x v="1"/>
    </i>
    <i r="1">
      <x v="254"/>
      <x v="4"/>
      <x/>
      <x v="1"/>
    </i>
    <i r="1">
      <x v="263"/>
      <x v="4"/>
      <x/>
      <x v="17"/>
    </i>
    <i r="1">
      <x v="265"/>
      <x v="4"/>
      <x/>
      <x v="44"/>
    </i>
    <i r="1">
      <x v="267"/>
      <x v="5"/>
      <x/>
      <x v="49"/>
    </i>
    <i r="1">
      <x v="274"/>
      <x v="5"/>
      <x/>
      <x v="38"/>
    </i>
    <i r="1">
      <x v="278"/>
      <x v="4"/>
      <x/>
      <x v="62"/>
    </i>
    <i r="1">
      <x v="302"/>
      <x v="5"/>
      <x v="3"/>
      <x v="55"/>
    </i>
    <i r="1">
      <x v="309"/>
      <x v="4"/>
      <x v="47"/>
      <x v="43"/>
    </i>
    <i t="grand">
      <x/>
    </i>
  </rowItems>
  <colItems count="1">
    <i/>
  </colItems>
  <dataFields count="1">
    <dataField name="Count of field names in Trng deck"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67F3A-5332-4A7E-8D9C-94399AFBAB7C}">
  <dimension ref="A1:J131"/>
  <sheetViews>
    <sheetView workbookViewId="0">
      <pane xSplit="4" ySplit="3" topLeftCell="E4" activePane="bottomRight" state="frozen"/>
      <selection pane="topRight" activeCell="E1" sqref="E1"/>
      <selection pane="bottomLeft" activeCell="A4" sqref="A4"/>
      <selection pane="bottomRight" activeCell="F8" sqref="F8"/>
    </sheetView>
  </sheetViews>
  <sheetFormatPr defaultRowHeight="15" x14ac:dyDescent="0.25"/>
  <cols>
    <col min="1" max="1" width="14.28515625" customWidth="1"/>
    <col min="2" max="2" width="38.28515625" customWidth="1"/>
    <col min="3" max="3" width="12.28515625" bestFit="1" customWidth="1"/>
    <col min="4" max="4" width="15.7109375" bestFit="1" customWidth="1"/>
    <col min="5" max="5" width="3" customWidth="1"/>
    <col min="6" max="6" width="45" bestFit="1" customWidth="1"/>
    <col min="7" max="7" width="18.5703125" bestFit="1" customWidth="1"/>
    <col min="8" max="8" width="44.7109375" bestFit="1" customWidth="1"/>
    <col min="9" max="9" width="30" bestFit="1" customWidth="1"/>
    <col min="10" max="10" width="30.5703125" customWidth="1"/>
    <col min="11" max="11" width="11.28515625" bestFit="1" customWidth="1"/>
  </cols>
  <sheetData>
    <row r="1" spans="1:10" x14ac:dyDescent="0.25">
      <c r="A1" s="2" t="s">
        <v>0</v>
      </c>
      <c r="B1" s="3" t="s">
        <v>1</v>
      </c>
      <c r="C1" s="2"/>
      <c r="D1" s="2"/>
      <c r="E1" s="2"/>
    </row>
    <row r="2" spans="1:10" x14ac:dyDescent="0.25">
      <c r="A2" s="2"/>
      <c r="B2" s="2"/>
      <c r="C2" s="2"/>
      <c r="D2" s="2"/>
      <c r="E2" s="2"/>
    </row>
    <row r="3" spans="1:10" x14ac:dyDescent="0.25">
      <c r="A3" s="5" t="s">
        <v>2</v>
      </c>
      <c r="B3" s="4" t="s">
        <v>3</v>
      </c>
      <c r="C3" s="4" t="s">
        <v>4</v>
      </c>
      <c r="D3" s="4" t="s">
        <v>5</v>
      </c>
      <c r="E3" s="4"/>
      <c r="F3" s="6" t="s">
        <v>6</v>
      </c>
      <c r="G3" s="4"/>
    </row>
    <row r="4" spans="1:10" x14ac:dyDescent="0.25">
      <c r="B4" s="2"/>
      <c r="C4" s="2"/>
      <c r="D4" s="2"/>
      <c r="F4" s="3" t="s">
        <v>7</v>
      </c>
      <c r="G4" s="3" t="s">
        <v>8</v>
      </c>
      <c r="H4" s="3" t="s">
        <v>8</v>
      </c>
      <c r="I4" s="3" t="s">
        <v>9</v>
      </c>
    </row>
    <row r="5" spans="1:10" x14ac:dyDescent="0.25">
      <c r="A5" s="2" t="s">
        <v>10</v>
      </c>
      <c r="F5" s="1" t="s">
        <v>11</v>
      </c>
      <c r="G5" s="8" t="s">
        <v>12</v>
      </c>
      <c r="H5" s="8" t="s">
        <v>13</v>
      </c>
      <c r="I5" s="8" t="s">
        <v>14</v>
      </c>
      <c r="J5" s="1" t="s">
        <v>15</v>
      </c>
    </row>
    <row r="6" spans="1:10" x14ac:dyDescent="0.25">
      <c r="B6" t="s">
        <v>16</v>
      </c>
      <c r="C6" t="s">
        <v>17</v>
      </c>
      <c r="D6" t="s">
        <v>18</v>
      </c>
      <c r="F6" t="s">
        <v>19</v>
      </c>
      <c r="G6" t="s">
        <v>20</v>
      </c>
      <c r="H6" t="s">
        <v>21</v>
      </c>
      <c r="I6" t="s">
        <v>22</v>
      </c>
      <c r="J6" t="s">
        <v>23</v>
      </c>
    </row>
    <row r="7" spans="1:10" x14ac:dyDescent="0.25">
      <c r="B7" t="s">
        <v>12</v>
      </c>
      <c r="C7" t="s">
        <v>17</v>
      </c>
      <c r="F7" t="s">
        <v>24</v>
      </c>
      <c r="G7" t="s">
        <v>20</v>
      </c>
      <c r="H7" t="s">
        <v>21</v>
      </c>
      <c r="I7" t="s">
        <v>25</v>
      </c>
      <c r="J7" t="s">
        <v>26</v>
      </c>
    </row>
    <row r="8" spans="1:10" x14ac:dyDescent="0.25">
      <c r="B8" t="s">
        <v>11</v>
      </c>
      <c r="C8" t="s">
        <v>17</v>
      </c>
      <c r="F8" t="s">
        <v>27</v>
      </c>
      <c r="G8" t="s">
        <v>20</v>
      </c>
      <c r="H8" t="s">
        <v>21</v>
      </c>
      <c r="I8" t="s">
        <v>28</v>
      </c>
      <c r="J8" t="s">
        <v>29</v>
      </c>
    </row>
    <row r="9" spans="1:10" x14ac:dyDescent="0.25">
      <c r="B9" t="s">
        <v>13</v>
      </c>
      <c r="C9" t="s">
        <v>17</v>
      </c>
      <c r="G9" t="s">
        <v>20</v>
      </c>
      <c r="H9" t="s">
        <v>30</v>
      </c>
      <c r="I9" t="s">
        <v>31</v>
      </c>
      <c r="J9" t="s">
        <v>32</v>
      </c>
    </row>
    <row r="10" spans="1:10" x14ac:dyDescent="0.25">
      <c r="B10" t="s">
        <v>14</v>
      </c>
      <c r="C10" t="s">
        <v>17</v>
      </c>
      <c r="G10" t="s">
        <v>20</v>
      </c>
      <c r="H10" t="s">
        <v>30</v>
      </c>
      <c r="I10" t="s">
        <v>33</v>
      </c>
    </row>
    <row r="11" spans="1:10" x14ac:dyDescent="0.25">
      <c r="B11" t="s">
        <v>34</v>
      </c>
      <c r="C11" t="s">
        <v>17</v>
      </c>
      <c r="D11" t="s">
        <v>35</v>
      </c>
      <c r="G11" t="s">
        <v>20</v>
      </c>
      <c r="H11" t="s">
        <v>36</v>
      </c>
      <c r="I11" t="s">
        <v>37</v>
      </c>
    </row>
    <row r="12" spans="1:10" x14ac:dyDescent="0.25">
      <c r="B12" t="s">
        <v>38</v>
      </c>
      <c r="C12" t="s">
        <v>17</v>
      </c>
      <c r="D12" t="s">
        <v>35</v>
      </c>
      <c r="G12" t="s">
        <v>20</v>
      </c>
      <c r="H12" t="s">
        <v>36</v>
      </c>
      <c r="I12" t="s">
        <v>39</v>
      </c>
    </row>
    <row r="13" spans="1:10" x14ac:dyDescent="0.25">
      <c r="B13" t="s">
        <v>40</v>
      </c>
      <c r="C13" t="s">
        <v>41</v>
      </c>
      <c r="G13" t="s">
        <v>20</v>
      </c>
      <c r="H13" t="s">
        <v>42</v>
      </c>
      <c r="I13" t="s">
        <v>43</v>
      </c>
    </row>
    <row r="14" spans="1:10" x14ac:dyDescent="0.25">
      <c r="B14" t="s">
        <v>15</v>
      </c>
      <c r="C14" t="s">
        <v>17</v>
      </c>
      <c r="G14" t="s">
        <v>20</v>
      </c>
      <c r="H14" t="s">
        <v>42</v>
      </c>
      <c r="I14" t="s">
        <v>44</v>
      </c>
    </row>
    <row r="15" spans="1:10" x14ac:dyDescent="0.25">
      <c r="B15" t="s">
        <v>45</v>
      </c>
      <c r="C15" t="s">
        <v>46</v>
      </c>
      <c r="G15" t="s">
        <v>20</v>
      </c>
      <c r="H15" t="s">
        <v>47</v>
      </c>
      <c r="I15" t="s">
        <v>48</v>
      </c>
    </row>
    <row r="16" spans="1:10" ht="60" x14ac:dyDescent="0.25">
      <c r="B16" t="s">
        <v>49</v>
      </c>
      <c r="C16" s="7" t="s">
        <v>41</v>
      </c>
      <c r="D16" s="11" t="s">
        <v>50</v>
      </c>
      <c r="G16" t="s">
        <v>20</v>
      </c>
      <c r="H16" t="s">
        <v>47</v>
      </c>
      <c r="I16" t="s">
        <v>51</v>
      </c>
    </row>
    <row r="17" spans="2:9" x14ac:dyDescent="0.25">
      <c r="B17" t="s">
        <v>52</v>
      </c>
      <c r="C17" t="s">
        <v>46</v>
      </c>
      <c r="G17" t="s">
        <v>20</v>
      </c>
      <c r="H17" t="s">
        <v>53</v>
      </c>
      <c r="I17" t="s">
        <v>48</v>
      </c>
    </row>
    <row r="18" spans="2:9" x14ac:dyDescent="0.25">
      <c r="B18" t="s">
        <v>54</v>
      </c>
      <c r="C18" t="s">
        <v>46</v>
      </c>
      <c r="G18" t="s">
        <v>20</v>
      </c>
      <c r="H18" t="s">
        <v>53</v>
      </c>
      <c r="I18" t="s">
        <v>51</v>
      </c>
    </row>
    <row r="19" spans="2:9" x14ac:dyDescent="0.25">
      <c r="G19" t="s">
        <v>20</v>
      </c>
      <c r="H19" t="s">
        <v>55</v>
      </c>
      <c r="I19" t="s">
        <v>56</v>
      </c>
    </row>
    <row r="20" spans="2:9" x14ac:dyDescent="0.25">
      <c r="G20" t="s">
        <v>20</v>
      </c>
      <c r="H20" t="s">
        <v>57</v>
      </c>
      <c r="I20" t="s">
        <v>58</v>
      </c>
    </row>
    <row r="21" spans="2:9" x14ac:dyDescent="0.25">
      <c r="G21" t="s">
        <v>20</v>
      </c>
      <c r="H21" t="s">
        <v>59</v>
      </c>
      <c r="I21" t="s">
        <v>60</v>
      </c>
    </row>
    <row r="22" spans="2:9" x14ac:dyDescent="0.25">
      <c r="G22" t="s">
        <v>20</v>
      </c>
      <c r="H22" t="s">
        <v>59</v>
      </c>
      <c r="I22" t="s">
        <v>61</v>
      </c>
    </row>
    <row r="23" spans="2:9" x14ac:dyDescent="0.25">
      <c r="G23" t="s">
        <v>20</v>
      </c>
      <c r="H23" t="s">
        <v>62</v>
      </c>
      <c r="I23" t="s">
        <v>63</v>
      </c>
    </row>
    <row r="24" spans="2:9" x14ac:dyDescent="0.25">
      <c r="G24" t="s">
        <v>20</v>
      </c>
      <c r="H24" t="s">
        <v>62</v>
      </c>
      <c r="I24" t="s">
        <v>64</v>
      </c>
    </row>
    <row r="25" spans="2:9" x14ac:dyDescent="0.25">
      <c r="G25" t="s">
        <v>20</v>
      </c>
      <c r="H25" t="s">
        <v>65</v>
      </c>
      <c r="I25" t="s">
        <v>66</v>
      </c>
    </row>
    <row r="26" spans="2:9" x14ac:dyDescent="0.25">
      <c r="G26" t="s">
        <v>20</v>
      </c>
      <c r="H26" t="s">
        <v>67</v>
      </c>
      <c r="I26" t="s">
        <v>68</v>
      </c>
    </row>
    <row r="27" spans="2:9" x14ac:dyDescent="0.25">
      <c r="G27" t="s">
        <v>20</v>
      </c>
      <c r="H27" t="s">
        <v>67</v>
      </c>
      <c r="I27" t="s">
        <v>69</v>
      </c>
    </row>
    <row r="28" spans="2:9" x14ac:dyDescent="0.25">
      <c r="G28" t="s">
        <v>70</v>
      </c>
      <c r="H28" t="s">
        <v>71</v>
      </c>
      <c r="I28" t="s">
        <v>72</v>
      </c>
    </row>
    <row r="29" spans="2:9" x14ac:dyDescent="0.25">
      <c r="G29" t="s">
        <v>70</v>
      </c>
      <c r="H29" t="s">
        <v>73</v>
      </c>
      <c r="I29" t="s">
        <v>74</v>
      </c>
    </row>
    <row r="30" spans="2:9" x14ac:dyDescent="0.25">
      <c r="G30" t="s">
        <v>70</v>
      </c>
      <c r="H30" t="s">
        <v>75</v>
      </c>
      <c r="I30" t="s">
        <v>76</v>
      </c>
    </row>
    <row r="31" spans="2:9" x14ac:dyDescent="0.25">
      <c r="G31" t="s">
        <v>70</v>
      </c>
      <c r="H31" t="s">
        <v>77</v>
      </c>
      <c r="I31" t="s">
        <v>78</v>
      </c>
    </row>
    <row r="32" spans="2:9" x14ac:dyDescent="0.25">
      <c r="G32" t="s">
        <v>20</v>
      </c>
      <c r="H32" t="s">
        <v>79</v>
      </c>
      <c r="I32" t="s">
        <v>80</v>
      </c>
    </row>
    <row r="33" spans="1:9" x14ac:dyDescent="0.25">
      <c r="G33" t="s">
        <v>20</v>
      </c>
      <c r="H33" t="s">
        <v>81</v>
      </c>
      <c r="I33" t="s">
        <v>82</v>
      </c>
    </row>
    <row r="34" spans="1:9" x14ac:dyDescent="0.25">
      <c r="G34" t="s">
        <v>20</v>
      </c>
      <c r="H34" t="s">
        <v>83</v>
      </c>
      <c r="I34" t="s">
        <v>84</v>
      </c>
    </row>
    <row r="35" spans="1:9" x14ac:dyDescent="0.25">
      <c r="G35" t="s">
        <v>20</v>
      </c>
      <c r="H35" t="s">
        <v>83</v>
      </c>
      <c r="I35" t="s">
        <v>85</v>
      </c>
    </row>
    <row r="36" spans="1:9" x14ac:dyDescent="0.25">
      <c r="G36" t="s">
        <v>20</v>
      </c>
      <c r="H36" t="s">
        <v>86</v>
      </c>
      <c r="I36" t="s">
        <v>87</v>
      </c>
    </row>
    <row r="37" spans="1:9" x14ac:dyDescent="0.25">
      <c r="G37" t="s">
        <v>20</v>
      </c>
      <c r="H37" t="s">
        <v>86</v>
      </c>
      <c r="I37" t="s">
        <v>88</v>
      </c>
    </row>
    <row r="38" spans="1:9" x14ac:dyDescent="0.25">
      <c r="G38" t="s">
        <v>89</v>
      </c>
      <c r="H38" t="s">
        <v>90</v>
      </c>
      <c r="I38" t="s">
        <v>91</v>
      </c>
    </row>
    <row r="39" spans="1:9" x14ac:dyDescent="0.25">
      <c r="G39" t="s">
        <v>89</v>
      </c>
      <c r="H39" t="s">
        <v>92</v>
      </c>
      <c r="I39" t="s">
        <v>93</v>
      </c>
    </row>
    <row r="44" spans="1:9" x14ac:dyDescent="0.25">
      <c r="A44" s="2" t="s">
        <v>94</v>
      </c>
    </row>
    <row r="45" spans="1:9" x14ac:dyDescent="0.25">
      <c r="B45" t="s">
        <v>95</v>
      </c>
      <c r="C45" t="s">
        <v>17</v>
      </c>
      <c r="F45" s="1" t="s">
        <v>95</v>
      </c>
      <c r="G45" s="1" t="s">
        <v>96</v>
      </c>
      <c r="H45" s="1" t="s">
        <v>97</v>
      </c>
      <c r="I45" s="1" t="s">
        <v>98</v>
      </c>
    </row>
    <row r="46" spans="1:9" x14ac:dyDescent="0.25">
      <c r="B46" t="s">
        <v>96</v>
      </c>
      <c r="C46" t="s">
        <v>17</v>
      </c>
      <c r="F46" t="s">
        <v>99</v>
      </c>
      <c r="G46" t="s">
        <v>100</v>
      </c>
      <c r="H46" t="s">
        <v>101</v>
      </c>
      <c r="I46" t="s">
        <v>100</v>
      </c>
    </row>
    <row r="47" spans="1:9" x14ac:dyDescent="0.25">
      <c r="B47" t="s">
        <v>102</v>
      </c>
      <c r="C47" t="s">
        <v>103</v>
      </c>
      <c r="F47" t="s">
        <v>104</v>
      </c>
      <c r="G47" t="s">
        <v>105</v>
      </c>
      <c r="H47" t="s">
        <v>106</v>
      </c>
      <c r="I47" t="s">
        <v>105</v>
      </c>
    </row>
    <row r="48" spans="1:9" x14ac:dyDescent="0.25">
      <c r="B48" t="s">
        <v>97</v>
      </c>
      <c r="C48" t="s">
        <v>17</v>
      </c>
    </row>
    <row r="49" spans="1:8" x14ac:dyDescent="0.25">
      <c r="B49" t="s">
        <v>98</v>
      </c>
      <c r="C49" t="s">
        <v>17</v>
      </c>
    </row>
    <row r="50" spans="1:8" x14ac:dyDescent="0.25">
      <c r="B50" t="s">
        <v>107</v>
      </c>
      <c r="C50" t="s">
        <v>103</v>
      </c>
    </row>
    <row r="53" spans="1:8" x14ac:dyDescent="0.25">
      <c r="A53" s="2" t="s">
        <v>108</v>
      </c>
    </row>
    <row r="54" spans="1:8" x14ac:dyDescent="0.25">
      <c r="B54" t="s">
        <v>109</v>
      </c>
      <c r="C54" t="s">
        <v>17</v>
      </c>
      <c r="D54" t="s">
        <v>110</v>
      </c>
    </row>
    <row r="56" spans="1:8" x14ac:dyDescent="0.25">
      <c r="A56" s="2" t="s">
        <v>111</v>
      </c>
      <c r="F56" s="1" t="s">
        <v>112</v>
      </c>
      <c r="G56" s="1"/>
      <c r="H56" s="1"/>
    </row>
    <row r="57" spans="1:8" x14ac:dyDescent="0.25">
      <c r="B57" t="s">
        <v>113</v>
      </c>
      <c r="C57" t="s">
        <v>17</v>
      </c>
      <c r="D57" t="s">
        <v>35</v>
      </c>
      <c r="F57" s="10" t="s">
        <v>114</v>
      </c>
    </row>
    <row r="58" spans="1:8" x14ac:dyDescent="0.25">
      <c r="B58" t="s">
        <v>115</v>
      </c>
      <c r="C58" t="s">
        <v>17</v>
      </c>
      <c r="D58" t="s">
        <v>35</v>
      </c>
      <c r="F58" s="10" t="s">
        <v>116</v>
      </c>
    </row>
    <row r="59" spans="1:8" x14ac:dyDescent="0.25">
      <c r="B59" t="s">
        <v>112</v>
      </c>
      <c r="C59" t="s">
        <v>17</v>
      </c>
      <c r="F59" s="10" t="s">
        <v>117</v>
      </c>
    </row>
    <row r="60" spans="1:8" x14ac:dyDescent="0.25">
      <c r="B60" t="s">
        <v>118</v>
      </c>
      <c r="C60" t="s">
        <v>17</v>
      </c>
      <c r="D60" t="s">
        <v>35</v>
      </c>
      <c r="F60" s="10" t="s">
        <v>119</v>
      </c>
    </row>
    <row r="61" spans="1:8" x14ac:dyDescent="0.25">
      <c r="B61" t="s">
        <v>120</v>
      </c>
      <c r="C61" t="s">
        <v>17</v>
      </c>
      <c r="D61" t="s">
        <v>35</v>
      </c>
      <c r="F61" s="10" t="s">
        <v>121</v>
      </c>
    </row>
    <row r="62" spans="1:8" x14ac:dyDescent="0.25">
      <c r="B62" t="s">
        <v>122</v>
      </c>
      <c r="C62" t="s">
        <v>17</v>
      </c>
      <c r="D62" t="s">
        <v>35</v>
      </c>
    </row>
    <row r="63" spans="1:8" x14ac:dyDescent="0.25">
      <c r="B63" t="s">
        <v>123</v>
      </c>
      <c r="C63" t="s">
        <v>17</v>
      </c>
      <c r="D63" t="s">
        <v>35</v>
      </c>
    </row>
    <row r="64" spans="1:8" x14ac:dyDescent="0.25">
      <c r="B64" t="s">
        <v>124</v>
      </c>
      <c r="C64" t="s">
        <v>17</v>
      </c>
      <c r="D64" t="s">
        <v>35</v>
      </c>
    </row>
    <row r="65" spans="1:7" x14ac:dyDescent="0.25">
      <c r="B65" t="s">
        <v>125</v>
      </c>
      <c r="C65" t="s">
        <v>17</v>
      </c>
      <c r="D65" t="s">
        <v>35</v>
      </c>
    </row>
    <row r="66" spans="1:7" x14ac:dyDescent="0.25">
      <c r="B66" t="s">
        <v>123</v>
      </c>
      <c r="C66" t="s">
        <v>17</v>
      </c>
      <c r="D66" t="s">
        <v>35</v>
      </c>
    </row>
    <row r="67" spans="1:7" x14ac:dyDescent="0.25">
      <c r="B67" t="s">
        <v>126</v>
      </c>
      <c r="C67" t="s">
        <v>127</v>
      </c>
    </row>
    <row r="68" spans="1:7" x14ac:dyDescent="0.25">
      <c r="B68" t="s">
        <v>128</v>
      </c>
      <c r="C68" t="s">
        <v>17</v>
      </c>
      <c r="D68" t="s">
        <v>35</v>
      </c>
    </row>
    <row r="69" spans="1:7" x14ac:dyDescent="0.25">
      <c r="B69" t="s">
        <v>129</v>
      </c>
      <c r="C69" t="s">
        <v>127</v>
      </c>
    </row>
    <row r="70" spans="1:7" x14ac:dyDescent="0.25">
      <c r="B70" t="s">
        <v>130</v>
      </c>
      <c r="C70" t="s">
        <v>17</v>
      </c>
      <c r="D70" t="s">
        <v>35</v>
      </c>
    </row>
    <row r="71" spans="1:7" x14ac:dyDescent="0.25">
      <c r="B71" t="s">
        <v>131</v>
      </c>
      <c r="C71" t="s">
        <v>127</v>
      </c>
    </row>
    <row r="72" spans="1:7" x14ac:dyDescent="0.25">
      <c r="B72" t="s">
        <v>132</v>
      </c>
      <c r="C72" t="s">
        <v>17</v>
      </c>
      <c r="D72" t="s">
        <v>35</v>
      </c>
    </row>
    <row r="76" spans="1:7" x14ac:dyDescent="0.25">
      <c r="A76" s="2" t="s">
        <v>133</v>
      </c>
      <c r="F76" s="1" t="s">
        <v>112</v>
      </c>
      <c r="G76" s="1"/>
    </row>
    <row r="77" spans="1:7" x14ac:dyDescent="0.25">
      <c r="B77" t="s">
        <v>113</v>
      </c>
      <c r="C77" t="s">
        <v>17</v>
      </c>
      <c r="D77" t="s">
        <v>35</v>
      </c>
      <c r="F77" s="10" t="s">
        <v>114</v>
      </c>
      <c r="G77" s="1"/>
    </row>
    <row r="78" spans="1:7" x14ac:dyDescent="0.25">
      <c r="B78" t="s">
        <v>115</v>
      </c>
      <c r="C78" t="s">
        <v>17</v>
      </c>
      <c r="D78" t="s">
        <v>35</v>
      </c>
      <c r="F78" s="10" t="s">
        <v>116</v>
      </c>
      <c r="G78" s="1"/>
    </row>
    <row r="79" spans="1:7" x14ac:dyDescent="0.25">
      <c r="B79" t="s">
        <v>112</v>
      </c>
      <c r="C79" t="s">
        <v>17</v>
      </c>
      <c r="F79" s="10" t="s">
        <v>117</v>
      </c>
      <c r="G79" s="1"/>
    </row>
    <row r="80" spans="1:7" x14ac:dyDescent="0.25">
      <c r="B80" t="s">
        <v>118</v>
      </c>
      <c r="C80" t="s">
        <v>17</v>
      </c>
      <c r="D80" t="s">
        <v>35</v>
      </c>
      <c r="F80" s="10" t="s">
        <v>119</v>
      </c>
      <c r="G80" s="1"/>
    </row>
    <row r="81" spans="1:7" x14ac:dyDescent="0.25">
      <c r="B81" t="s">
        <v>123</v>
      </c>
      <c r="C81" t="s">
        <v>17</v>
      </c>
      <c r="D81" t="s">
        <v>35</v>
      </c>
      <c r="F81" s="10" t="s">
        <v>121</v>
      </c>
      <c r="G81" s="1"/>
    </row>
    <row r="82" spans="1:7" x14ac:dyDescent="0.25">
      <c r="B82" t="s">
        <v>124</v>
      </c>
      <c r="C82" t="s">
        <v>17</v>
      </c>
      <c r="D82" t="s">
        <v>35</v>
      </c>
      <c r="G82" s="1"/>
    </row>
    <row r="83" spans="1:7" x14ac:dyDescent="0.25">
      <c r="B83" t="s">
        <v>125</v>
      </c>
      <c r="C83" t="s">
        <v>17</v>
      </c>
      <c r="D83" t="s">
        <v>35</v>
      </c>
      <c r="G83" s="1"/>
    </row>
    <row r="84" spans="1:7" x14ac:dyDescent="0.25">
      <c r="B84" t="s">
        <v>132</v>
      </c>
      <c r="C84" t="s">
        <v>17</v>
      </c>
      <c r="D84" t="s">
        <v>35</v>
      </c>
    </row>
    <row r="87" spans="1:7" x14ac:dyDescent="0.25">
      <c r="A87" s="2" t="s">
        <v>134</v>
      </c>
      <c r="F87" s="1"/>
      <c r="G87" s="1"/>
    </row>
    <row r="88" spans="1:7" x14ac:dyDescent="0.25">
      <c r="B88" t="s">
        <v>123</v>
      </c>
      <c r="C88" t="s">
        <v>41</v>
      </c>
    </row>
    <row r="89" spans="1:7" x14ac:dyDescent="0.25">
      <c r="B89" t="s">
        <v>124</v>
      </c>
      <c r="C89" t="s">
        <v>17</v>
      </c>
      <c r="D89" t="s">
        <v>35</v>
      </c>
    </row>
    <row r="90" spans="1:7" x14ac:dyDescent="0.25">
      <c r="B90" t="s">
        <v>125</v>
      </c>
      <c r="C90" t="s">
        <v>17</v>
      </c>
      <c r="D90" t="s">
        <v>35</v>
      </c>
    </row>
    <row r="91" spans="1:7" x14ac:dyDescent="0.25">
      <c r="B91" t="s">
        <v>123</v>
      </c>
      <c r="C91" t="s">
        <v>17</v>
      </c>
      <c r="D91" t="s">
        <v>35</v>
      </c>
    </row>
    <row r="92" spans="1:7" x14ac:dyDescent="0.25">
      <c r="B92" t="s">
        <v>126</v>
      </c>
      <c r="C92" t="s">
        <v>127</v>
      </c>
    </row>
    <row r="93" spans="1:7" x14ac:dyDescent="0.25">
      <c r="B93" t="s">
        <v>128</v>
      </c>
      <c r="C93" t="s">
        <v>17</v>
      </c>
      <c r="D93" t="s">
        <v>35</v>
      </c>
    </row>
    <row r="94" spans="1:7" x14ac:dyDescent="0.25">
      <c r="B94" t="s">
        <v>129</v>
      </c>
      <c r="C94" t="s">
        <v>127</v>
      </c>
    </row>
    <row r="95" spans="1:7" x14ac:dyDescent="0.25">
      <c r="B95" t="s">
        <v>130</v>
      </c>
      <c r="C95" t="s">
        <v>17</v>
      </c>
      <c r="D95" t="s">
        <v>35</v>
      </c>
    </row>
    <row r="96" spans="1:7" x14ac:dyDescent="0.25">
      <c r="B96" t="s">
        <v>131</v>
      </c>
      <c r="C96" t="s">
        <v>127</v>
      </c>
    </row>
    <row r="97" spans="1:7" x14ac:dyDescent="0.25">
      <c r="B97" t="s">
        <v>132</v>
      </c>
      <c r="C97" t="s">
        <v>17</v>
      </c>
      <c r="D97" t="s">
        <v>35</v>
      </c>
    </row>
    <row r="101" spans="1:7" x14ac:dyDescent="0.25">
      <c r="A101" s="2" t="s">
        <v>135</v>
      </c>
      <c r="F101" s="1" t="s">
        <v>136</v>
      </c>
      <c r="G101" s="1" t="s">
        <v>137</v>
      </c>
    </row>
    <row r="102" spans="1:7" x14ac:dyDescent="0.25">
      <c r="B102" t="s">
        <v>136</v>
      </c>
      <c r="C102" t="s">
        <v>17</v>
      </c>
      <c r="F102" t="s">
        <v>138</v>
      </c>
      <c r="G102" t="s">
        <v>139</v>
      </c>
    </row>
    <row r="103" spans="1:7" x14ac:dyDescent="0.25">
      <c r="B103" t="s">
        <v>137</v>
      </c>
      <c r="C103" t="s">
        <v>17</v>
      </c>
      <c r="D103" t="s">
        <v>35</v>
      </c>
      <c r="F103" t="s">
        <v>140</v>
      </c>
      <c r="G103" t="s">
        <v>141</v>
      </c>
    </row>
    <row r="104" spans="1:7" x14ac:dyDescent="0.25">
      <c r="F104" t="s">
        <v>142</v>
      </c>
      <c r="G104" t="s">
        <v>99</v>
      </c>
    </row>
    <row r="105" spans="1:7" x14ac:dyDescent="0.25">
      <c r="F105" t="s">
        <v>143</v>
      </c>
      <c r="G105" t="s">
        <v>144</v>
      </c>
    </row>
    <row r="111" spans="1:7" x14ac:dyDescent="0.25">
      <c r="A111" s="2" t="s">
        <v>145</v>
      </c>
      <c r="F111" s="1" t="s">
        <v>146</v>
      </c>
      <c r="G111" s="1"/>
    </row>
    <row r="112" spans="1:7" x14ac:dyDescent="0.25">
      <c r="B112" t="s">
        <v>147</v>
      </c>
      <c r="C112" t="s">
        <v>127</v>
      </c>
      <c r="F112" t="s">
        <v>139</v>
      </c>
    </row>
    <row r="113" spans="1:7" x14ac:dyDescent="0.25">
      <c r="B113" t="s">
        <v>148</v>
      </c>
      <c r="C113" t="s">
        <v>127</v>
      </c>
      <c r="F113" t="s">
        <v>141</v>
      </c>
    </row>
    <row r="114" spans="1:7" x14ac:dyDescent="0.25">
      <c r="B114" t="s">
        <v>149</v>
      </c>
      <c r="C114" t="s">
        <v>127</v>
      </c>
      <c r="F114" t="s">
        <v>99</v>
      </c>
    </row>
    <row r="115" spans="1:7" x14ac:dyDescent="0.25">
      <c r="B115" t="s">
        <v>150</v>
      </c>
      <c r="C115" t="s">
        <v>127</v>
      </c>
      <c r="F115" t="s">
        <v>144</v>
      </c>
    </row>
    <row r="116" spans="1:7" x14ac:dyDescent="0.25">
      <c r="B116" t="s">
        <v>151</v>
      </c>
      <c r="C116" t="s">
        <v>127</v>
      </c>
    </row>
    <row r="117" spans="1:7" x14ac:dyDescent="0.25">
      <c r="B117" t="s">
        <v>146</v>
      </c>
      <c r="C117" t="s">
        <v>17</v>
      </c>
    </row>
    <row r="119" spans="1:7" x14ac:dyDescent="0.25">
      <c r="A119" s="2" t="s">
        <v>152</v>
      </c>
      <c r="B119" s="3" t="s">
        <v>153</v>
      </c>
      <c r="C119" s="3"/>
      <c r="D119" s="3"/>
    </row>
    <row r="120" spans="1:7" x14ac:dyDescent="0.25">
      <c r="B120" t="s">
        <v>154</v>
      </c>
      <c r="C120" t="s">
        <v>41</v>
      </c>
    </row>
    <row r="121" spans="1:7" x14ac:dyDescent="0.25">
      <c r="B121" t="s">
        <v>155</v>
      </c>
      <c r="C121" t="s">
        <v>41</v>
      </c>
    </row>
    <row r="122" spans="1:7" x14ac:dyDescent="0.25">
      <c r="B122" t="s">
        <v>156</v>
      </c>
      <c r="C122" t="s">
        <v>41</v>
      </c>
    </row>
    <row r="123" spans="1:7" x14ac:dyDescent="0.25">
      <c r="B123" t="s">
        <v>157</v>
      </c>
      <c r="C123" t="s">
        <v>41</v>
      </c>
    </row>
    <row r="125" spans="1:7" x14ac:dyDescent="0.25">
      <c r="A125" s="2" t="s">
        <v>158</v>
      </c>
    </row>
    <row r="126" spans="1:7" x14ac:dyDescent="0.25">
      <c r="B126" t="s">
        <v>159</v>
      </c>
      <c r="C126" t="s">
        <v>127</v>
      </c>
    </row>
    <row r="128" spans="1:7" x14ac:dyDescent="0.25">
      <c r="A128" s="2" t="s">
        <v>160</v>
      </c>
      <c r="F128" s="1" t="s">
        <v>161</v>
      </c>
      <c r="G128" s="1"/>
    </row>
    <row r="129" spans="2:6" x14ac:dyDescent="0.25">
      <c r="B129" t="s">
        <v>161</v>
      </c>
      <c r="C129" t="s">
        <v>17</v>
      </c>
      <c r="F129" s="7" t="s">
        <v>162</v>
      </c>
    </row>
    <row r="130" spans="2:6" x14ac:dyDescent="0.25">
      <c r="B130" t="s">
        <v>163</v>
      </c>
      <c r="C130" t="s">
        <v>127</v>
      </c>
      <c r="F130" s="7" t="s">
        <v>164</v>
      </c>
    </row>
    <row r="131" spans="2:6" x14ac:dyDescent="0.25">
      <c r="F131" s="7" t="s">
        <v>165</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CC317-0C6F-45F6-A039-10947180B1D2}">
  <sheetPr>
    <tabColor rgb="FFFFFF00"/>
  </sheetPr>
  <dimension ref="A1:AB308"/>
  <sheetViews>
    <sheetView tabSelected="1" zoomScaleNormal="100" workbookViewId="0">
      <pane xSplit="4" ySplit="1" topLeftCell="E2" activePane="bottomRight" state="frozen"/>
      <selection pane="topRight" activeCell="D1" sqref="D1"/>
      <selection pane="bottomLeft" activeCell="A4" sqref="A4"/>
      <selection pane="bottomRight" activeCell="C9" sqref="C9"/>
    </sheetView>
  </sheetViews>
  <sheetFormatPr defaultColWidth="8.85546875" defaultRowHeight="15" outlineLevelCol="1" x14ac:dyDescent="0.25"/>
  <cols>
    <col min="1" max="1" width="15" style="45" customWidth="1"/>
    <col min="2" max="2" width="28.42578125" style="45" customWidth="1" outlineLevel="1"/>
    <col min="3" max="3" width="32.5703125" style="45" customWidth="1" outlineLevel="1"/>
    <col min="4" max="4" width="28" style="62" customWidth="1"/>
    <col min="5" max="5" width="7.28515625" style="45" customWidth="1" outlineLevel="1"/>
    <col min="6" max="6" width="15.140625" style="46" customWidth="1" outlineLevel="1"/>
    <col min="7" max="7" width="23.28515625" style="47" customWidth="1"/>
    <col min="8" max="8" width="11.7109375" style="47" customWidth="1"/>
    <col min="9" max="9" width="15.140625" style="45" hidden="1" customWidth="1" outlineLevel="1"/>
    <col min="10" max="10" width="14.7109375" style="45" hidden="1" customWidth="1" outlineLevel="1"/>
    <col min="11" max="11" width="13.5703125" style="45" hidden="1" customWidth="1" outlineLevel="1"/>
    <col min="12" max="12" width="40.85546875" style="47" customWidth="1" collapsed="1"/>
    <col min="13" max="13" width="37.7109375" style="47" customWidth="1" outlineLevel="1"/>
    <col min="14" max="14" width="14.85546875" style="45" customWidth="1" outlineLevel="1"/>
    <col min="15" max="15" width="9.85546875" style="45" customWidth="1"/>
    <col min="16" max="18" width="8.85546875" style="45" hidden="1" customWidth="1" outlineLevel="1"/>
    <col min="19" max="19" width="10.7109375" style="45" hidden="1" customWidth="1" outlineLevel="1"/>
    <col min="20" max="20" width="12.5703125" style="48" hidden="1" customWidth="1" outlineLevel="1"/>
    <col min="21" max="21" width="11.5703125" style="48" customWidth="1" collapsed="1"/>
    <col min="22" max="22" width="8.85546875" style="48" hidden="1" customWidth="1" outlineLevel="1"/>
    <col min="23" max="23" width="9.28515625" style="48" bestFit="1" customWidth="1" collapsed="1"/>
    <col min="24" max="24" width="9.85546875" style="45" bestFit="1" customWidth="1"/>
    <col min="25" max="26" width="9.85546875" style="45" customWidth="1"/>
    <col min="27" max="27" width="65.140625" style="47" customWidth="1"/>
    <col min="28" max="28" width="36.5703125" style="47" customWidth="1"/>
    <col min="29" max="16384" width="8.85546875" style="45"/>
  </cols>
  <sheetData>
    <row r="1" spans="1:28" s="53" customFormat="1" ht="90" x14ac:dyDescent="0.25">
      <c r="A1" s="50" t="s">
        <v>844</v>
      </c>
      <c r="B1" s="50" t="s">
        <v>409</v>
      </c>
      <c r="C1" s="51" t="s">
        <v>263</v>
      </c>
      <c r="D1" s="50" t="s">
        <v>845</v>
      </c>
      <c r="E1" s="49" t="s">
        <v>231</v>
      </c>
      <c r="F1" s="50" t="s">
        <v>214</v>
      </c>
      <c r="G1" s="50" t="s">
        <v>166</v>
      </c>
      <c r="H1" s="50" t="s">
        <v>1060</v>
      </c>
      <c r="I1" s="51" t="s">
        <v>220</v>
      </c>
      <c r="J1" s="52" t="s">
        <v>336</v>
      </c>
      <c r="K1" s="50" t="s">
        <v>273</v>
      </c>
      <c r="L1" s="50" t="s">
        <v>167</v>
      </c>
      <c r="M1" s="50" t="s">
        <v>828</v>
      </c>
      <c r="N1" s="67" t="s">
        <v>827</v>
      </c>
      <c r="O1" s="50" t="s">
        <v>896</v>
      </c>
      <c r="P1" s="50" t="s">
        <v>901</v>
      </c>
      <c r="Q1" s="50" t="s">
        <v>856</v>
      </c>
      <c r="R1" s="50" t="s">
        <v>905</v>
      </c>
      <c r="S1" s="50" t="s">
        <v>918</v>
      </c>
      <c r="T1" s="54" t="s">
        <v>318</v>
      </c>
      <c r="U1" s="55" t="s">
        <v>334</v>
      </c>
      <c r="V1" s="56" t="s">
        <v>325</v>
      </c>
      <c r="W1" s="56" t="s">
        <v>329</v>
      </c>
      <c r="X1" s="50" t="s">
        <v>861</v>
      </c>
      <c r="Y1" s="50" t="s">
        <v>862</v>
      </c>
      <c r="Z1" s="50" t="s">
        <v>863</v>
      </c>
      <c r="AA1" s="50" t="s">
        <v>824</v>
      </c>
      <c r="AB1" s="50" t="s">
        <v>825</v>
      </c>
    </row>
    <row r="2" spans="1:28" x14ac:dyDescent="0.25">
      <c r="A2" s="48">
        <v>1001</v>
      </c>
      <c r="B2" s="64" t="s">
        <v>328</v>
      </c>
      <c r="C2" s="45" t="s">
        <v>174</v>
      </c>
      <c r="D2" s="62" t="s">
        <v>411</v>
      </c>
      <c r="E2" s="45">
        <v>0</v>
      </c>
      <c r="F2" s="46">
        <v>23</v>
      </c>
      <c r="G2" s="47" t="s">
        <v>169</v>
      </c>
      <c r="H2" s="47" t="s">
        <v>928</v>
      </c>
      <c r="I2" s="45" t="s">
        <v>219</v>
      </c>
      <c r="M2" s="47" t="s">
        <v>906</v>
      </c>
      <c r="N2" s="45" t="s">
        <v>886</v>
      </c>
      <c r="O2" s="45" t="s">
        <v>900</v>
      </c>
      <c r="P2" s="68" t="e">
        <f>VLOOKUP(B2,#REF!,2,FALSE)</f>
        <v>#REF!</v>
      </c>
      <c r="Q2" s="68" t="e">
        <f>VLOOKUP(B2,#REF!,3,FALSE)</f>
        <v>#REF!</v>
      </c>
      <c r="R2" s="68" t="e">
        <f>VLOOKUP($W2,#REF!,2,FALSE)</f>
        <v>#REF!</v>
      </c>
      <c r="S2" s="73" t="e">
        <f>VLOOKUP($W2,#REF!,7,FALSE)</f>
        <v>#REF!</v>
      </c>
      <c r="T2" s="48">
        <v>9</v>
      </c>
      <c r="U2" s="48">
        <v>0</v>
      </c>
      <c r="V2" s="57" t="e">
        <f>IF(ISNUMBER(U2),HLOOKUP(U2,#REF!,2,FALSE)*E2,"")</f>
        <v>#REF!</v>
      </c>
      <c r="W2" s="48" t="s">
        <v>902</v>
      </c>
      <c r="X2" s="59">
        <v>45923</v>
      </c>
      <c r="Y2" s="59">
        <v>45925</v>
      </c>
      <c r="Z2" s="59">
        <v>45929</v>
      </c>
      <c r="AA2" s="45"/>
      <c r="AB2" s="45"/>
    </row>
    <row r="3" spans="1:28" x14ac:dyDescent="0.25">
      <c r="A3" s="48">
        <v>1002</v>
      </c>
      <c r="B3" s="64" t="s">
        <v>328</v>
      </c>
      <c r="C3" s="45" t="s">
        <v>174</v>
      </c>
      <c r="D3" s="62" t="s">
        <v>412</v>
      </c>
      <c r="E3" s="45">
        <v>0</v>
      </c>
      <c r="F3" s="46">
        <v>23</v>
      </c>
      <c r="G3" s="47" t="s">
        <v>169</v>
      </c>
      <c r="H3" s="47" t="s">
        <v>928</v>
      </c>
      <c r="I3" s="45" t="s">
        <v>219</v>
      </c>
      <c r="M3" s="47" t="s">
        <v>907</v>
      </c>
      <c r="N3" s="45" t="s">
        <v>886</v>
      </c>
      <c r="O3" s="45" t="s">
        <v>900</v>
      </c>
      <c r="P3" s="68" t="e">
        <f>VLOOKUP(B3,#REF!,2,FALSE)</f>
        <v>#REF!</v>
      </c>
      <c r="Q3" s="68" t="e">
        <f>VLOOKUP(B3,#REF!,3,FALSE)</f>
        <v>#REF!</v>
      </c>
      <c r="R3" s="68" t="e">
        <f>VLOOKUP($W3,#REF!,2,FALSE)</f>
        <v>#REF!</v>
      </c>
      <c r="S3" s="73" t="e">
        <f>VLOOKUP($W3,#REF!,7,FALSE)</f>
        <v>#REF!</v>
      </c>
      <c r="T3" s="48">
        <v>9</v>
      </c>
      <c r="U3" s="48">
        <v>0</v>
      </c>
      <c r="V3" s="57" t="e">
        <f>IF(ISNUMBER(U3),HLOOKUP(U3,#REF!,2,FALSE)*E3,"")</f>
        <v>#REF!</v>
      </c>
      <c r="W3" s="48" t="s">
        <v>902</v>
      </c>
      <c r="X3" s="59">
        <v>45923</v>
      </c>
      <c r="Y3" s="59">
        <v>45925</v>
      </c>
      <c r="Z3" s="59">
        <v>45929</v>
      </c>
      <c r="AA3" s="45"/>
      <c r="AB3" s="45"/>
    </row>
    <row r="4" spans="1:28" x14ac:dyDescent="0.25">
      <c r="A4" s="48">
        <v>1003</v>
      </c>
      <c r="B4" s="64" t="s">
        <v>328</v>
      </c>
      <c r="C4" s="45" t="s">
        <v>174</v>
      </c>
      <c r="D4" s="62" t="s">
        <v>413</v>
      </c>
      <c r="E4" s="45">
        <v>0</v>
      </c>
      <c r="F4" s="46">
        <v>23</v>
      </c>
      <c r="G4" s="47" t="s">
        <v>169</v>
      </c>
      <c r="H4" s="47" t="s">
        <v>928</v>
      </c>
      <c r="I4" s="45" t="s">
        <v>219</v>
      </c>
      <c r="M4" s="47" t="s">
        <v>908</v>
      </c>
      <c r="N4" s="45" t="s">
        <v>886</v>
      </c>
      <c r="O4" s="45" t="s">
        <v>900</v>
      </c>
      <c r="P4" s="68" t="e">
        <f>VLOOKUP(B4,#REF!,2,FALSE)</f>
        <v>#REF!</v>
      </c>
      <c r="Q4" s="68" t="e">
        <f>VLOOKUP(B4,#REF!,3,FALSE)</f>
        <v>#REF!</v>
      </c>
      <c r="R4" s="68" t="e">
        <f>VLOOKUP($W4,#REF!,2,FALSE)</f>
        <v>#REF!</v>
      </c>
      <c r="S4" s="73" t="e">
        <f>VLOOKUP($W4,#REF!,7,FALSE)</f>
        <v>#REF!</v>
      </c>
      <c r="T4" s="48">
        <v>9</v>
      </c>
      <c r="U4" s="48">
        <v>0</v>
      </c>
      <c r="V4" s="57" t="e">
        <f>IF(ISNUMBER(U4),HLOOKUP(U4,#REF!,2,FALSE)*E4,"")</f>
        <v>#REF!</v>
      </c>
      <c r="W4" s="48" t="s">
        <v>902</v>
      </c>
      <c r="X4" s="59">
        <v>45923</v>
      </c>
      <c r="Y4" s="59">
        <v>45925</v>
      </c>
      <c r="Z4" s="59">
        <v>45929</v>
      </c>
      <c r="AA4" s="45"/>
      <c r="AB4" s="45"/>
    </row>
    <row r="5" spans="1:28" x14ac:dyDescent="0.25">
      <c r="A5" s="48">
        <v>1004</v>
      </c>
      <c r="B5" s="64" t="s">
        <v>328</v>
      </c>
      <c r="C5" s="45" t="s">
        <v>174</v>
      </c>
      <c r="D5" s="62" t="s">
        <v>414</v>
      </c>
      <c r="E5" s="45">
        <v>0</v>
      </c>
      <c r="F5" s="46">
        <v>23</v>
      </c>
      <c r="G5" s="47" t="s">
        <v>169</v>
      </c>
      <c r="H5" s="47" t="s">
        <v>928</v>
      </c>
      <c r="I5" s="45" t="s">
        <v>219</v>
      </c>
      <c r="M5" s="47" t="s">
        <v>909</v>
      </c>
      <c r="N5" s="45" t="s">
        <v>886</v>
      </c>
      <c r="O5" s="45" t="s">
        <v>900</v>
      </c>
      <c r="P5" s="68" t="e">
        <f>VLOOKUP(B5,#REF!,2,FALSE)</f>
        <v>#REF!</v>
      </c>
      <c r="Q5" s="68" t="e">
        <f>VLOOKUP(B5,#REF!,3,FALSE)</f>
        <v>#REF!</v>
      </c>
      <c r="R5" s="68" t="e">
        <f>VLOOKUP($W5,#REF!,2,FALSE)</f>
        <v>#REF!</v>
      </c>
      <c r="S5" s="73" t="e">
        <f>VLOOKUP($W5,#REF!,7,FALSE)</f>
        <v>#REF!</v>
      </c>
      <c r="T5" s="48">
        <v>9</v>
      </c>
      <c r="U5" s="48">
        <v>0</v>
      </c>
      <c r="V5" s="57" t="e">
        <f>IF(ISNUMBER(U5),HLOOKUP(U5,#REF!,2,FALSE)*E5,"")</f>
        <v>#REF!</v>
      </c>
      <c r="W5" s="48" t="s">
        <v>902</v>
      </c>
      <c r="X5" s="59">
        <v>45923</v>
      </c>
      <c r="Y5" s="59">
        <v>45925</v>
      </c>
      <c r="Z5" s="59">
        <v>45929</v>
      </c>
      <c r="AA5" s="45"/>
      <c r="AB5" s="45"/>
    </row>
    <row r="6" spans="1:28" x14ac:dyDescent="0.25">
      <c r="A6" s="48">
        <v>1005</v>
      </c>
      <c r="B6" s="64" t="s">
        <v>328</v>
      </c>
      <c r="C6" s="45" t="s">
        <v>171</v>
      </c>
      <c r="D6" s="62" t="s">
        <v>219</v>
      </c>
      <c r="E6" s="45">
        <v>0</v>
      </c>
      <c r="F6" s="46">
        <v>23</v>
      </c>
      <c r="G6" s="47" t="s">
        <v>251</v>
      </c>
      <c r="H6" s="47" t="s">
        <v>928</v>
      </c>
      <c r="I6" s="45" t="s">
        <v>219</v>
      </c>
      <c r="M6" s="47" t="s">
        <v>906</v>
      </c>
      <c r="N6" s="45" t="s">
        <v>886</v>
      </c>
      <c r="O6" s="45" t="s">
        <v>900</v>
      </c>
      <c r="P6" s="68" t="e">
        <f>VLOOKUP(B6,#REF!,2,FALSE)</f>
        <v>#REF!</v>
      </c>
      <c r="Q6" s="68" t="e">
        <f>VLOOKUP(B6,#REF!,3,FALSE)</f>
        <v>#REF!</v>
      </c>
      <c r="R6" s="68" t="e">
        <f>VLOOKUP($W6,#REF!,2,FALSE)</f>
        <v>#REF!</v>
      </c>
      <c r="S6" s="73" t="e">
        <f>VLOOKUP($W6,#REF!,7,FALSE)</f>
        <v>#REF!</v>
      </c>
      <c r="T6" s="48">
        <v>9</v>
      </c>
      <c r="U6" s="48">
        <v>0</v>
      </c>
      <c r="V6" s="57" t="e">
        <f>IF(ISNUMBER(U6),HLOOKUP(U6,#REF!,2,FALSE)*E6,"")</f>
        <v>#REF!</v>
      </c>
      <c r="W6" s="48" t="s">
        <v>902</v>
      </c>
      <c r="X6" s="59">
        <v>45923</v>
      </c>
      <c r="Y6" s="59">
        <v>45925</v>
      </c>
      <c r="Z6" s="59">
        <v>45929</v>
      </c>
      <c r="AA6" s="45"/>
      <c r="AB6" s="45"/>
    </row>
    <row r="7" spans="1:28" x14ac:dyDescent="0.25">
      <c r="A7" s="48">
        <v>1006</v>
      </c>
      <c r="B7" s="64" t="s">
        <v>328</v>
      </c>
      <c r="C7" s="45" t="s">
        <v>171</v>
      </c>
      <c r="D7" s="62" t="s">
        <v>218</v>
      </c>
      <c r="E7" s="45">
        <v>1</v>
      </c>
      <c r="F7" s="46" t="s">
        <v>224</v>
      </c>
      <c r="G7" s="47" t="s">
        <v>251</v>
      </c>
      <c r="H7" s="47" t="s">
        <v>928</v>
      </c>
      <c r="I7" s="45" t="s">
        <v>219</v>
      </c>
      <c r="J7" s="45" t="s">
        <v>218</v>
      </c>
      <c r="M7" s="47" t="s">
        <v>910</v>
      </c>
      <c r="N7" s="45" t="s">
        <v>886</v>
      </c>
      <c r="O7" s="45" t="s">
        <v>900</v>
      </c>
      <c r="P7" s="68" t="e">
        <f>VLOOKUP(B7,#REF!,2,FALSE)</f>
        <v>#REF!</v>
      </c>
      <c r="Q7" s="68" t="e">
        <f>VLOOKUP(B7,#REF!,3,FALSE)</f>
        <v>#REF!</v>
      </c>
      <c r="R7" s="68" t="e">
        <f>VLOOKUP($W7,#REF!,2,FALSE)</f>
        <v>#REF!</v>
      </c>
      <c r="S7" s="73" t="e">
        <f>VLOOKUP($W7,#REF!,7,FALSE)</f>
        <v>#REF!</v>
      </c>
      <c r="T7" s="48">
        <v>4</v>
      </c>
      <c r="U7" s="48">
        <v>1</v>
      </c>
      <c r="V7" s="57" t="e">
        <f>IF(ISNUMBER(U7),HLOOKUP(U7,#REF!,2,FALSE)*E7,"")</f>
        <v>#REF!</v>
      </c>
      <c r="W7" s="48" t="s">
        <v>333</v>
      </c>
      <c r="X7" s="59">
        <v>45923</v>
      </c>
      <c r="Y7" s="59">
        <v>45925</v>
      </c>
      <c r="Z7" s="59">
        <v>45929</v>
      </c>
      <c r="AA7" s="45"/>
      <c r="AB7" s="45"/>
    </row>
    <row r="8" spans="1:28" x14ac:dyDescent="0.25">
      <c r="A8" s="69">
        <v>1305</v>
      </c>
      <c r="B8" s="71" t="s">
        <v>328</v>
      </c>
      <c r="C8" s="71" t="s">
        <v>10</v>
      </c>
      <c r="D8" s="72" t="s">
        <v>16</v>
      </c>
      <c r="E8" s="45">
        <v>0</v>
      </c>
      <c r="F8" s="46">
        <v>0</v>
      </c>
      <c r="G8" s="47" t="s">
        <v>944</v>
      </c>
      <c r="H8" s="47" t="s">
        <v>928</v>
      </c>
      <c r="I8" s="45" t="s">
        <v>219</v>
      </c>
      <c r="L8" s="70" t="s">
        <v>942</v>
      </c>
      <c r="M8" s="47" t="s">
        <v>929</v>
      </c>
      <c r="N8" s="45" t="s">
        <v>886</v>
      </c>
      <c r="O8" s="45" t="s">
        <v>900</v>
      </c>
      <c r="P8" s="68" t="e">
        <f>VLOOKUP(B8,#REF!,2,FALSE)</f>
        <v>#REF!</v>
      </c>
      <c r="Q8" s="68" t="e">
        <f>VLOOKUP(B8,#REF!,3,FALSE)</f>
        <v>#REF!</v>
      </c>
      <c r="R8" s="71" t="e">
        <f>VLOOKUP($W8,#REF!,2,FALSE)</f>
        <v>#REF!</v>
      </c>
      <c r="S8" s="74" t="e">
        <f>VLOOKUP($W8,#REF!,7,FALSE)</f>
        <v>#REF!</v>
      </c>
      <c r="T8" s="69"/>
      <c r="U8" s="69">
        <v>1</v>
      </c>
      <c r="V8" s="57" t="e">
        <f>IF(ISNUMBER(U8),HLOOKUP(U8,#REF!,2,FALSE)*E8,"")</f>
        <v>#REF!</v>
      </c>
      <c r="W8" s="69" t="s">
        <v>902</v>
      </c>
      <c r="X8" s="59">
        <v>45924</v>
      </c>
      <c r="Y8" s="59">
        <v>45925</v>
      </c>
      <c r="Z8" s="59">
        <v>45929</v>
      </c>
      <c r="AA8" s="45"/>
      <c r="AB8" s="45"/>
    </row>
    <row r="9" spans="1:28" ht="30" x14ac:dyDescent="0.25">
      <c r="A9" s="48">
        <v>1007</v>
      </c>
      <c r="B9" s="64" t="s">
        <v>328</v>
      </c>
      <c r="C9" s="45" t="s">
        <v>10</v>
      </c>
      <c r="D9" s="62" t="s">
        <v>12</v>
      </c>
      <c r="E9" s="45">
        <v>1</v>
      </c>
      <c r="F9" s="46">
        <v>24</v>
      </c>
      <c r="G9" s="47" t="s">
        <v>252</v>
      </c>
      <c r="H9" s="47" t="s">
        <v>928</v>
      </c>
      <c r="I9" s="45" t="s">
        <v>219</v>
      </c>
      <c r="K9" s="45" t="s">
        <v>313</v>
      </c>
      <c r="M9" s="47" t="s">
        <v>172</v>
      </c>
      <c r="N9" s="45" t="s">
        <v>886</v>
      </c>
      <c r="O9" s="59" t="s">
        <v>900</v>
      </c>
      <c r="P9" s="68" t="e">
        <f>VLOOKUP(B9,#REF!,2,FALSE)</f>
        <v>#REF!</v>
      </c>
      <c r="Q9" s="68" t="e">
        <f>VLOOKUP(B9,#REF!,3,FALSE)</f>
        <v>#REF!</v>
      </c>
      <c r="R9" s="68" t="e">
        <f>VLOOKUP($W9,#REF!,2,FALSE)</f>
        <v>#REF!</v>
      </c>
      <c r="S9" s="73" t="e">
        <f>VLOOKUP($W9,#REF!,7,FALSE)</f>
        <v>#REF!</v>
      </c>
      <c r="T9" s="48">
        <v>1</v>
      </c>
      <c r="U9" s="48">
        <v>3</v>
      </c>
      <c r="V9" s="57" t="e">
        <f>IF(ISNUMBER(U9),HLOOKUP(U9,#REF!,2,FALSE)*E9,"")</f>
        <v>#REF!</v>
      </c>
      <c r="W9" s="58" t="s">
        <v>330</v>
      </c>
      <c r="X9" s="59">
        <v>45918</v>
      </c>
      <c r="Y9" s="59">
        <v>45921</v>
      </c>
      <c r="Z9" s="59">
        <v>45922</v>
      </c>
    </row>
    <row r="10" spans="1:28" ht="45" x14ac:dyDescent="0.25">
      <c r="A10" s="48">
        <v>1008</v>
      </c>
      <c r="B10" s="64" t="s">
        <v>328</v>
      </c>
      <c r="C10" s="45" t="s">
        <v>10</v>
      </c>
      <c r="D10" s="62" t="s">
        <v>11</v>
      </c>
      <c r="E10" s="45">
        <v>1</v>
      </c>
      <c r="F10" s="46">
        <v>24</v>
      </c>
      <c r="G10" s="47" t="s">
        <v>1002</v>
      </c>
      <c r="H10" s="47" t="s">
        <v>928</v>
      </c>
      <c r="I10" s="45" t="s">
        <v>219</v>
      </c>
      <c r="K10" s="45" t="s">
        <v>272</v>
      </c>
      <c r="M10" s="47" t="s">
        <v>172</v>
      </c>
      <c r="N10" s="45" t="s">
        <v>886</v>
      </c>
      <c r="O10" s="59" t="s">
        <v>900</v>
      </c>
      <c r="P10" s="68" t="e">
        <f>VLOOKUP(B10,#REF!,2,FALSE)</f>
        <v>#REF!</v>
      </c>
      <c r="Q10" s="68" t="e">
        <f>VLOOKUP(B10,#REF!,3,FALSE)</f>
        <v>#REF!</v>
      </c>
      <c r="R10" s="68" t="e">
        <f>VLOOKUP($W10,#REF!,2,FALSE)</f>
        <v>#REF!</v>
      </c>
      <c r="S10" s="73" t="e">
        <f>VLOOKUP($W10,#REF!,7,FALSE)</f>
        <v>#REF!</v>
      </c>
      <c r="T10" s="48">
        <v>1</v>
      </c>
      <c r="U10" s="48">
        <v>3</v>
      </c>
      <c r="V10" s="57" t="e">
        <f>IF(ISNUMBER(U10),HLOOKUP(U10,#REF!,2,FALSE)*E10,"")</f>
        <v>#REF!</v>
      </c>
      <c r="W10" s="58" t="s">
        <v>330</v>
      </c>
      <c r="X10" s="59">
        <v>45918</v>
      </c>
      <c r="Y10" s="59">
        <v>45921</v>
      </c>
      <c r="Z10" s="59">
        <v>45922</v>
      </c>
    </row>
    <row r="11" spans="1:28" ht="45" x14ac:dyDescent="0.25">
      <c r="A11" s="48">
        <v>1009</v>
      </c>
      <c r="B11" s="64" t="s">
        <v>328</v>
      </c>
      <c r="C11" s="45" t="s">
        <v>10</v>
      </c>
      <c r="D11" s="62" t="s">
        <v>13</v>
      </c>
      <c r="E11" s="45">
        <v>1</v>
      </c>
      <c r="F11" s="46">
        <v>24</v>
      </c>
      <c r="G11" s="47" t="s">
        <v>1003</v>
      </c>
      <c r="H11" s="47" t="s">
        <v>928</v>
      </c>
      <c r="I11" s="45" t="s">
        <v>219</v>
      </c>
      <c r="K11" s="45" t="s">
        <v>312</v>
      </c>
      <c r="L11" s="47" t="s">
        <v>457</v>
      </c>
      <c r="M11" s="47" t="s">
        <v>172</v>
      </c>
      <c r="N11" s="45" t="s">
        <v>886</v>
      </c>
      <c r="O11" s="59" t="s">
        <v>900</v>
      </c>
      <c r="P11" s="68" t="e">
        <f>VLOOKUP(B11,#REF!,2,FALSE)</f>
        <v>#REF!</v>
      </c>
      <c r="Q11" s="68" t="e">
        <f>VLOOKUP(B11,#REF!,3,FALSE)</f>
        <v>#REF!</v>
      </c>
      <c r="R11" s="68" t="e">
        <f>VLOOKUP($W11,#REF!,2,FALSE)</f>
        <v>#REF!</v>
      </c>
      <c r="S11" s="73" t="e">
        <f>VLOOKUP($W11,#REF!,7,FALSE)</f>
        <v>#REF!</v>
      </c>
      <c r="T11" s="48">
        <v>1</v>
      </c>
      <c r="U11" s="48">
        <v>3</v>
      </c>
      <c r="V11" s="57" t="e">
        <f>IF(ISNUMBER(U11),HLOOKUP(U11,#REF!,2,FALSE)*E11,"")</f>
        <v>#REF!</v>
      </c>
      <c r="W11" s="58" t="s">
        <v>330</v>
      </c>
      <c r="X11" s="59">
        <v>45924</v>
      </c>
      <c r="Y11" s="59">
        <v>45924</v>
      </c>
      <c r="Z11" s="59">
        <v>45929</v>
      </c>
    </row>
    <row r="12" spans="1:28" ht="58.9" customHeight="1" x14ac:dyDescent="0.25">
      <c r="A12" s="48">
        <v>1010</v>
      </c>
      <c r="B12" s="64" t="s">
        <v>328</v>
      </c>
      <c r="C12" s="45" t="s">
        <v>10</v>
      </c>
      <c r="D12" s="62" t="s">
        <v>14</v>
      </c>
      <c r="E12" s="45">
        <v>1</v>
      </c>
      <c r="F12" s="46">
        <v>24</v>
      </c>
      <c r="G12" s="47" t="s">
        <v>1004</v>
      </c>
      <c r="H12" s="47" t="s">
        <v>928</v>
      </c>
      <c r="I12" s="45" t="s">
        <v>219</v>
      </c>
      <c r="K12" s="45" t="s">
        <v>311</v>
      </c>
      <c r="L12" s="47" t="s">
        <v>458</v>
      </c>
      <c r="M12" s="47" t="s">
        <v>172</v>
      </c>
      <c r="N12" s="45" t="s">
        <v>886</v>
      </c>
      <c r="O12" s="59" t="s">
        <v>900</v>
      </c>
      <c r="P12" s="68" t="e">
        <f>VLOOKUP(B12,#REF!,2,FALSE)</f>
        <v>#REF!</v>
      </c>
      <c r="Q12" s="68" t="e">
        <f>VLOOKUP(B12,#REF!,3,FALSE)</f>
        <v>#REF!</v>
      </c>
      <c r="R12" s="68" t="e">
        <f>VLOOKUP($W12,#REF!,2,FALSE)</f>
        <v>#REF!</v>
      </c>
      <c r="S12" s="73" t="e">
        <f>VLOOKUP($W12,#REF!,7,FALSE)</f>
        <v>#REF!</v>
      </c>
      <c r="T12" s="48">
        <v>1</v>
      </c>
      <c r="U12" s="48">
        <v>3</v>
      </c>
      <c r="V12" s="57" t="e">
        <f>IF(ISNUMBER(U12),HLOOKUP(U12,#REF!,2,FALSE)*E12,"")</f>
        <v>#REF!</v>
      </c>
      <c r="W12" s="58" t="s">
        <v>330</v>
      </c>
      <c r="X12" s="59">
        <v>45918</v>
      </c>
      <c r="Y12" s="59">
        <v>45921</v>
      </c>
      <c r="Z12" s="59">
        <v>45922</v>
      </c>
    </row>
    <row r="13" spans="1:28" ht="75" x14ac:dyDescent="0.25">
      <c r="A13" s="48">
        <v>1011</v>
      </c>
      <c r="B13" s="64" t="s">
        <v>328</v>
      </c>
      <c r="C13" s="45" t="s">
        <v>10</v>
      </c>
      <c r="D13" s="62" t="s">
        <v>1061</v>
      </c>
      <c r="E13" s="45">
        <v>1</v>
      </c>
      <c r="F13" s="46">
        <v>24</v>
      </c>
      <c r="G13" s="47" t="s">
        <v>259</v>
      </c>
      <c r="H13" s="47" t="s">
        <v>928</v>
      </c>
      <c r="I13" s="45" t="s">
        <v>219</v>
      </c>
      <c r="K13" s="45" t="s">
        <v>272</v>
      </c>
      <c r="M13" s="47" t="s">
        <v>892</v>
      </c>
      <c r="N13" s="75" t="s">
        <v>886</v>
      </c>
      <c r="O13" s="45" t="s">
        <v>900</v>
      </c>
      <c r="P13" s="68" t="e">
        <f>VLOOKUP(B13,#REF!,2,FALSE)</f>
        <v>#REF!</v>
      </c>
      <c r="Q13" s="68" t="e">
        <f>VLOOKUP(B13,#REF!,3,FALSE)</f>
        <v>#REF!</v>
      </c>
      <c r="R13" s="68" t="e">
        <f>VLOOKUP($W13,#REF!,2,FALSE)</f>
        <v>#REF!</v>
      </c>
      <c r="S13" s="73" t="e">
        <f>VLOOKUP($W13,#REF!,7,FALSE)</f>
        <v>#REF!</v>
      </c>
      <c r="T13" s="48">
        <v>1</v>
      </c>
      <c r="U13" s="48">
        <v>1</v>
      </c>
      <c r="V13" s="57" t="e">
        <f>IF(ISNUMBER(U13),HLOOKUP(U13,#REF!,2,FALSE)*E13,"")</f>
        <v>#REF!</v>
      </c>
      <c r="W13" s="58" t="s">
        <v>330</v>
      </c>
      <c r="X13" s="59">
        <v>45919</v>
      </c>
      <c r="Y13" s="59">
        <v>45923</v>
      </c>
      <c r="Z13" s="59">
        <v>45923</v>
      </c>
      <c r="AA13" s="45"/>
    </row>
    <row r="14" spans="1:28" ht="60" x14ac:dyDescent="0.25">
      <c r="A14" s="48">
        <v>1012</v>
      </c>
      <c r="B14" s="64" t="s">
        <v>328</v>
      </c>
      <c r="C14" s="45" t="s">
        <v>10</v>
      </c>
      <c r="D14" s="62" t="s">
        <v>1062</v>
      </c>
      <c r="E14" s="45">
        <v>1</v>
      </c>
      <c r="F14" s="46">
        <v>24</v>
      </c>
      <c r="G14" s="47" t="s">
        <v>259</v>
      </c>
      <c r="H14" s="47" t="s">
        <v>928</v>
      </c>
      <c r="I14" s="45" t="s">
        <v>219</v>
      </c>
      <c r="K14" s="45" t="s">
        <v>272</v>
      </c>
      <c r="M14" s="47" t="s">
        <v>1063</v>
      </c>
      <c r="N14" s="75" t="s">
        <v>886</v>
      </c>
      <c r="O14" s="45" t="s">
        <v>900</v>
      </c>
      <c r="P14" s="68" t="e">
        <f>VLOOKUP(B14,#REF!,2,FALSE)</f>
        <v>#REF!</v>
      </c>
      <c r="Q14" s="68" t="e">
        <f>VLOOKUP(B14,#REF!,3,FALSE)</f>
        <v>#REF!</v>
      </c>
      <c r="R14" s="68" t="e">
        <f>VLOOKUP($W14,#REF!,2,FALSE)</f>
        <v>#REF!</v>
      </c>
      <c r="S14" s="73" t="e">
        <f>VLOOKUP($W14,#REF!,7,FALSE)</f>
        <v>#REF!</v>
      </c>
      <c r="T14" s="48">
        <v>1</v>
      </c>
      <c r="U14" s="48">
        <v>1</v>
      </c>
      <c r="V14" s="57" t="e">
        <f>IF(ISNUMBER(U14),HLOOKUP(U14,#REF!,2,FALSE)*E14,"")</f>
        <v>#REF!</v>
      </c>
      <c r="W14" s="58" t="s">
        <v>330</v>
      </c>
      <c r="X14" s="59">
        <v>45919</v>
      </c>
      <c r="Y14" s="59">
        <v>45923</v>
      </c>
      <c r="Z14" s="59">
        <v>45923</v>
      </c>
      <c r="AA14" s="45"/>
    </row>
    <row r="15" spans="1:28" x14ac:dyDescent="0.25">
      <c r="A15" s="78">
        <v>1013</v>
      </c>
      <c r="B15" s="64" t="s">
        <v>328</v>
      </c>
      <c r="C15" s="45" t="s">
        <v>10</v>
      </c>
      <c r="D15" s="81" t="s">
        <v>40</v>
      </c>
      <c r="E15" s="45">
        <v>0</v>
      </c>
      <c r="F15" s="46" t="s">
        <v>314</v>
      </c>
      <c r="G15" s="47" t="s">
        <v>46</v>
      </c>
      <c r="H15" s="47" t="s">
        <v>930</v>
      </c>
      <c r="I15" s="45" t="s">
        <v>221</v>
      </c>
      <c r="L15" s="79" t="s">
        <v>864</v>
      </c>
      <c r="M15" s="79" t="s">
        <v>915</v>
      </c>
      <c r="N15" s="45" t="s">
        <v>886</v>
      </c>
      <c r="O15" s="59" t="s">
        <v>900</v>
      </c>
      <c r="P15" s="68" t="e">
        <f>VLOOKUP(B15,#REF!,2,FALSE)</f>
        <v>#REF!</v>
      </c>
      <c r="Q15" s="68" t="e">
        <f>VLOOKUP(B15,#REF!,3,FALSE)</f>
        <v>#REF!</v>
      </c>
      <c r="R15" s="68" t="e">
        <f>VLOOKUP($W15,#REF!,2,FALSE)</f>
        <v>#REF!</v>
      </c>
      <c r="S15" s="73" t="e">
        <f>VLOOKUP($W15,#REF!,7,FALSE)</f>
        <v>#REF!</v>
      </c>
      <c r="T15" s="48">
        <v>1</v>
      </c>
      <c r="U15" s="48">
        <v>1</v>
      </c>
      <c r="V15" s="57" t="e">
        <f>IF(ISNUMBER(U15),HLOOKUP(U15,#REF!,2,FALSE)*E15,"")</f>
        <v>#REF!</v>
      </c>
      <c r="W15" s="48" t="s">
        <v>331</v>
      </c>
      <c r="X15" s="59">
        <v>45919</v>
      </c>
      <c r="Y15" s="74">
        <v>45919</v>
      </c>
      <c r="Z15" s="74">
        <v>45919</v>
      </c>
      <c r="AA15" s="45"/>
      <c r="AB15" s="45"/>
    </row>
    <row r="16" spans="1:28" ht="30" x14ac:dyDescent="0.25">
      <c r="A16" s="48">
        <v>1014</v>
      </c>
      <c r="B16" s="64" t="s">
        <v>328</v>
      </c>
      <c r="C16" s="45" t="s">
        <v>10</v>
      </c>
      <c r="D16" s="62" t="s">
        <v>15</v>
      </c>
      <c r="E16" s="45">
        <v>1</v>
      </c>
      <c r="F16" s="46">
        <v>24</v>
      </c>
      <c r="G16" s="47" t="s">
        <v>255</v>
      </c>
      <c r="H16" s="47" t="s">
        <v>928</v>
      </c>
      <c r="I16" s="45" t="s">
        <v>219</v>
      </c>
      <c r="K16" s="45" t="s">
        <v>310</v>
      </c>
      <c r="M16" s="47" t="s">
        <v>866</v>
      </c>
      <c r="N16" s="45" t="s">
        <v>886</v>
      </c>
      <c r="O16" s="59" t="s">
        <v>900</v>
      </c>
      <c r="P16" s="68" t="e">
        <f>VLOOKUP(B16,#REF!,2,FALSE)</f>
        <v>#REF!</v>
      </c>
      <c r="Q16" s="68" t="e">
        <f>VLOOKUP(B16,#REF!,3,FALSE)</f>
        <v>#REF!</v>
      </c>
      <c r="R16" s="68" t="e">
        <f>VLOOKUP($W16,#REF!,2,FALSE)</f>
        <v>#REF!</v>
      </c>
      <c r="S16" s="73" t="e">
        <f>VLOOKUP($W16,#REF!,7,FALSE)</f>
        <v>#REF!</v>
      </c>
      <c r="T16" s="48">
        <v>1</v>
      </c>
      <c r="U16" s="48">
        <v>2</v>
      </c>
      <c r="V16" s="57" t="e">
        <f>IF(ISNUMBER(U16),HLOOKUP(U16,#REF!,2,FALSE)*E16,"")</f>
        <v>#REF!</v>
      </c>
      <c r="W16" s="58" t="s">
        <v>330</v>
      </c>
      <c r="X16" s="59">
        <v>45919</v>
      </c>
      <c r="Y16" s="59">
        <v>45922</v>
      </c>
      <c r="Z16" s="59">
        <v>45922</v>
      </c>
    </row>
    <row r="17" spans="1:28" ht="43.9" customHeight="1" x14ac:dyDescent="0.25">
      <c r="A17" s="48">
        <v>1015</v>
      </c>
      <c r="B17" s="64" t="s">
        <v>328</v>
      </c>
      <c r="C17" s="45" t="s">
        <v>10</v>
      </c>
      <c r="D17" s="62" t="s">
        <v>45</v>
      </c>
      <c r="E17" s="45">
        <v>1</v>
      </c>
      <c r="F17" s="46">
        <v>24</v>
      </c>
      <c r="G17" s="47" t="s">
        <v>46</v>
      </c>
      <c r="H17" s="47" t="s">
        <v>928</v>
      </c>
      <c r="I17" s="45" t="s">
        <v>219</v>
      </c>
      <c r="K17" s="45" t="s">
        <v>309</v>
      </c>
      <c r="M17" s="47" t="s">
        <v>867</v>
      </c>
      <c r="N17" s="45" t="s">
        <v>886</v>
      </c>
      <c r="O17" s="59" t="s">
        <v>900</v>
      </c>
      <c r="P17" s="68" t="e">
        <f>VLOOKUP(B17,#REF!,2,FALSE)</f>
        <v>#REF!</v>
      </c>
      <c r="Q17" s="68" t="e">
        <f>VLOOKUP(B17,#REF!,3,FALSE)</f>
        <v>#REF!</v>
      </c>
      <c r="R17" s="68" t="e">
        <f>VLOOKUP($W17,#REF!,2,FALSE)</f>
        <v>#REF!</v>
      </c>
      <c r="S17" s="73" t="e">
        <f>VLOOKUP($W17,#REF!,7,FALSE)</f>
        <v>#REF!</v>
      </c>
      <c r="T17" s="48">
        <v>1</v>
      </c>
      <c r="U17" s="48">
        <v>1</v>
      </c>
      <c r="V17" s="57" t="e">
        <f>IF(ISNUMBER(U17),HLOOKUP(U17,#REF!,2,FALSE)*E17,"")</f>
        <v>#REF!</v>
      </c>
      <c r="W17" s="58" t="s">
        <v>330</v>
      </c>
      <c r="X17" s="59">
        <v>45919</v>
      </c>
      <c r="Y17" s="59">
        <v>45922</v>
      </c>
      <c r="Z17" s="59">
        <v>45922</v>
      </c>
    </row>
    <row r="18" spans="1:28" ht="45" x14ac:dyDescent="0.25">
      <c r="A18" s="48">
        <v>1016</v>
      </c>
      <c r="B18" s="64" t="s">
        <v>328</v>
      </c>
      <c r="C18" s="45" t="s">
        <v>10</v>
      </c>
      <c r="D18" s="62" t="s">
        <v>49</v>
      </c>
      <c r="E18" s="45">
        <v>1</v>
      </c>
      <c r="F18" s="46">
        <v>0</v>
      </c>
      <c r="G18" s="47" t="s">
        <v>1001</v>
      </c>
      <c r="H18" s="47" t="s">
        <v>928</v>
      </c>
      <c r="I18" s="45" t="s">
        <v>219</v>
      </c>
      <c r="K18" s="45" t="s">
        <v>308</v>
      </c>
      <c r="L18" s="47" t="s">
        <v>869</v>
      </c>
      <c r="M18" s="47" t="s">
        <v>941</v>
      </c>
      <c r="N18" s="45" t="s">
        <v>886</v>
      </c>
      <c r="O18" s="59" t="s">
        <v>900</v>
      </c>
      <c r="P18" s="68" t="e">
        <f>VLOOKUP(B18,#REF!,2,FALSE)</f>
        <v>#REF!</v>
      </c>
      <c r="Q18" s="68" t="e">
        <f>VLOOKUP(B18,#REF!,3,FALSE)</f>
        <v>#REF!</v>
      </c>
      <c r="R18" s="68" t="e">
        <f>VLOOKUP($W18,#REF!,2,FALSE)</f>
        <v>#REF!</v>
      </c>
      <c r="S18" s="73" t="e">
        <f>VLOOKUP($W18,#REF!,7,FALSE)</f>
        <v>#REF!</v>
      </c>
      <c r="T18" s="48">
        <v>1</v>
      </c>
      <c r="U18" s="48">
        <v>1</v>
      </c>
      <c r="V18" s="57" t="e">
        <f>IF(ISNUMBER(U18),HLOOKUP(U18,#REF!,2,FALSE)*E18,"")</f>
        <v>#REF!</v>
      </c>
      <c r="W18" s="58" t="s">
        <v>330</v>
      </c>
      <c r="X18" s="59">
        <v>45919</v>
      </c>
      <c r="Y18" s="59">
        <v>45922</v>
      </c>
      <c r="Z18" s="59">
        <v>45922</v>
      </c>
    </row>
    <row r="19" spans="1:28" ht="29.45" customHeight="1" x14ac:dyDescent="0.25">
      <c r="A19" s="48">
        <v>1017</v>
      </c>
      <c r="B19" s="64" t="s">
        <v>328</v>
      </c>
      <c r="C19" s="45" t="s">
        <v>10</v>
      </c>
      <c r="D19" s="62" t="s">
        <v>52</v>
      </c>
      <c r="E19" s="45">
        <v>1</v>
      </c>
      <c r="F19" s="46" t="s">
        <v>226</v>
      </c>
      <c r="G19" s="47" t="s">
        <v>46</v>
      </c>
      <c r="H19" s="47" t="s">
        <v>928</v>
      </c>
      <c r="I19" s="45" t="s">
        <v>219</v>
      </c>
      <c r="J19" s="45" t="s">
        <v>218</v>
      </c>
      <c r="K19" s="45" t="s">
        <v>307</v>
      </c>
      <c r="L19" s="47" t="s">
        <v>819</v>
      </c>
      <c r="M19" s="47" t="s">
        <v>859</v>
      </c>
      <c r="N19" s="45" t="s">
        <v>886</v>
      </c>
      <c r="O19" s="59" t="s">
        <v>900</v>
      </c>
      <c r="P19" s="68" t="e">
        <f>VLOOKUP(B19,#REF!,2,FALSE)</f>
        <v>#REF!</v>
      </c>
      <c r="Q19" s="68" t="e">
        <f>VLOOKUP(B19,#REF!,3,FALSE)</f>
        <v>#REF!</v>
      </c>
      <c r="R19" s="68" t="e">
        <f>VLOOKUP($W19,#REF!,2,FALSE)</f>
        <v>#REF!</v>
      </c>
      <c r="S19" s="73" t="e">
        <f>VLOOKUP($W19,#REF!,7,FALSE)</f>
        <v>#REF!</v>
      </c>
      <c r="T19" s="48">
        <v>1</v>
      </c>
      <c r="U19" s="48">
        <v>2</v>
      </c>
      <c r="V19" s="57" t="e">
        <f>IF(ISNUMBER(U19),HLOOKUP(U19,#REF!,2,FALSE)*E19,"")</f>
        <v>#REF!</v>
      </c>
      <c r="W19" s="58" t="s">
        <v>331</v>
      </c>
      <c r="X19" s="59">
        <v>45919</v>
      </c>
      <c r="Y19" s="59">
        <v>45922</v>
      </c>
      <c r="Z19" s="59">
        <v>45922</v>
      </c>
    </row>
    <row r="20" spans="1:28" ht="30" customHeight="1" x14ac:dyDescent="0.25">
      <c r="A20" s="48">
        <v>1018</v>
      </c>
      <c r="B20" s="64" t="s">
        <v>328</v>
      </c>
      <c r="C20" s="45" t="s">
        <v>10</v>
      </c>
      <c r="D20" s="62" t="s">
        <v>818</v>
      </c>
      <c r="E20" s="45">
        <v>1</v>
      </c>
      <c r="F20" s="46" t="s">
        <v>226</v>
      </c>
      <c r="G20" s="47" t="s">
        <v>46</v>
      </c>
      <c r="H20" s="47" t="s">
        <v>928</v>
      </c>
      <c r="I20" s="45" t="s">
        <v>219</v>
      </c>
      <c r="J20" s="45" t="s">
        <v>218</v>
      </c>
      <c r="K20" s="45" t="s">
        <v>305</v>
      </c>
      <c r="L20" s="47" t="s">
        <v>324</v>
      </c>
      <c r="M20" s="47" t="s">
        <v>941</v>
      </c>
      <c r="N20" s="45" t="s">
        <v>886</v>
      </c>
      <c r="O20" s="59" t="s">
        <v>900</v>
      </c>
      <c r="P20" s="68" t="e">
        <f>VLOOKUP(B20,#REF!,2,FALSE)</f>
        <v>#REF!</v>
      </c>
      <c r="Q20" s="68" t="e">
        <f>VLOOKUP(B20,#REF!,3,FALSE)</f>
        <v>#REF!</v>
      </c>
      <c r="R20" s="68" t="e">
        <f>VLOOKUP($W20,#REF!,2,FALSE)</f>
        <v>#REF!</v>
      </c>
      <c r="S20" s="73" t="e">
        <f>VLOOKUP($W20,#REF!,7,FALSE)</f>
        <v>#REF!</v>
      </c>
      <c r="T20" s="48">
        <v>1</v>
      </c>
      <c r="U20" s="48">
        <v>2</v>
      </c>
      <c r="V20" s="57" t="e">
        <f>IF(ISNUMBER(U20),HLOOKUP(U20,#REF!,2,FALSE)*E20,"")</f>
        <v>#REF!</v>
      </c>
      <c r="W20" s="58" t="s">
        <v>331</v>
      </c>
      <c r="X20" s="59">
        <v>45919</v>
      </c>
      <c r="Y20" s="59">
        <v>45922</v>
      </c>
      <c r="Z20" s="59">
        <v>45922</v>
      </c>
    </row>
    <row r="21" spans="1:28" ht="30" x14ac:dyDescent="0.25">
      <c r="A21" s="48">
        <v>1019</v>
      </c>
      <c r="B21" s="64" t="s">
        <v>328</v>
      </c>
      <c r="C21" s="45" t="s">
        <v>94</v>
      </c>
      <c r="D21" s="62" t="s">
        <v>95</v>
      </c>
      <c r="E21" s="45">
        <v>1</v>
      </c>
      <c r="F21" s="46" t="s">
        <v>226</v>
      </c>
      <c r="G21" s="47" t="s">
        <v>256</v>
      </c>
      <c r="H21" s="47" t="s">
        <v>928</v>
      </c>
      <c r="I21" s="45" t="s">
        <v>219</v>
      </c>
      <c r="J21" s="45" t="s">
        <v>218</v>
      </c>
      <c r="K21" s="45" t="s">
        <v>304</v>
      </c>
      <c r="L21" s="47" t="s">
        <v>408</v>
      </c>
      <c r="M21" s="47" t="s">
        <v>941</v>
      </c>
      <c r="N21" s="45" t="s">
        <v>886</v>
      </c>
      <c r="O21" s="45" t="s">
        <v>900</v>
      </c>
      <c r="P21" s="68" t="e">
        <f>VLOOKUP(B21,#REF!,2,FALSE)</f>
        <v>#REF!</v>
      </c>
      <c r="Q21" s="68" t="e">
        <f>VLOOKUP(B21,#REF!,3,FALSE)</f>
        <v>#REF!</v>
      </c>
      <c r="R21" s="68" t="e">
        <f>VLOOKUP($W21,#REF!,2,FALSE)</f>
        <v>#REF!</v>
      </c>
      <c r="S21" s="73" t="e">
        <f>VLOOKUP($W21,#REF!,7,FALSE)</f>
        <v>#REF!</v>
      </c>
      <c r="T21" s="48">
        <v>2</v>
      </c>
      <c r="U21" s="48">
        <v>2</v>
      </c>
      <c r="V21" s="57" t="e">
        <f>IF(ISNUMBER(U21),HLOOKUP(U21,#REF!,2,FALSE)*E21,"")</f>
        <v>#REF!</v>
      </c>
      <c r="W21" s="58" t="s">
        <v>331</v>
      </c>
      <c r="X21" s="59">
        <v>45919</v>
      </c>
      <c r="Y21" s="59">
        <v>45923</v>
      </c>
      <c r="Z21" s="59">
        <v>45929</v>
      </c>
    </row>
    <row r="22" spans="1:28" ht="30" x14ac:dyDescent="0.25">
      <c r="A22" s="48">
        <v>1020</v>
      </c>
      <c r="B22" s="64" t="s">
        <v>328</v>
      </c>
      <c r="C22" s="45" t="s">
        <v>94</v>
      </c>
      <c r="D22" s="62" t="s">
        <v>96</v>
      </c>
      <c r="E22" s="45">
        <v>1</v>
      </c>
      <c r="F22" s="46" t="s">
        <v>226</v>
      </c>
      <c r="G22" s="47" t="s">
        <v>257</v>
      </c>
      <c r="H22" s="47" t="s">
        <v>928</v>
      </c>
      <c r="I22" s="45" t="s">
        <v>219</v>
      </c>
      <c r="J22" s="45" t="s">
        <v>218</v>
      </c>
      <c r="K22" s="45" t="s">
        <v>303</v>
      </c>
      <c r="L22" s="47" t="s">
        <v>408</v>
      </c>
      <c r="M22" s="47" t="s">
        <v>941</v>
      </c>
      <c r="N22" s="45" t="s">
        <v>886</v>
      </c>
      <c r="O22" s="45" t="s">
        <v>900</v>
      </c>
      <c r="P22" s="68" t="e">
        <f>VLOOKUP(B22,#REF!,2,FALSE)</f>
        <v>#REF!</v>
      </c>
      <c r="Q22" s="68" t="e">
        <f>VLOOKUP(B22,#REF!,3,FALSE)</f>
        <v>#REF!</v>
      </c>
      <c r="R22" s="68" t="e">
        <f>VLOOKUP($W22,#REF!,2,FALSE)</f>
        <v>#REF!</v>
      </c>
      <c r="S22" s="73" t="e">
        <f>VLOOKUP($W22,#REF!,7,FALSE)</f>
        <v>#REF!</v>
      </c>
      <c r="T22" s="48">
        <v>2</v>
      </c>
      <c r="U22" s="48">
        <v>2</v>
      </c>
      <c r="V22" s="57" t="e">
        <f>IF(ISNUMBER(U22),HLOOKUP(U22,#REF!,2,FALSE)*E22,"")</f>
        <v>#REF!</v>
      </c>
      <c r="W22" s="58" t="s">
        <v>331</v>
      </c>
      <c r="X22" s="59">
        <v>45919</v>
      </c>
      <c r="Y22" s="59">
        <v>45923</v>
      </c>
      <c r="Z22" s="59">
        <v>45929</v>
      </c>
    </row>
    <row r="23" spans="1:28" x14ac:dyDescent="0.25">
      <c r="A23" s="48">
        <v>1021</v>
      </c>
      <c r="B23" s="64" t="s">
        <v>328</v>
      </c>
      <c r="C23" s="45" t="s">
        <v>94</v>
      </c>
      <c r="D23" s="62" t="s">
        <v>102</v>
      </c>
      <c r="E23" s="45">
        <v>1</v>
      </c>
      <c r="F23" s="46" t="s">
        <v>817</v>
      </c>
      <c r="G23" s="47" t="s">
        <v>46</v>
      </c>
      <c r="H23" s="47" t="s">
        <v>928</v>
      </c>
      <c r="I23" s="45" t="s">
        <v>219</v>
      </c>
      <c r="J23" s="45" t="s">
        <v>816</v>
      </c>
      <c r="K23" s="45" t="s">
        <v>302</v>
      </c>
      <c r="L23" s="47" t="s">
        <v>408</v>
      </c>
      <c r="M23" s="47" t="s">
        <v>941</v>
      </c>
      <c r="N23" s="45" t="s">
        <v>886</v>
      </c>
      <c r="O23" s="45" t="s">
        <v>900</v>
      </c>
      <c r="P23" s="68" t="e">
        <f>VLOOKUP(B23,#REF!,2,FALSE)</f>
        <v>#REF!</v>
      </c>
      <c r="Q23" s="68" t="e">
        <f>VLOOKUP(B23,#REF!,3,FALSE)</f>
        <v>#REF!</v>
      </c>
      <c r="R23" s="68" t="e">
        <f>VLOOKUP($W23,#REF!,2,FALSE)</f>
        <v>#REF!</v>
      </c>
      <c r="S23" s="73" t="e">
        <f>VLOOKUP($W23,#REF!,7,FALSE)</f>
        <v>#REF!</v>
      </c>
      <c r="T23" s="48">
        <v>2</v>
      </c>
      <c r="U23" s="48">
        <v>1</v>
      </c>
      <c r="V23" s="57" t="e">
        <f>IF(ISNUMBER(U23),HLOOKUP(U23,#REF!,2,FALSE)*E23,"")</f>
        <v>#REF!</v>
      </c>
      <c r="W23" s="58" t="s">
        <v>331</v>
      </c>
      <c r="X23" s="59">
        <v>45919</v>
      </c>
      <c r="Y23" s="59">
        <v>45923</v>
      </c>
      <c r="Z23" s="59">
        <v>45929</v>
      </c>
    </row>
    <row r="24" spans="1:28" x14ac:dyDescent="0.25">
      <c r="A24" s="48">
        <v>1022</v>
      </c>
      <c r="B24" s="64" t="s">
        <v>328</v>
      </c>
      <c r="C24" s="45" t="s">
        <v>94</v>
      </c>
      <c r="D24" s="62" t="s">
        <v>97</v>
      </c>
      <c r="E24" s="45">
        <v>1</v>
      </c>
      <c r="F24" s="46" t="s">
        <v>226</v>
      </c>
      <c r="G24" s="47" t="s">
        <v>258</v>
      </c>
      <c r="H24" s="47" t="s">
        <v>928</v>
      </c>
      <c r="I24" s="45" t="s">
        <v>219</v>
      </c>
      <c r="J24" s="45" t="s">
        <v>218</v>
      </c>
      <c r="K24" s="45" t="s">
        <v>301</v>
      </c>
      <c r="L24" s="47" t="s">
        <v>408</v>
      </c>
      <c r="M24" s="47" t="s">
        <v>941</v>
      </c>
      <c r="N24" s="45" t="s">
        <v>886</v>
      </c>
      <c r="O24" s="45" t="s">
        <v>900</v>
      </c>
      <c r="P24" s="68" t="e">
        <f>VLOOKUP(B24,#REF!,2,FALSE)</f>
        <v>#REF!</v>
      </c>
      <c r="Q24" s="68" t="e">
        <f>VLOOKUP(B24,#REF!,3,FALSE)</f>
        <v>#REF!</v>
      </c>
      <c r="R24" s="68" t="e">
        <f>VLOOKUP($W24,#REF!,2,FALSE)</f>
        <v>#REF!</v>
      </c>
      <c r="S24" s="73" t="e">
        <f>VLOOKUP($W24,#REF!,7,FALSE)</f>
        <v>#REF!</v>
      </c>
      <c r="T24" s="48">
        <v>2</v>
      </c>
      <c r="U24" s="48">
        <v>1</v>
      </c>
      <c r="V24" s="57" t="e">
        <f>IF(ISNUMBER(U24),HLOOKUP(U24,#REF!,2,FALSE)*E24,"")</f>
        <v>#REF!</v>
      </c>
      <c r="W24" s="58" t="s">
        <v>331</v>
      </c>
      <c r="X24" s="59">
        <v>45919</v>
      </c>
      <c r="Y24" s="59">
        <v>45923</v>
      </c>
      <c r="Z24" s="59">
        <v>45929</v>
      </c>
    </row>
    <row r="25" spans="1:28" ht="30" x14ac:dyDescent="0.25">
      <c r="A25" s="48">
        <v>1023</v>
      </c>
      <c r="B25" s="64" t="s">
        <v>328</v>
      </c>
      <c r="C25" s="45" t="s">
        <v>94</v>
      </c>
      <c r="D25" s="62" t="s">
        <v>98</v>
      </c>
      <c r="E25" s="45">
        <v>1</v>
      </c>
      <c r="F25" s="46" t="s">
        <v>226</v>
      </c>
      <c r="G25" s="47" t="s">
        <v>257</v>
      </c>
      <c r="H25" s="47" t="s">
        <v>928</v>
      </c>
      <c r="I25" s="45" t="s">
        <v>219</v>
      </c>
      <c r="J25" s="45" t="s">
        <v>218</v>
      </c>
      <c r="K25" s="45" t="s">
        <v>300</v>
      </c>
      <c r="L25" s="47" t="s">
        <v>408</v>
      </c>
      <c r="M25" s="47" t="s">
        <v>941</v>
      </c>
      <c r="N25" s="45" t="s">
        <v>886</v>
      </c>
      <c r="O25" s="45" t="s">
        <v>900</v>
      </c>
      <c r="P25" s="68" t="e">
        <f>VLOOKUP(B25,#REF!,2,FALSE)</f>
        <v>#REF!</v>
      </c>
      <c r="Q25" s="68" t="e">
        <f>VLOOKUP(B25,#REF!,3,FALSE)</f>
        <v>#REF!</v>
      </c>
      <c r="R25" s="68" t="e">
        <f>VLOOKUP($W25,#REF!,2,FALSE)</f>
        <v>#REF!</v>
      </c>
      <c r="S25" s="73" t="e">
        <f>VLOOKUP($W25,#REF!,7,FALSE)</f>
        <v>#REF!</v>
      </c>
      <c r="T25" s="48">
        <v>2</v>
      </c>
      <c r="U25" s="48">
        <v>2</v>
      </c>
      <c r="V25" s="57" t="e">
        <f>IF(ISNUMBER(U25),HLOOKUP(U25,#REF!,2,FALSE)*E25,"")</f>
        <v>#REF!</v>
      </c>
      <c r="W25" s="58" t="s">
        <v>331</v>
      </c>
      <c r="X25" s="59">
        <v>45919</v>
      </c>
      <c r="Y25" s="59">
        <v>45923</v>
      </c>
      <c r="Z25" s="59">
        <v>45929</v>
      </c>
    </row>
    <row r="26" spans="1:28" x14ac:dyDescent="0.25">
      <c r="A26" s="48">
        <v>1024</v>
      </c>
      <c r="B26" s="64" t="s">
        <v>328</v>
      </c>
      <c r="C26" s="45" t="s">
        <v>94</v>
      </c>
      <c r="D26" s="62" t="s">
        <v>107</v>
      </c>
      <c r="E26" s="45">
        <v>1</v>
      </c>
      <c r="F26" s="46" t="s">
        <v>226</v>
      </c>
      <c r="G26" s="47" t="s">
        <v>46</v>
      </c>
      <c r="H26" s="47" t="s">
        <v>928</v>
      </c>
      <c r="I26" s="45" t="s">
        <v>219</v>
      </c>
      <c r="J26" s="45" t="s">
        <v>218</v>
      </c>
      <c r="K26" s="45" t="s">
        <v>299</v>
      </c>
      <c r="L26" s="47" t="s">
        <v>408</v>
      </c>
      <c r="M26" s="47" t="s">
        <v>941</v>
      </c>
      <c r="N26" s="45" t="s">
        <v>886</v>
      </c>
      <c r="O26" s="45" t="s">
        <v>900</v>
      </c>
      <c r="P26" s="68" t="e">
        <f>VLOOKUP(B26,#REF!,2,FALSE)</f>
        <v>#REF!</v>
      </c>
      <c r="Q26" s="68" t="e">
        <f>VLOOKUP(B26,#REF!,3,FALSE)</f>
        <v>#REF!</v>
      </c>
      <c r="R26" s="68" t="e">
        <f>VLOOKUP($W26,#REF!,2,FALSE)</f>
        <v>#REF!</v>
      </c>
      <c r="S26" s="73" t="e">
        <f>VLOOKUP($W26,#REF!,7,FALSE)</f>
        <v>#REF!</v>
      </c>
      <c r="T26" s="48">
        <v>2</v>
      </c>
      <c r="U26" s="48">
        <v>3</v>
      </c>
      <c r="V26" s="57" t="e">
        <f>IF(ISNUMBER(U26),HLOOKUP(U26,#REF!,2,FALSE)*E26,"")</f>
        <v>#REF!</v>
      </c>
      <c r="W26" s="58" t="s">
        <v>331</v>
      </c>
      <c r="X26" s="59">
        <v>45919</v>
      </c>
      <c r="Y26" s="59">
        <v>45923</v>
      </c>
      <c r="Z26" s="59">
        <v>45929</v>
      </c>
    </row>
    <row r="27" spans="1:28" ht="30" x14ac:dyDescent="0.25">
      <c r="A27" s="48">
        <v>1025</v>
      </c>
      <c r="B27" s="64" t="s">
        <v>328</v>
      </c>
      <c r="C27" s="45" t="s">
        <v>108</v>
      </c>
      <c r="D27" s="62" t="s">
        <v>109</v>
      </c>
      <c r="E27" s="45">
        <v>1</v>
      </c>
      <c r="F27" s="46">
        <v>25</v>
      </c>
      <c r="G27" s="47" t="s">
        <v>216</v>
      </c>
      <c r="H27" s="47" t="s">
        <v>931</v>
      </c>
      <c r="I27" s="45" t="s">
        <v>219</v>
      </c>
      <c r="K27" s="45" t="s">
        <v>272</v>
      </c>
      <c r="L27" s="47" t="s">
        <v>820</v>
      </c>
      <c r="M27" s="47" t="s">
        <v>868</v>
      </c>
      <c r="N27" s="45" t="s">
        <v>886</v>
      </c>
      <c r="O27" s="45" t="s">
        <v>900</v>
      </c>
      <c r="P27" s="68" t="e">
        <f>VLOOKUP(B27,#REF!,2,FALSE)</f>
        <v>#REF!</v>
      </c>
      <c r="Q27" s="68" t="e">
        <f>VLOOKUP(B27,#REF!,3,FALSE)</f>
        <v>#REF!</v>
      </c>
      <c r="R27" s="68" t="e">
        <f>VLOOKUP($W27,#REF!,2,FALSE)</f>
        <v>#REF!</v>
      </c>
      <c r="S27" s="73" t="e">
        <f>VLOOKUP($W27,#REF!,7,FALSE)</f>
        <v>#REF!</v>
      </c>
      <c r="T27" s="48">
        <v>3</v>
      </c>
      <c r="U27" s="48">
        <v>3</v>
      </c>
      <c r="V27" s="57" t="e">
        <f>IF(ISNUMBER(U27),HLOOKUP(U27,#REF!,2,FALSE)*E27,"")</f>
        <v>#REF!</v>
      </c>
      <c r="W27" s="58" t="s">
        <v>331</v>
      </c>
      <c r="X27" s="59">
        <v>45919</v>
      </c>
      <c r="Y27" s="59">
        <v>45923</v>
      </c>
      <c r="Z27" s="59">
        <v>45929</v>
      </c>
    </row>
    <row r="28" spans="1:28" ht="120" x14ac:dyDescent="0.25">
      <c r="A28" s="48">
        <v>1026</v>
      </c>
      <c r="B28" s="64" t="s">
        <v>328</v>
      </c>
      <c r="C28" s="45" t="s">
        <v>821</v>
      </c>
      <c r="D28" s="62" t="s">
        <v>249</v>
      </c>
      <c r="E28" s="45">
        <v>1</v>
      </c>
      <c r="F28" s="46" t="s">
        <v>765</v>
      </c>
      <c r="G28" s="47" t="s">
        <v>259</v>
      </c>
      <c r="H28" s="47" t="s">
        <v>928</v>
      </c>
      <c r="I28" s="45" t="s">
        <v>219</v>
      </c>
      <c r="K28" s="45" t="s">
        <v>298</v>
      </c>
      <c r="L28" s="47" t="s">
        <v>919</v>
      </c>
      <c r="M28" s="76" t="s">
        <v>943</v>
      </c>
      <c r="N28" s="45" t="s">
        <v>886</v>
      </c>
      <c r="O28" s="45" t="s">
        <v>900</v>
      </c>
      <c r="P28" s="68" t="e">
        <f>VLOOKUP(B28,#REF!,2,FALSE)</f>
        <v>#REF!</v>
      </c>
      <c r="Q28" s="68" t="e">
        <f>VLOOKUP(B28,#REF!,3,FALSE)</f>
        <v>#REF!</v>
      </c>
      <c r="R28" s="68" t="e">
        <f>VLOOKUP($W28,#REF!,2,FALSE)</f>
        <v>#REF!</v>
      </c>
      <c r="S28" s="73" t="e">
        <f>VLOOKUP($W28,#REF!,7,FALSE)</f>
        <v>#REF!</v>
      </c>
      <c r="T28" s="48">
        <v>3</v>
      </c>
      <c r="U28" s="48">
        <v>1</v>
      </c>
      <c r="V28" s="57" t="e">
        <f>IF(ISNUMBER(U28),HLOOKUP(U28,#REF!,2,FALSE)*E28,"")</f>
        <v>#REF!</v>
      </c>
      <c r="W28" s="58" t="s">
        <v>331</v>
      </c>
      <c r="X28" s="59">
        <v>45919</v>
      </c>
      <c r="Y28" s="59">
        <v>45924</v>
      </c>
      <c r="Z28" s="59">
        <v>45929</v>
      </c>
      <c r="AA28" s="61" t="s">
        <v>823</v>
      </c>
      <c r="AB28" s="47" t="s">
        <v>1064</v>
      </c>
    </row>
    <row r="29" spans="1:28" ht="60" x14ac:dyDescent="0.25">
      <c r="A29" s="48">
        <v>1027</v>
      </c>
      <c r="B29" s="64" t="s">
        <v>328</v>
      </c>
      <c r="C29" s="45" t="s">
        <v>821</v>
      </c>
      <c r="D29" s="62" t="s">
        <v>1065</v>
      </c>
      <c r="E29" s="45">
        <v>1</v>
      </c>
      <c r="F29" s="46" t="s">
        <v>765</v>
      </c>
      <c r="G29" s="47" t="s">
        <v>259</v>
      </c>
      <c r="H29" s="47" t="s">
        <v>928</v>
      </c>
      <c r="I29" s="45" t="s">
        <v>219</v>
      </c>
      <c r="K29" s="45" t="s">
        <v>297</v>
      </c>
      <c r="L29" s="47" t="s">
        <v>766</v>
      </c>
      <c r="M29" s="47" t="s">
        <v>870</v>
      </c>
      <c r="N29" s="45" t="s">
        <v>886</v>
      </c>
      <c r="O29" s="45" t="s">
        <v>900</v>
      </c>
      <c r="P29" s="68" t="e">
        <f>VLOOKUP(B29,#REF!,2,FALSE)</f>
        <v>#REF!</v>
      </c>
      <c r="Q29" s="68" t="e">
        <f>VLOOKUP(B29,#REF!,3,FALSE)</f>
        <v>#REF!</v>
      </c>
      <c r="R29" s="68" t="e">
        <f>VLOOKUP($W29,#REF!,2,FALSE)</f>
        <v>#REF!</v>
      </c>
      <c r="S29" s="73" t="e">
        <f>VLOOKUP($W29,#REF!,7,FALSE)</f>
        <v>#REF!</v>
      </c>
      <c r="T29" s="48">
        <v>3</v>
      </c>
      <c r="U29" s="48">
        <v>1</v>
      </c>
      <c r="V29" s="57" t="e">
        <f>IF(ISNUMBER(U29),HLOOKUP(U29,#REF!,2,FALSE)*E29,"")</f>
        <v>#REF!</v>
      </c>
      <c r="W29" s="58" t="s">
        <v>331</v>
      </c>
      <c r="X29" s="59">
        <v>45919</v>
      </c>
      <c r="Y29" s="59">
        <v>45923</v>
      </c>
      <c r="Z29" s="59">
        <v>45929</v>
      </c>
      <c r="AA29" s="61" t="s">
        <v>826</v>
      </c>
      <c r="AB29" s="47" t="s">
        <v>1066</v>
      </c>
    </row>
    <row r="30" spans="1:28" ht="45" x14ac:dyDescent="0.25">
      <c r="A30" s="48">
        <v>1028</v>
      </c>
      <c r="B30" s="64" t="s">
        <v>328</v>
      </c>
      <c r="C30" s="45" t="s">
        <v>821</v>
      </c>
      <c r="D30" s="62" t="s">
        <v>112</v>
      </c>
      <c r="E30" s="45">
        <v>1</v>
      </c>
      <c r="F30" s="46" t="s">
        <v>765</v>
      </c>
      <c r="G30" s="47" t="s">
        <v>1005</v>
      </c>
      <c r="H30" s="47" t="s">
        <v>931</v>
      </c>
      <c r="I30" s="45" t="s">
        <v>219</v>
      </c>
      <c r="K30" s="45" t="s">
        <v>296</v>
      </c>
      <c r="L30" s="47" t="s">
        <v>766</v>
      </c>
      <c r="M30" s="47" t="s">
        <v>1067</v>
      </c>
      <c r="N30" s="45" t="s">
        <v>886</v>
      </c>
      <c r="O30" s="45" t="s">
        <v>900</v>
      </c>
      <c r="P30" s="68" t="e">
        <f>VLOOKUP(B30,#REF!,2,FALSE)</f>
        <v>#REF!</v>
      </c>
      <c r="Q30" s="68" t="e">
        <f>VLOOKUP(B30,#REF!,3,FALSE)</f>
        <v>#REF!</v>
      </c>
      <c r="R30" s="68" t="e">
        <f>VLOOKUP($W30,#REF!,2,FALSE)</f>
        <v>#REF!</v>
      </c>
      <c r="S30" s="73" t="e">
        <f>VLOOKUP($W30,#REF!,7,FALSE)</f>
        <v>#REF!</v>
      </c>
      <c r="T30" s="48">
        <v>3</v>
      </c>
      <c r="U30" s="48">
        <v>2</v>
      </c>
      <c r="V30" s="57" t="e">
        <f>IF(ISNUMBER(U30),HLOOKUP(U30,#REF!,2,FALSE)*E30,"")</f>
        <v>#REF!</v>
      </c>
      <c r="W30" s="48" t="s">
        <v>331</v>
      </c>
      <c r="X30" s="59">
        <v>45919</v>
      </c>
      <c r="Y30" s="59">
        <v>45923</v>
      </c>
      <c r="Z30" s="59">
        <v>45929</v>
      </c>
    </row>
    <row r="31" spans="1:28" ht="45" x14ac:dyDescent="0.25">
      <c r="A31" s="48">
        <v>1029</v>
      </c>
      <c r="B31" s="64" t="s">
        <v>328</v>
      </c>
      <c r="C31" s="45" t="s">
        <v>821</v>
      </c>
      <c r="D31" s="62" t="s">
        <v>1068</v>
      </c>
      <c r="E31" s="45">
        <v>1</v>
      </c>
      <c r="F31" s="46" t="s">
        <v>765</v>
      </c>
      <c r="G31" s="47" t="s">
        <v>259</v>
      </c>
      <c r="H31" s="47" t="s">
        <v>928</v>
      </c>
      <c r="I31" s="45" t="s">
        <v>219</v>
      </c>
      <c r="K31" s="45" t="s">
        <v>295</v>
      </c>
      <c r="L31" s="47" t="s">
        <v>766</v>
      </c>
      <c r="M31" s="47" t="s">
        <v>1069</v>
      </c>
      <c r="N31" s="45" t="s">
        <v>886</v>
      </c>
      <c r="O31" s="45" t="s">
        <v>900</v>
      </c>
      <c r="P31" s="68" t="e">
        <f>VLOOKUP(B31,#REF!,2,FALSE)</f>
        <v>#REF!</v>
      </c>
      <c r="Q31" s="68" t="e">
        <f>VLOOKUP(B31,#REF!,3,FALSE)</f>
        <v>#REF!</v>
      </c>
      <c r="R31" s="68" t="e">
        <f>VLOOKUP($W31,#REF!,2,FALSE)</f>
        <v>#REF!</v>
      </c>
      <c r="S31" s="73" t="e">
        <f>VLOOKUP($W31,#REF!,7,FALSE)</f>
        <v>#REF!</v>
      </c>
      <c r="T31" s="48">
        <v>3</v>
      </c>
      <c r="U31" s="48">
        <v>1</v>
      </c>
      <c r="V31" s="57" t="e">
        <f>IF(ISNUMBER(U31),HLOOKUP(U31,#REF!,2,FALSE)*E31,"")</f>
        <v>#REF!</v>
      </c>
      <c r="W31" s="48" t="s">
        <v>331</v>
      </c>
      <c r="X31" s="59">
        <v>45919</v>
      </c>
      <c r="Y31" s="59">
        <v>45923</v>
      </c>
      <c r="Z31" s="59">
        <v>45929</v>
      </c>
    </row>
    <row r="32" spans="1:28" ht="45" x14ac:dyDescent="0.25">
      <c r="A32" s="48">
        <v>1030</v>
      </c>
      <c r="B32" s="64" t="s">
        <v>328</v>
      </c>
      <c r="C32" s="45" t="s">
        <v>821</v>
      </c>
      <c r="D32" s="62" t="s">
        <v>1070</v>
      </c>
      <c r="E32" s="45">
        <v>1</v>
      </c>
      <c r="F32" s="46">
        <v>25</v>
      </c>
      <c r="G32" s="47" t="s">
        <v>259</v>
      </c>
      <c r="H32" s="47" t="s">
        <v>928</v>
      </c>
      <c r="I32" s="45" t="s">
        <v>219</v>
      </c>
      <c r="K32" s="45" t="s">
        <v>294</v>
      </c>
      <c r="L32" s="47" t="s">
        <v>822</v>
      </c>
      <c r="M32" s="47" t="s">
        <v>932</v>
      </c>
      <c r="N32" s="45" t="s">
        <v>886</v>
      </c>
      <c r="O32" s="45" t="s">
        <v>900</v>
      </c>
      <c r="P32" s="68" t="e">
        <f>VLOOKUP(B32,#REF!,2,FALSE)</f>
        <v>#REF!</v>
      </c>
      <c r="Q32" s="68" t="e">
        <f>VLOOKUP(B32,#REF!,3,FALSE)</f>
        <v>#REF!</v>
      </c>
      <c r="R32" s="68" t="e">
        <f>VLOOKUP($W32,#REF!,2,FALSE)</f>
        <v>#REF!</v>
      </c>
      <c r="S32" s="73" t="e">
        <f>VLOOKUP($W32,#REF!,7,FALSE)</f>
        <v>#REF!</v>
      </c>
      <c r="T32" s="48">
        <v>3</v>
      </c>
      <c r="U32" s="78">
        <v>1</v>
      </c>
      <c r="V32" s="57" t="e">
        <f>IF(ISNUMBER(U32),HLOOKUP(U32,#REF!,2,FALSE)*E32,"")</f>
        <v>#REF!</v>
      </c>
      <c r="W32" s="48" t="s">
        <v>331</v>
      </c>
      <c r="X32" s="59">
        <v>45922</v>
      </c>
      <c r="Y32" s="59">
        <v>45923</v>
      </c>
      <c r="Z32" s="59">
        <v>45929</v>
      </c>
    </row>
    <row r="33" spans="1:28" ht="30" x14ac:dyDescent="0.25">
      <c r="A33" s="48">
        <v>1031</v>
      </c>
      <c r="B33" s="64" t="s">
        <v>328</v>
      </c>
      <c r="C33" s="45" t="s">
        <v>821</v>
      </c>
      <c r="D33" s="62" t="s">
        <v>1071</v>
      </c>
      <c r="E33" s="45">
        <v>1</v>
      </c>
      <c r="F33" s="46">
        <v>25</v>
      </c>
      <c r="G33" s="47" t="s">
        <v>259</v>
      </c>
      <c r="H33" s="47" t="s">
        <v>928</v>
      </c>
      <c r="I33" s="45" t="s">
        <v>219</v>
      </c>
      <c r="K33" s="45" t="s">
        <v>293</v>
      </c>
      <c r="L33" s="47" t="s">
        <v>822</v>
      </c>
      <c r="M33" s="47" t="s">
        <v>924</v>
      </c>
      <c r="N33" s="45" t="s">
        <v>886</v>
      </c>
      <c r="O33" s="45" t="s">
        <v>900</v>
      </c>
      <c r="P33" s="68" t="e">
        <f>VLOOKUP(B33,#REF!,2,FALSE)</f>
        <v>#REF!</v>
      </c>
      <c r="Q33" s="68" t="e">
        <f>VLOOKUP(B33,#REF!,3,FALSE)</f>
        <v>#REF!</v>
      </c>
      <c r="R33" s="68" t="e">
        <f>VLOOKUP($W33,#REF!,2,FALSE)</f>
        <v>#REF!</v>
      </c>
      <c r="S33" s="73" t="e">
        <f>VLOOKUP($W33,#REF!,7,FALSE)</f>
        <v>#REF!</v>
      </c>
      <c r="T33" s="48">
        <v>3</v>
      </c>
      <c r="U33" s="78">
        <v>1</v>
      </c>
      <c r="V33" s="57" t="e">
        <f>IF(ISNUMBER(U33),HLOOKUP(U33,#REF!,2,FALSE)*E33,"")</f>
        <v>#REF!</v>
      </c>
      <c r="W33" s="48" t="s">
        <v>331</v>
      </c>
      <c r="X33" s="59">
        <v>45922</v>
      </c>
      <c r="Y33" s="59">
        <v>45923</v>
      </c>
      <c r="Z33" s="59">
        <v>45929</v>
      </c>
    </row>
    <row r="34" spans="1:28" ht="47.45" customHeight="1" x14ac:dyDescent="0.25">
      <c r="A34" s="48">
        <v>1032</v>
      </c>
      <c r="B34" s="64" t="s">
        <v>328</v>
      </c>
      <c r="C34" s="45" t="s">
        <v>821</v>
      </c>
      <c r="D34" s="62" t="s">
        <v>1072</v>
      </c>
      <c r="E34" s="45">
        <v>1</v>
      </c>
      <c r="F34" s="46" t="s">
        <v>771</v>
      </c>
      <c r="G34" s="47" t="s">
        <v>259</v>
      </c>
      <c r="H34" s="47" t="s">
        <v>928</v>
      </c>
      <c r="I34" s="45" t="s">
        <v>219</v>
      </c>
      <c r="K34" s="45" t="s">
        <v>292</v>
      </c>
      <c r="L34" s="47" t="s">
        <v>858</v>
      </c>
      <c r="M34" s="47" t="s">
        <v>872</v>
      </c>
      <c r="N34" s="45" t="s">
        <v>886</v>
      </c>
      <c r="O34" s="45" t="s">
        <v>900</v>
      </c>
      <c r="P34" s="68" t="e">
        <f>VLOOKUP(B34,#REF!,2,FALSE)</f>
        <v>#REF!</v>
      </c>
      <c r="Q34" s="68" t="e">
        <f>VLOOKUP(B34,#REF!,3,FALSE)</f>
        <v>#REF!</v>
      </c>
      <c r="R34" s="68" t="e">
        <f>VLOOKUP($W34,#REF!,2,FALSE)</f>
        <v>#REF!</v>
      </c>
      <c r="S34" s="73" t="e">
        <f>VLOOKUP($W34,#REF!,7,FALSE)</f>
        <v>#REF!</v>
      </c>
      <c r="T34" s="48">
        <v>3</v>
      </c>
      <c r="U34" s="78">
        <v>1</v>
      </c>
      <c r="V34" s="57" t="e">
        <f>IF(ISNUMBER(U34),HLOOKUP(U34,#REF!,2,FALSE)*E34,"")</f>
        <v>#REF!</v>
      </c>
      <c r="W34" s="48" t="s">
        <v>332</v>
      </c>
      <c r="X34" s="59">
        <v>45922</v>
      </c>
      <c r="Y34" s="59">
        <v>45924</v>
      </c>
      <c r="Z34" s="59">
        <v>45929</v>
      </c>
    </row>
    <row r="35" spans="1:28" ht="31.15" customHeight="1" x14ac:dyDescent="0.25">
      <c r="A35" s="48">
        <v>1033</v>
      </c>
      <c r="B35" s="64" t="s">
        <v>328</v>
      </c>
      <c r="C35" s="45" t="s">
        <v>821</v>
      </c>
      <c r="D35" s="62" t="s">
        <v>1073</v>
      </c>
      <c r="E35" s="45">
        <v>1</v>
      </c>
      <c r="F35" s="46" t="s">
        <v>771</v>
      </c>
      <c r="G35" s="47" t="s">
        <v>259</v>
      </c>
      <c r="H35" s="47" t="s">
        <v>928</v>
      </c>
      <c r="I35" s="45" t="s">
        <v>219</v>
      </c>
      <c r="K35" s="45" t="s">
        <v>291</v>
      </c>
      <c r="L35" s="47" t="s">
        <v>784</v>
      </c>
      <c r="M35" s="47" t="s">
        <v>873</v>
      </c>
      <c r="N35" s="45" t="s">
        <v>886</v>
      </c>
      <c r="O35" s="45" t="s">
        <v>900</v>
      </c>
      <c r="P35" s="68" t="e">
        <f>VLOOKUP(B35,#REF!,2,FALSE)</f>
        <v>#REF!</v>
      </c>
      <c r="Q35" s="68" t="e">
        <f>VLOOKUP(B35,#REF!,3,FALSE)</f>
        <v>#REF!</v>
      </c>
      <c r="R35" s="68" t="e">
        <f>VLOOKUP($W35,#REF!,2,FALSE)</f>
        <v>#REF!</v>
      </c>
      <c r="S35" s="73" t="e">
        <f>VLOOKUP($W35,#REF!,7,FALSE)</f>
        <v>#REF!</v>
      </c>
      <c r="T35" s="48">
        <v>3</v>
      </c>
      <c r="U35" s="48">
        <v>1</v>
      </c>
      <c r="V35" s="57" t="e">
        <f>IF(ISNUMBER(U35),HLOOKUP(U35,#REF!,2,FALSE)*E35,"")</f>
        <v>#REF!</v>
      </c>
      <c r="W35" s="48" t="s">
        <v>332</v>
      </c>
      <c r="X35" s="59">
        <v>45922</v>
      </c>
      <c r="Y35" s="59">
        <v>45925</v>
      </c>
      <c r="Z35" s="59">
        <v>45929</v>
      </c>
    </row>
    <row r="36" spans="1:28" ht="45" x14ac:dyDescent="0.25">
      <c r="A36" s="48">
        <v>1034</v>
      </c>
      <c r="B36" s="64" t="s">
        <v>328</v>
      </c>
      <c r="C36" s="45" t="s">
        <v>821</v>
      </c>
      <c r="D36" s="62" t="s">
        <v>1074</v>
      </c>
      <c r="E36" s="45">
        <v>1</v>
      </c>
      <c r="F36" s="46" t="s">
        <v>774</v>
      </c>
      <c r="G36" s="47" t="s">
        <v>259</v>
      </c>
      <c r="H36" s="47" t="s">
        <v>928</v>
      </c>
      <c r="I36" s="45" t="s">
        <v>219</v>
      </c>
      <c r="K36" s="45" t="s">
        <v>290</v>
      </c>
      <c r="L36" s="47" t="s">
        <v>784</v>
      </c>
      <c r="M36" s="47" t="s">
        <v>875</v>
      </c>
      <c r="N36" s="45" t="s">
        <v>886</v>
      </c>
      <c r="O36" s="45" t="s">
        <v>900</v>
      </c>
      <c r="P36" s="68" t="e">
        <f>VLOOKUP(B36,#REF!,2,FALSE)</f>
        <v>#REF!</v>
      </c>
      <c r="Q36" s="68" t="e">
        <f>VLOOKUP(B36,#REF!,3,FALSE)</f>
        <v>#REF!</v>
      </c>
      <c r="R36" s="68" t="e">
        <f>VLOOKUP($W36,#REF!,2,FALSE)</f>
        <v>#REF!</v>
      </c>
      <c r="S36" s="73" t="e">
        <f>VLOOKUP($W36,#REF!,7,FALSE)</f>
        <v>#REF!</v>
      </c>
      <c r="T36" s="48">
        <v>3</v>
      </c>
      <c r="U36" s="48">
        <v>1</v>
      </c>
      <c r="V36" s="57" t="e">
        <f>IF(ISNUMBER(U36),HLOOKUP(U36,#REF!,2,FALSE)*E36,"")</f>
        <v>#REF!</v>
      </c>
      <c r="W36" s="48" t="s">
        <v>332</v>
      </c>
      <c r="X36" s="59">
        <v>45922</v>
      </c>
      <c r="Y36" s="59">
        <v>45925</v>
      </c>
      <c r="Z36" s="59">
        <v>45929</v>
      </c>
    </row>
    <row r="37" spans="1:28" x14ac:dyDescent="0.25">
      <c r="A37" s="48">
        <v>1035</v>
      </c>
      <c r="B37" s="64" t="s">
        <v>328</v>
      </c>
      <c r="C37" s="45" t="s">
        <v>821</v>
      </c>
      <c r="D37" s="62" t="s">
        <v>1075</v>
      </c>
      <c r="E37" s="45">
        <v>1</v>
      </c>
      <c r="F37" s="46" t="s">
        <v>769</v>
      </c>
      <c r="G37" s="47" t="s">
        <v>259</v>
      </c>
      <c r="H37" s="47" t="s">
        <v>928</v>
      </c>
      <c r="I37" s="45" t="s">
        <v>219</v>
      </c>
      <c r="K37" s="45" t="s">
        <v>289</v>
      </c>
      <c r="L37" s="47" t="s">
        <v>768</v>
      </c>
      <c r="M37" s="47" t="s">
        <v>874</v>
      </c>
      <c r="N37" s="45" t="s">
        <v>886</v>
      </c>
      <c r="O37" s="45" t="s">
        <v>900</v>
      </c>
      <c r="P37" s="68" t="e">
        <f>VLOOKUP(B37,#REF!,2,FALSE)</f>
        <v>#REF!</v>
      </c>
      <c r="Q37" s="68" t="e">
        <f>VLOOKUP(B37,#REF!,3,FALSE)</f>
        <v>#REF!</v>
      </c>
      <c r="R37" s="68" t="e">
        <f>VLOOKUP($W37,#REF!,2,FALSE)</f>
        <v>#REF!</v>
      </c>
      <c r="S37" s="73" t="e">
        <f>VLOOKUP($W37,#REF!,7,FALSE)</f>
        <v>#REF!</v>
      </c>
      <c r="T37" s="48">
        <v>3</v>
      </c>
      <c r="U37" s="48">
        <v>1</v>
      </c>
      <c r="V37" s="57" t="e">
        <f>IF(ISNUMBER(U37),HLOOKUP(U37,#REF!,2,FALSE)*E37,"")</f>
        <v>#REF!</v>
      </c>
      <c r="W37" s="48" t="s">
        <v>332</v>
      </c>
      <c r="X37" s="59">
        <v>45922</v>
      </c>
      <c r="Y37" s="59">
        <v>45925</v>
      </c>
      <c r="Z37" s="59">
        <v>45929</v>
      </c>
    </row>
    <row r="38" spans="1:28" x14ac:dyDescent="0.25">
      <c r="A38" s="48">
        <v>1036</v>
      </c>
      <c r="B38" s="64" t="s">
        <v>328</v>
      </c>
      <c r="C38" s="45" t="s">
        <v>821</v>
      </c>
      <c r="D38" s="62" t="s">
        <v>126</v>
      </c>
      <c r="E38" s="45">
        <v>1</v>
      </c>
      <c r="F38" s="46" t="s">
        <v>769</v>
      </c>
      <c r="G38" s="47" t="s">
        <v>46</v>
      </c>
      <c r="H38" s="47" t="s">
        <v>931</v>
      </c>
      <c r="I38" s="45" t="s">
        <v>219</v>
      </c>
      <c r="K38" s="45" t="s">
        <v>287</v>
      </c>
      <c r="L38" s="47" t="s">
        <v>768</v>
      </c>
      <c r="M38" s="47" t="s">
        <v>876</v>
      </c>
      <c r="N38" s="45" t="s">
        <v>886</v>
      </c>
      <c r="O38" s="45" t="s">
        <v>900</v>
      </c>
      <c r="P38" s="68" t="e">
        <f>VLOOKUP(B38,#REF!,2,FALSE)</f>
        <v>#REF!</v>
      </c>
      <c r="Q38" s="68" t="e">
        <f>VLOOKUP(B38,#REF!,3,FALSE)</f>
        <v>#REF!</v>
      </c>
      <c r="R38" s="68" t="e">
        <f>VLOOKUP($W38,#REF!,2,FALSE)</f>
        <v>#REF!</v>
      </c>
      <c r="S38" s="73" t="e">
        <f>VLOOKUP($W38,#REF!,7,FALSE)</f>
        <v>#REF!</v>
      </c>
      <c r="T38" s="48">
        <v>3</v>
      </c>
      <c r="U38" s="48">
        <v>2</v>
      </c>
      <c r="V38" s="57" t="e">
        <f>IF(ISNUMBER(U38),HLOOKUP(U38,#REF!,2,FALSE)*E38,"")</f>
        <v>#REF!</v>
      </c>
      <c r="W38" s="48" t="s">
        <v>332</v>
      </c>
      <c r="X38" s="59">
        <v>45922</v>
      </c>
      <c r="Y38" s="59">
        <v>45925</v>
      </c>
      <c r="Z38" s="59">
        <v>45929</v>
      </c>
    </row>
    <row r="39" spans="1:28" x14ac:dyDescent="0.25">
      <c r="A39" s="48">
        <v>1037</v>
      </c>
      <c r="B39" s="64" t="s">
        <v>328</v>
      </c>
      <c r="C39" s="45" t="s">
        <v>821</v>
      </c>
      <c r="D39" s="62" t="s">
        <v>1076</v>
      </c>
      <c r="E39" s="45">
        <v>1</v>
      </c>
      <c r="F39" s="46" t="s">
        <v>769</v>
      </c>
      <c r="G39" s="47" t="s">
        <v>259</v>
      </c>
      <c r="H39" s="47" t="s">
        <v>928</v>
      </c>
      <c r="I39" s="45" t="s">
        <v>219</v>
      </c>
      <c r="K39" s="45" t="s">
        <v>286</v>
      </c>
      <c r="L39" s="47" t="s">
        <v>768</v>
      </c>
      <c r="M39" s="47" t="s">
        <v>880</v>
      </c>
      <c r="N39" s="45" t="s">
        <v>886</v>
      </c>
      <c r="O39" s="45" t="s">
        <v>900</v>
      </c>
      <c r="P39" s="68" t="e">
        <f>VLOOKUP(B39,#REF!,2,FALSE)</f>
        <v>#REF!</v>
      </c>
      <c r="Q39" s="68" t="e">
        <f>VLOOKUP(B39,#REF!,3,FALSE)</f>
        <v>#REF!</v>
      </c>
      <c r="R39" s="68" t="e">
        <f>VLOOKUP($W39,#REF!,2,FALSE)</f>
        <v>#REF!</v>
      </c>
      <c r="S39" s="73" t="e">
        <f>VLOOKUP($W39,#REF!,7,FALSE)</f>
        <v>#REF!</v>
      </c>
      <c r="T39" s="48">
        <v>3</v>
      </c>
      <c r="U39" s="48">
        <v>1</v>
      </c>
      <c r="V39" s="57" t="e">
        <f>IF(ISNUMBER(U39),HLOOKUP(U39,#REF!,2,FALSE)*E39,"")</f>
        <v>#REF!</v>
      </c>
      <c r="W39" s="48" t="s">
        <v>332</v>
      </c>
      <c r="X39" s="59">
        <v>45922</v>
      </c>
      <c r="Y39" s="59">
        <v>45925</v>
      </c>
      <c r="Z39" s="59">
        <v>45929</v>
      </c>
    </row>
    <row r="40" spans="1:28" ht="30" x14ac:dyDescent="0.25">
      <c r="A40" s="48">
        <v>1038</v>
      </c>
      <c r="B40" s="64" t="s">
        <v>328</v>
      </c>
      <c r="C40" s="45" t="s">
        <v>821</v>
      </c>
      <c r="D40" s="62" t="s">
        <v>129</v>
      </c>
      <c r="E40" s="45">
        <v>1</v>
      </c>
      <c r="F40" s="46" t="s">
        <v>769</v>
      </c>
      <c r="G40" s="47" t="s">
        <v>1006</v>
      </c>
      <c r="H40" s="47" t="s">
        <v>931</v>
      </c>
      <c r="I40" s="45" t="s">
        <v>219</v>
      </c>
      <c r="K40" s="45" t="s">
        <v>285</v>
      </c>
      <c r="L40" s="47" t="s">
        <v>768</v>
      </c>
      <c r="M40" s="47" t="s">
        <v>877</v>
      </c>
      <c r="N40" s="45" t="s">
        <v>886</v>
      </c>
      <c r="O40" s="45" t="s">
        <v>900</v>
      </c>
      <c r="P40" s="68" t="e">
        <f>VLOOKUP(B40,#REF!,2,FALSE)</f>
        <v>#REF!</v>
      </c>
      <c r="Q40" s="68" t="e">
        <f>VLOOKUP(B40,#REF!,3,FALSE)</f>
        <v>#REF!</v>
      </c>
      <c r="R40" s="68" t="e">
        <f>VLOOKUP($W40,#REF!,2,FALSE)</f>
        <v>#REF!</v>
      </c>
      <c r="S40" s="73" t="e">
        <f>VLOOKUP($W40,#REF!,7,FALSE)</f>
        <v>#REF!</v>
      </c>
      <c r="T40" s="48">
        <v>3</v>
      </c>
      <c r="U40" s="48">
        <v>2</v>
      </c>
      <c r="V40" s="57" t="e">
        <f>IF(ISNUMBER(U40),HLOOKUP(U40,#REF!,2,FALSE)*E40,"")</f>
        <v>#REF!</v>
      </c>
      <c r="W40" s="48" t="s">
        <v>332</v>
      </c>
      <c r="X40" s="59">
        <v>45922</v>
      </c>
      <c r="Y40" s="59">
        <v>45925</v>
      </c>
      <c r="Z40" s="59">
        <v>45929</v>
      </c>
    </row>
    <row r="41" spans="1:28" x14ac:dyDescent="0.25">
      <c r="A41" s="48">
        <v>1039</v>
      </c>
      <c r="B41" s="64" t="s">
        <v>328</v>
      </c>
      <c r="C41" s="45" t="s">
        <v>821</v>
      </c>
      <c r="D41" s="62" t="s">
        <v>1077</v>
      </c>
      <c r="E41" s="45">
        <v>1</v>
      </c>
      <c r="F41" s="46" t="s">
        <v>769</v>
      </c>
      <c r="G41" s="47" t="s">
        <v>259</v>
      </c>
      <c r="H41" s="47" t="s">
        <v>928</v>
      </c>
      <c r="I41" s="45" t="s">
        <v>219</v>
      </c>
      <c r="K41" s="45" t="s">
        <v>284</v>
      </c>
      <c r="L41" s="47" t="s">
        <v>768</v>
      </c>
      <c r="M41" s="47" t="s">
        <v>878</v>
      </c>
      <c r="N41" s="45" t="s">
        <v>886</v>
      </c>
      <c r="O41" s="45" t="s">
        <v>900</v>
      </c>
      <c r="P41" s="68" t="e">
        <f>VLOOKUP(B41,#REF!,2,FALSE)</f>
        <v>#REF!</v>
      </c>
      <c r="Q41" s="68" t="e">
        <f>VLOOKUP(B41,#REF!,3,FALSE)</f>
        <v>#REF!</v>
      </c>
      <c r="R41" s="68" t="e">
        <f>VLOOKUP($W41,#REF!,2,FALSE)</f>
        <v>#REF!</v>
      </c>
      <c r="S41" s="73" t="e">
        <f>VLOOKUP($W41,#REF!,7,FALSE)</f>
        <v>#REF!</v>
      </c>
      <c r="T41" s="48">
        <v>3</v>
      </c>
      <c r="U41" s="48">
        <v>1</v>
      </c>
      <c r="V41" s="57" t="e">
        <f>IF(ISNUMBER(U41),HLOOKUP(U41,#REF!,2,FALSE)*E41,"")</f>
        <v>#REF!</v>
      </c>
      <c r="W41" s="48" t="s">
        <v>332</v>
      </c>
      <c r="X41" s="59">
        <v>45922</v>
      </c>
      <c r="Y41" s="59">
        <v>45925</v>
      </c>
      <c r="Z41" s="59">
        <v>45929</v>
      </c>
    </row>
    <row r="42" spans="1:28" x14ac:dyDescent="0.25">
      <c r="A42" s="48">
        <v>1040</v>
      </c>
      <c r="B42" s="64" t="s">
        <v>328</v>
      </c>
      <c r="C42" s="45" t="s">
        <v>821</v>
      </c>
      <c r="D42" s="62" t="s">
        <v>131</v>
      </c>
      <c r="E42" s="45">
        <v>1</v>
      </c>
      <c r="F42" s="46" t="s">
        <v>769</v>
      </c>
      <c r="G42" s="47" t="s">
        <v>46</v>
      </c>
      <c r="H42" s="47" t="s">
        <v>931</v>
      </c>
      <c r="I42" s="45" t="s">
        <v>219</v>
      </c>
      <c r="K42" s="45" t="s">
        <v>274</v>
      </c>
      <c r="L42" s="47" t="s">
        <v>768</v>
      </c>
      <c r="M42" s="47" t="s">
        <v>879</v>
      </c>
      <c r="N42" s="45" t="s">
        <v>886</v>
      </c>
      <c r="O42" s="45" t="s">
        <v>900</v>
      </c>
      <c r="P42" s="68" t="e">
        <f>VLOOKUP(B42,#REF!,2,FALSE)</f>
        <v>#REF!</v>
      </c>
      <c r="Q42" s="68" t="e">
        <f>VLOOKUP(B42,#REF!,3,FALSE)</f>
        <v>#REF!</v>
      </c>
      <c r="R42" s="68" t="e">
        <f>VLOOKUP($W42,#REF!,2,FALSE)</f>
        <v>#REF!</v>
      </c>
      <c r="S42" s="73" t="e">
        <f>VLOOKUP($W42,#REF!,7,FALSE)</f>
        <v>#REF!</v>
      </c>
      <c r="T42" s="48">
        <v>3</v>
      </c>
      <c r="U42" s="48">
        <v>2</v>
      </c>
      <c r="V42" s="57" t="e">
        <f>IF(ISNUMBER(U42),HLOOKUP(U42,#REF!,2,FALSE)*E42,"")</f>
        <v>#REF!</v>
      </c>
      <c r="W42" s="48" t="s">
        <v>332</v>
      </c>
      <c r="X42" s="59">
        <v>45922</v>
      </c>
      <c r="Y42" s="59">
        <v>45925</v>
      </c>
      <c r="Z42" s="59">
        <v>45929</v>
      </c>
    </row>
    <row r="43" spans="1:28" ht="75" x14ac:dyDescent="0.25">
      <c r="A43" s="48">
        <v>1041</v>
      </c>
      <c r="B43" s="64" t="s">
        <v>328</v>
      </c>
      <c r="C43" s="45" t="s">
        <v>821</v>
      </c>
      <c r="D43" s="62" t="s">
        <v>1078</v>
      </c>
      <c r="E43" s="45">
        <v>1</v>
      </c>
      <c r="F43" s="46" t="s">
        <v>774</v>
      </c>
      <c r="G43" s="47" t="s">
        <v>259</v>
      </c>
      <c r="H43" s="47" t="s">
        <v>933</v>
      </c>
      <c r="I43" s="45" t="s">
        <v>219</v>
      </c>
      <c r="K43" s="45" t="s">
        <v>272</v>
      </c>
      <c r="L43" s="47" t="s">
        <v>770</v>
      </c>
      <c r="M43" s="47" t="s">
        <v>881</v>
      </c>
      <c r="N43" s="45" t="s">
        <v>886</v>
      </c>
      <c r="O43" s="45" t="s">
        <v>900</v>
      </c>
      <c r="P43" s="68" t="e">
        <f>VLOOKUP(B43,#REF!,2,FALSE)</f>
        <v>#REF!</v>
      </c>
      <c r="Q43" s="68" t="e">
        <f>VLOOKUP(B43,#REF!,3,FALSE)</f>
        <v>#REF!</v>
      </c>
      <c r="R43" s="68" t="e">
        <f>VLOOKUP($W43,#REF!,2,FALSE)</f>
        <v>#REF!</v>
      </c>
      <c r="S43" s="73" t="e">
        <f>VLOOKUP($W43,#REF!,7,FALSE)</f>
        <v>#REF!</v>
      </c>
      <c r="T43" s="48">
        <v>3</v>
      </c>
      <c r="U43" s="48">
        <v>1</v>
      </c>
      <c r="V43" s="57" t="e">
        <f>IF(ISNUMBER(U43),HLOOKUP(U43,#REF!,2,FALSE)*E43,"")</f>
        <v>#REF!</v>
      </c>
      <c r="W43" s="48" t="s">
        <v>332</v>
      </c>
      <c r="X43" s="59">
        <v>45922</v>
      </c>
      <c r="Y43" s="59">
        <v>45925</v>
      </c>
      <c r="Z43" s="59">
        <v>45929</v>
      </c>
    </row>
    <row r="44" spans="1:28" ht="75" x14ac:dyDescent="0.25">
      <c r="A44" s="69">
        <v>1304</v>
      </c>
      <c r="B44" s="71" t="s">
        <v>328</v>
      </c>
      <c r="C44" s="71" t="s">
        <v>821</v>
      </c>
      <c r="D44" s="72" t="s">
        <v>1109</v>
      </c>
      <c r="E44" s="45">
        <v>1</v>
      </c>
      <c r="F44" s="46">
        <v>0</v>
      </c>
      <c r="G44" s="47" t="s">
        <v>259</v>
      </c>
      <c r="H44" s="47" t="s">
        <v>933</v>
      </c>
      <c r="I44" s="45" t="s">
        <v>219</v>
      </c>
      <c r="K44" s="45" t="s">
        <v>272</v>
      </c>
      <c r="L44" s="47" t="s">
        <v>1110</v>
      </c>
      <c r="M44" s="47" t="s">
        <v>965</v>
      </c>
      <c r="N44" s="45" t="s">
        <v>886</v>
      </c>
      <c r="O44" s="45" t="s">
        <v>900</v>
      </c>
      <c r="P44" s="68" t="e">
        <f>VLOOKUP(B44,#REF!,2,FALSE)</f>
        <v>#REF!</v>
      </c>
      <c r="Q44" s="68" t="e">
        <f>VLOOKUP(B44,#REF!,3,FALSE)</f>
        <v>#REF!</v>
      </c>
      <c r="R44" s="68" t="e">
        <f>VLOOKUP($W44,#REF!,2,FALSE)</f>
        <v>#REF!</v>
      </c>
      <c r="S44" s="73" t="e">
        <f>VLOOKUP($W44,#REF!,7,FALSE)</f>
        <v>#REF!</v>
      </c>
      <c r="T44" s="69">
        <v>3</v>
      </c>
      <c r="U44" s="69">
        <v>3</v>
      </c>
      <c r="V44" s="57" t="e">
        <f>IF(ISNUMBER(U44),HLOOKUP(U44,#REF!,2,FALSE)*E44,"")</f>
        <v>#REF!</v>
      </c>
      <c r="W44" s="69" t="s">
        <v>332</v>
      </c>
      <c r="X44" s="59">
        <v>45922</v>
      </c>
      <c r="Y44" s="59">
        <v>45925</v>
      </c>
      <c r="Z44" s="59">
        <v>45929</v>
      </c>
    </row>
    <row r="45" spans="1:28" ht="30" x14ac:dyDescent="0.25">
      <c r="A45" s="48">
        <v>1042</v>
      </c>
      <c r="B45" s="64" t="s">
        <v>328</v>
      </c>
      <c r="C45" s="45" t="s">
        <v>135</v>
      </c>
      <c r="D45" s="62" t="s">
        <v>215</v>
      </c>
      <c r="E45" s="45">
        <v>1</v>
      </c>
      <c r="F45" s="46">
        <v>28</v>
      </c>
      <c r="G45" s="47" t="s">
        <v>1000</v>
      </c>
      <c r="H45" s="47" t="s">
        <v>928</v>
      </c>
      <c r="I45" s="45" t="s">
        <v>219</v>
      </c>
      <c r="K45" s="45" t="s">
        <v>283</v>
      </c>
      <c r="M45" s="47" t="s">
        <v>941</v>
      </c>
      <c r="N45" s="45" t="s">
        <v>886</v>
      </c>
      <c r="O45" s="45" t="s">
        <v>900</v>
      </c>
      <c r="P45" s="68" t="e">
        <f>VLOOKUP(B45,#REF!,2,FALSE)</f>
        <v>#REF!</v>
      </c>
      <c r="Q45" s="68" t="e">
        <f>VLOOKUP(B45,#REF!,3,FALSE)</f>
        <v>#REF!</v>
      </c>
      <c r="R45" s="68" t="e">
        <f>VLOOKUP($W45,#REF!,2,FALSE)</f>
        <v>#REF!</v>
      </c>
      <c r="S45" s="73" t="e">
        <f>VLOOKUP($W45,#REF!,7,FALSE)</f>
        <v>#REF!</v>
      </c>
      <c r="T45" s="48">
        <v>3</v>
      </c>
      <c r="U45" s="48">
        <v>2</v>
      </c>
      <c r="V45" s="57" t="e">
        <f>IF(ISNUMBER(U45),HLOOKUP(U45,#REF!,2,FALSE)*E45,"")</f>
        <v>#REF!</v>
      </c>
      <c r="W45" s="48" t="s">
        <v>333</v>
      </c>
      <c r="X45" s="59">
        <v>45922</v>
      </c>
      <c r="Y45" s="59">
        <v>45925</v>
      </c>
      <c r="Z45" s="59">
        <v>45929</v>
      </c>
      <c r="AA45" s="45"/>
      <c r="AB45" s="45"/>
    </row>
    <row r="46" spans="1:28" ht="135" x14ac:dyDescent="0.25">
      <c r="A46" s="48">
        <v>1043</v>
      </c>
      <c r="B46" s="64" t="s">
        <v>328</v>
      </c>
      <c r="C46" s="45" t="s">
        <v>135</v>
      </c>
      <c r="D46" s="62" t="s">
        <v>1079</v>
      </c>
      <c r="E46" s="45">
        <v>1</v>
      </c>
      <c r="F46" s="46">
        <v>28</v>
      </c>
      <c r="G46" s="47" t="s">
        <v>261</v>
      </c>
      <c r="H46" s="47" t="s">
        <v>933</v>
      </c>
      <c r="I46" s="45" t="s">
        <v>219</v>
      </c>
      <c r="K46" s="45" t="s">
        <v>282</v>
      </c>
      <c r="L46" s="11" t="s">
        <v>884</v>
      </c>
      <c r="M46" s="76" t="s">
        <v>885</v>
      </c>
      <c r="N46" s="45" t="s">
        <v>886</v>
      </c>
      <c r="O46" s="45" t="s">
        <v>900</v>
      </c>
      <c r="P46" s="68" t="e">
        <f>VLOOKUP(B46,#REF!,2,FALSE)</f>
        <v>#REF!</v>
      </c>
      <c r="Q46" s="68" t="e">
        <f>VLOOKUP(B46,#REF!,3,FALSE)</f>
        <v>#REF!</v>
      </c>
      <c r="R46" s="68" t="e">
        <f>VLOOKUP($W46,#REF!,2,FALSE)</f>
        <v>#REF!</v>
      </c>
      <c r="S46" s="73" t="e">
        <f>VLOOKUP($W46,#REF!,7,FALSE)</f>
        <v>#REF!</v>
      </c>
      <c r="T46" s="48">
        <v>3</v>
      </c>
      <c r="U46" s="48">
        <v>2</v>
      </c>
      <c r="V46" s="57" t="e">
        <f>IF(ISNUMBER(U46),HLOOKUP(U46,#REF!,2,FALSE)*E46,"")</f>
        <v>#REF!</v>
      </c>
      <c r="W46" s="48" t="s">
        <v>333</v>
      </c>
      <c r="X46" s="59">
        <v>45922</v>
      </c>
      <c r="Y46" s="59">
        <v>45925</v>
      </c>
      <c r="Z46" s="59">
        <v>45929</v>
      </c>
      <c r="AA46" s="45"/>
      <c r="AB46" s="45"/>
    </row>
    <row r="47" spans="1:28" x14ac:dyDescent="0.25">
      <c r="A47" s="48">
        <v>1044</v>
      </c>
      <c r="B47" s="64" t="s">
        <v>328</v>
      </c>
      <c r="C47" s="45" t="s">
        <v>145</v>
      </c>
      <c r="D47" s="62" t="s">
        <v>147</v>
      </c>
      <c r="E47" s="45">
        <v>1</v>
      </c>
      <c r="F47" s="46">
        <v>29</v>
      </c>
      <c r="G47" s="47" t="s">
        <v>46</v>
      </c>
      <c r="H47" s="47" t="s">
        <v>930</v>
      </c>
      <c r="I47" s="45" t="s">
        <v>219</v>
      </c>
      <c r="K47" s="45" t="s">
        <v>281</v>
      </c>
      <c r="L47" s="47" t="s">
        <v>857</v>
      </c>
      <c r="M47" s="47" t="s">
        <v>872</v>
      </c>
      <c r="N47" s="45" t="s">
        <v>886</v>
      </c>
      <c r="O47" s="45" t="s">
        <v>900</v>
      </c>
      <c r="P47" s="68" t="e">
        <f>VLOOKUP(B47,#REF!,2,FALSE)</f>
        <v>#REF!</v>
      </c>
      <c r="Q47" s="68" t="e">
        <f>VLOOKUP(B47,#REF!,3,FALSE)</f>
        <v>#REF!</v>
      </c>
      <c r="R47" s="68" t="e">
        <f>VLOOKUP($W47,#REF!,2,FALSE)</f>
        <v>#REF!</v>
      </c>
      <c r="S47" s="73" t="e">
        <f>VLOOKUP($W47,#REF!,7,FALSE)</f>
        <v>#REF!</v>
      </c>
      <c r="T47" s="48">
        <v>4</v>
      </c>
      <c r="U47" s="48">
        <v>2</v>
      </c>
      <c r="V47" s="57" t="e">
        <f>IF(ISNUMBER(U47),HLOOKUP(U47,#REF!,2,FALSE)*E47,"")</f>
        <v>#REF!</v>
      </c>
      <c r="W47" s="48" t="s">
        <v>333</v>
      </c>
      <c r="X47" s="59">
        <v>45922</v>
      </c>
      <c r="Y47" s="59">
        <v>45924</v>
      </c>
      <c r="Z47" s="59">
        <v>45929</v>
      </c>
      <c r="AA47" s="45"/>
      <c r="AB47" s="45"/>
    </row>
    <row r="48" spans="1:28" x14ac:dyDescent="0.25">
      <c r="A48" s="48">
        <v>1045</v>
      </c>
      <c r="B48" s="64" t="s">
        <v>328</v>
      </c>
      <c r="C48" s="45" t="s">
        <v>145</v>
      </c>
      <c r="D48" s="62" t="s">
        <v>148</v>
      </c>
      <c r="E48" s="45">
        <v>1</v>
      </c>
      <c r="F48" s="46">
        <v>29</v>
      </c>
      <c r="G48" s="47" t="s">
        <v>46</v>
      </c>
      <c r="H48" s="47" t="s">
        <v>930</v>
      </c>
      <c r="I48" s="45" t="s">
        <v>219</v>
      </c>
      <c r="K48" s="45" t="s">
        <v>280</v>
      </c>
      <c r="L48" s="47" t="s">
        <v>857</v>
      </c>
      <c r="M48" s="47" t="s">
        <v>872</v>
      </c>
      <c r="N48" s="45" t="s">
        <v>886</v>
      </c>
      <c r="O48" s="45" t="s">
        <v>900</v>
      </c>
      <c r="P48" s="68" t="e">
        <f>VLOOKUP(B48,#REF!,2,FALSE)</f>
        <v>#REF!</v>
      </c>
      <c r="Q48" s="68" t="e">
        <f>VLOOKUP(B48,#REF!,3,FALSE)</f>
        <v>#REF!</v>
      </c>
      <c r="R48" s="68" t="e">
        <f>VLOOKUP($W48,#REF!,2,FALSE)</f>
        <v>#REF!</v>
      </c>
      <c r="S48" s="73" t="e">
        <f>VLOOKUP($W48,#REF!,7,FALSE)</f>
        <v>#REF!</v>
      </c>
      <c r="T48" s="48">
        <v>4</v>
      </c>
      <c r="U48" s="48">
        <v>2</v>
      </c>
      <c r="V48" s="57" t="e">
        <f>IF(ISNUMBER(U48),HLOOKUP(U48,#REF!,2,FALSE)*E48,"")</f>
        <v>#REF!</v>
      </c>
      <c r="W48" s="48" t="s">
        <v>333</v>
      </c>
      <c r="X48" s="59">
        <v>45922</v>
      </c>
      <c r="Y48" s="59">
        <v>45924</v>
      </c>
      <c r="Z48" s="59">
        <v>45929</v>
      </c>
      <c r="AA48" s="45"/>
      <c r="AB48" s="45"/>
    </row>
    <row r="49" spans="1:28" x14ac:dyDescent="0.25">
      <c r="A49" s="48">
        <v>1046</v>
      </c>
      <c r="B49" s="64" t="s">
        <v>328</v>
      </c>
      <c r="C49" s="45" t="s">
        <v>145</v>
      </c>
      <c r="D49" s="62" t="s">
        <v>149</v>
      </c>
      <c r="E49" s="45">
        <v>1</v>
      </c>
      <c r="F49" s="46">
        <v>29</v>
      </c>
      <c r="G49" s="47" t="s">
        <v>46</v>
      </c>
      <c r="H49" s="47" t="s">
        <v>930</v>
      </c>
      <c r="I49" s="45" t="s">
        <v>219</v>
      </c>
      <c r="K49" s="45" t="s">
        <v>279</v>
      </c>
      <c r="L49" s="47" t="s">
        <v>857</v>
      </c>
      <c r="M49" s="47" t="s">
        <v>872</v>
      </c>
      <c r="N49" s="45" t="s">
        <v>886</v>
      </c>
      <c r="O49" s="45" t="s">
        <v>900</v>
      </c>
      <c r="P49" s="68" t="e">
        <f>VLOOKUP(B49,#REF!,2,FALSE)</f>
        <v>#REF!</v>
      </c>
      <c r="Q49" s="68" t="e">
        <f>VLOOKUP(B49,#REF!,3,FALSE)</f>
        <v>#REF!</v>
      </c>
      <c r="R49" s="68" t="e">
        <f>VLOOKUP($W49,#REF!,2,FALSE)</f>
        <v>#REF!</v>
      </c>
      <c r="S49" s="73" t="e">
        <f>VLOOKUP($W49,#REF!,7,FALSE)</f>
        <v>#REF!</v>
      </c>
      <c r="T49" s="48">
        <v>4</v>
      </c>
      <c r="U49" s="48">
        <v>2</v>
      </c>
      <c r="V49" s="57" t="e">
        <f>IF(ISNUMBER(U49),HLOOKUP(U49,#REF!,2,FALSE)*E49,"")</f>
        <v>#REF!</v>
      </c>
      <c r="W49" s="48" t="s">
        <v>333</v>
      </c>
      <c r="X49" s="59">
        <v>45922</v>
      </c>
      <c r="Y49" s="59">
        <v>45924</v>
      </c>
      <c r="Z49" s="59">
        <v>45929</v>
      </c>
      <c r="AA49" s="45"/>
      <c r="AB49" s="45"/>
    </row>
    <row r="50" spans="1:28" x14ac:dyDescent="0.25">
      <c r="A50" s="48">
        <v>1047</v>
      </c>
      <c r="B50" s="64" t="s">
        <v>328</v>
      </c>
      <c r="C50" s="45" t="s">
        <v>145</v>
      </c>
      <c r="D50" s="62" t="s">
        <v>150</v>
      </c>
      <c r="E50" s="45">
        <v>1</v>
      </c>
      <c r="F50" s="46">
        <v>29</v>
      </c>
      <c r="G50" s="47" t="s">
        <v>46</v>
      </c>
      <c r="H50" s="47" t="s">
        <v>930</v>
      </c>
      <c r="I50" s="45" t="s">
        <v>219</v>
      </c>
      <c r="K50" s="45" t="s">
        <v>278</v>
      </c>
      <c r="L50" s="47" t="s">
        <v>857</v>
      </c>
      <c r="M50" s="47" t="s">
        <v>872</v>
      </c>
      <c r="N50" s="45" t="s">
        <v>886</v>
      </c>
      <c r="O50" s="45" t="s">
        <v>900</v>
      </c>
      <c r="P50" s="68" t="e">
        <f>VLOOKUP(B50,#REF!,2,FALSE)</f>
        <v>#REF!</v>
      </c>
      <c r="Q50" s="68" t="e">
        <f>VLOOKUP(B50,#REF!,3,FALSE)</f>
        <v>#REF!</v>
      </c>
      <c r="R50" s="68" t="e">
        <f>VLOOKUP($W50,#REF!,2,FALSE)</f>
        <v>#REF!</v>
      </c>
      <c r="S50" s="73" t="e">
        <f>VLOOKUP($W50,#REF!,7,FALSE)</f>
        <v>#REF!</v>
      </c>
      <c r="T50" s="48">
        <v>4</v>
      </c>
      <c r="U50" s="48">
        <v>2</v>
      </c>
      <c r="V50" s="57" t="e">
        <f>IF(ISNUMBER(U50),HLOOKUP(U50,#REF!,2,FALSE)*E50,"")</f>
        <v>#REF!</v>
      </c>
      <c r="W50" s="48" t="s">
        <v>333</v>
      </c>
      <c r="X50" s="59">
        <v>45922</v>
      </c>
      <c r="Y50" s="59">
        <v>45924</v>
      </c>
      <c r="Z50" s="59">
        <v>45929</v>
      </c>
      <c r="AA50" s="45"/>
      <c r="AB50" s="45"/>
    </row>
    <row r="51" spans="1:28" x14ac:dyDescent="0.25">
      <c r="A51" s="48">
        <v>1048</v>
      </c>
      <c r="B51" s="64" t="s">
        <v>328</v>
      </c>
      <c r="C51" s="45" t="s">
        <v>145</v>
      </c>
      <c r="D51" s="62" t="s">
        <v>151</v>
      </c>
      <c r="E51" s="45">
        <v>1</v>
      </c>
      <c r="F51" s="46">
        <v>29</v>
      </c>
      <c r="G51" s="47" t="s">
        <v>46</v>
      </c>
      <c r="H51" s="47" t="s">
        <v>930</v>
      </c>
      <c r="I51" s="45" t="s">
        <v>219</v>
      </c>
      <c r="K51" s="45" t="s">
        <v>272</v>
      </c>
      <c r="L51" s="47" t="s">
        <v>857</v>
      </c>
      <c r="M51" s="47" t="s">
        <v>872</v>
      </c>
      <c r="N51" s="45" t="s">
        <v>886</v>
      </c>
      <c r="O51" s="45" t="s">
        <v>900</v>
      </c>
      <c r="P51" s="68" t="e">
        <f>VLOOKUP(B51,#REF!,2,FALSE)</f>
        <v>#REF!</v>
      </c>
      <c r="Q51" s="68" t="e">
        <f>VLOOKUP(B51,#REF!,3,FALSE)</f>
        <v>#REF!</v>
      </c>
      <c r="R51" s="68" t="e">
        <f>VLOOKUP($W51,#REF!,2,FALSE)</f>
        <v>#REF!</v>
      </c>
      <c r="S51" s="73" t="e">
        <f>VLOOKUP($W51,#REF!,7,FALSE)</f>
        <v>#REF!</v>
      </c>
      <c r="T51" s="48">
        <v>4</v>
      </c>
      <c r="U51" s="48">
        <v>2</v>
      </c>
      <c r="V51" s="57" t="e">
        <f>IF(ISNUMBER(U51),HLOOKUP(U51,#REF!,2,FALSE)*E51,"")</f>
        <v>#REF!</v>
      </c>
      <c r="W51" s="48" t="s">
        <v>333</v>
      </c>
      <c r="X51" s="59">
        <v>45922</v>
      </c>
      <c r="Y51" s="59">
        <v>45924</v>
      </c>
      <c r="Z51" s="59">
        <v>45929</v>
      </c>
      <c r="AA51" s="45"/>
      <c r="AB51" s="45"/>
    </row>
    <row r="52" spans="1:28" ht="30" x14ac:dyDescent="0.25">
      <c r="A52" s="48">
        <v>1049</v>
      </c>
      <c r="B52" s="64" t="s">
        <v>328</v>
      </c>
      <c r="C52" s="45" t="s">
        <v>145</v>
      </c>
      <c r="D52" s="62" t="s">
        <v>146</v>
      </c>
      <c r="E52" s="45">
        <v>1</v>
      </c>
      <c r="F52" s="46">
        <v>29</v>
      </c>
      <c r="G52" s="47" t="s">
        <v>261</v>
      </c>
      <c r="H52" s="47" t="s">
        <v>930</v>
      </c>
      <c r="I52" s="45" t="s">
        <v>219</v>
      </c>
      <c r="K52" s="45" t="s">
        <v>272</v>
      </c>
      <c r="L52" s="47" t="s">
        <v>883</v>
      </c>
      <c r="M52" s="47" t="s">
        <v>872</v>
      </c>
      <c r="N52" s="45" t="s">
        <v>886</v>
      </c>
      <c r="O52" s="45" t="s">
        <v>900</v>
      </c>
      <c r="P52" s="68" t="e">
        <f>VLOOKUP(B52,#REF!,2,FALSE)</f>
        <v>#REF!</v>
      </c>
      <c r="Q52" s="68" t="e">
        <f>VLOOKUP(B52,#REF!,3,FALSE)</f>
        <v>#REF!</v>
      </c>
      <c r="R52" s="68" t="e">
        <f>VLOOKUP($W52,#REF!,2,FALSE)</f>
        <v>#REF!</v>
      </c>
      <c r="S52" s="73" t="e">
        <f>VLOOKUP($W52,#REF!,7,FALSE)</f>
        <v>#REF!</v>
      </c>
      <c r="T52" s="48">
        <v>4</v>
      </c>
      <c r="U52" s="48">
        <v>2</v>
      </c>
      <c r="V52" s="57" t="e">
        <f>IF(ISNUMBER(U52),HLOOKUP(U52,#REF!,2,FALSE)*E52,"")</f>
        <v>#REF!</v>
      </c>
      <c r="W52" s="48" t="s">
        <v>333</v>
      </c>
      <c r="X52" s="59">
        <v>45922</v>
      </c>
      <c r="Y52" s="59">
        <v>45924</v>
      </c>
      <c r="Z52" s="59">
        <v>45929</v>
      </c>
      <c r="AA52" s="45"/>
      <c r="AB52" s="45"/>
    </row>
    <row r="53" spans="1:28" ht="45" x14ac:dyDescent="0.25">
      <c r="A53" s="48">
        <v>1050</v>
      </c>
      <c r="B53" s="64" t="s">
        <v>328</v>
      </c>
      <c r="C53" s="45" t="s">
        <v>160</v>
      </c>
      <c r="D53" s="62" t="s">
        <v>271</v>
      </c>
      <c r="E53" s="45">
        <v>1</v>
      </c>
      <c r="F53" s="46">
        <v>0</v>
      </c>
      <c r="G53" s="47" t="s">
        <v>259</v>
      </c>
      <c r="H53" s="47" t="s">
        <v>933</v>
      </c>
      <c r="I53" s="45" t="s">
        <v>219</v>
      </c>
      <c r="K53" s="45" t="s">
        <v>275</v>
      </c>
      <c r="L53" s="47" t="s">
        <v>934</v>
      </c>
      <c r="M53" s="47" t="s">
        <v>990</v>
      </c>
      <c r="N53" s="45" t="s">
        <v>886</v>
      </c>
      <c r="O53" s="45" t="s">
        <v>900</v>
      </c>
      <c r="P53" s="68" t="e">
        <f>VLOOKUP(B53,#REF!,2,FALSE)</f>
        <v>#REF!</v>
      </c>
      <c r="Q53" s="68" t="e">
        <f>VLOOKUP(B53,#REF!,3,FALSE)</f>
        <v>#REF!</v>
      </c>
      <c r="R53" s="68" t="e">
        <f>VLOOKUP($W53,#REF!,2,FALSE)</f>
        <v>#REF!</v>
      </c>
      <c r="S53" s="73" t="e">
        <f>VLOOKUP($W53,#REF!,7,FALSE)</f>
        <v>#REF!</v>
      </c>
      <c r="T53" s="48">
        <v>4</v>
      </c>
      <c r="U53" s="48">
        <v>1</v>
      </c>
      <c r="V53" s="57" t="e">
        <f>IF(ISNUMBER(U53),HLOOKUP(U53,#REF!,2,FALSE)*E53,"")</f>
        <v>#REF!</v>
      </c>
      <c r="W53" s="48" t="s">
        <v>333</v>
      </c>
      <c r="X53" s="59">
        <v>45923</v>
      </c>
      <c r="Y53" s="59">
        <v>45925</v>
      </c>
      <c r="Z53" s="59">
        <v>45929</v>
      </c>
      <c r="AA53" s="45"/>
      <c r="AB53" s="45"/>
    </row>
    <row r="54" spans="1:28" ht="115.9" customHeight="1" x14ac:dyDescent="0.25">
      <c r="A54" s="48">
        <v>1051</v>
      </c>
      <c r="B54" s="64" t="s">
        <v>328</v>
      </c>
      <c r="C54" s="45" t="s">
        <v>152</v>
      </c>
      <c r="D54" s="65" t="s">
        <v>1080</v>
      </c>
      <c r="E54" s="45">
        <v>0</v>
      </c>
      <c r="F54" s="46">
        <v>29</v>
      </c>
      <c r="G54" s="47" t="s">
        <v>169</v>
      </c>
      <c r="H54" s="47" t="s">
        <v>930</v>
      </c>
      <c r="I54" s="45" t="s">
        <v>219</v>
      </c>
      <c r="L54" s="47" t="s">
        <v>1081</v>
      </c>
      <c r="M54" s="79" t="s">
        <v>935</v>
      </c>
      <c r="N54" s="45" t="s">
        <v>886</v>
      </c>
      <c r="O54" s="45" t="s">
        <v>900</v>
      </c>
      <c r="P54" s="68" t="e">
        <f>VLOOKUP(B54,#REF!,2,FALSE)</f>
        <v>#REF!</v>
      </c>
      <c r="Q54" s="68" t="e">
        <f>VLOOKUP(B54,#REF!,3,FALSE)</f>
        <v>#REF!</v>
      </c>
      <c r="R54" s="68" t="e">
        <f>VLOOKUP($W54,#REF!,2,FALSE)</f>
        <v>#REF!</v>
      </c>
      <c r="S54" s="73" t="e">
        <f>VLOOKUP($W54,#REF!,7,FALSE)</f>
        <v>#REF!</v>
      </c>
      <c r="T54" s="48">
        <v>9</v>
      </c>
      <c r="U54" s="48">
        <v>0</v>
      </c>
      <c r="V54" s="57" t="e">
        <f>IF(ISNUMBER(U54),HLOOKUP(U54,#REF!,2,FALSE)*E54,"")</f>
        <v>#REF!</v>
      </c>
      <c r="W54" s="48" t="s">
        <v>902</v>
      </c>
      <c r="X54" s="59">
        <v>45924</v>
      </c>
      <c r="Y54" s="59">
        <v>45925</v>
      </c>
      <c r="Z54" s="59">
        <v>45929</v>
      </c>
      <c r="AA54" s="45"/>
      <c r="AB54" s="45"/>
    </row>
    <row r="55" spans="1:28" ht="23.25" x14ac:dyDescent="0.25">
      <c r="A55" s="48">
        <v>1052</v>
      </c>
      <c r="B55" s="64" t="s">
        <v>328</v>
      </c>
      <c r="C55" s="45" t="s">
        <v>158</v>
      </c>
      <c r="D55" s="62" t="s">
        <v>159</v>
      </c>
      <c r="E55" s="45">
        <v>1</v>
      </c>
      <c r="F55" s="46">
        <v>30</v>
      </c>
      <c r="G55" s="47" t="s">
        <v>46</v>
      </c>
      <c r="H55" s="47" t="s">
        <v>930</v>
      </c>
      <c r="I55" s="45" t="s">
        <v>219</v>
      </c>
      <c r="K55" s="45" t="s">
        <v>272</v>
      </c>
      <c r="L55" s="50"/>
      <c r="M55" s="47" t="s">
        <v>941</v>
      </c>
      <c r="N55" s="45" t="s">
        <v>886</v>
      </c>
      <c r="O55" s="45" t="s">
        <v>900</v>
      </c>
      <c r="P55" s="68" t="e">
        <f>VLOOKUP(B55,#REF!,2,FALSE)</f>
        <v>#REF!</v>
      </c>
      <c r="Q55" s="68" t="e">
        <f>VLOOKUP(B55,#REF!,3,FALSE)</f>
        <v>#REF!</v>
      </c>
      <c r="R55" s="68" t="e">
        <f>VLOOKUP($W55,#REF!,2,FALSE)</f>
        <v>#REF!</v>
      </c>
      <c r="S55" s="73" t="e">
        <f>VLOOKUP($W55,#REF!,7,FALSE)</f>
        <v>#REF!</v>
      </c>
      <c r="T55" s="48">
        <v>4</v>
      </c>
      <c r="U55" s="48">
        <v>2</v>
      </c>
      <c r="V55" s="57" t="e">
        <f>IF(ISNUMBER(U55),HLOOKUP(U55,#REF!,2,FALSE)*E55,"")</f>
        <v>#REF!</v>
      </c>
      <c r="W55" s="48" t="s">
        <v>333</v>
      </c>
      <c r="X55" s="59">
        <v>45923</v>
      </c>
      <c r="Y55" s="59">
        <v>45925</v>
      </c>
      <c r="Z55" s="59">
        <v>45929</v>
      </c>
      <c r="AA55" s="45"/>
      <c r="AB55" s="45"/>
    </row>
    <row r="56" spans="1:28" ht="105" x14ac:dyDescent="0.25">
      <c r="A56" s="48">
        <v>1053</v>
      </c>
      <c r="B56" s="64" t="s">
        <v>328</v>
      </c>
      <c r="C56" s="45" t="s">
        <v>160</v>
      </c>
      <c r="D56" s="62" t="s">
        <v>161</v>
      </c>
      <c r="E56" s="45">
        <v>1</v>
      </c>
      <c r="F56" s="46" t="s">
        <v>762</v>
      </c>
      <c r="G56" s="47" t="s">
        <v>999</v>
      </c>
      <c r="H56" s="47" t="s">
        <v>931</v>
      </c>
      <c r="I56" s="45" t="s">
        <v>219</v>
      </c>
      <c r="J56" s="45" t="s">
        <v>221</v>
      </c>
      <c r="K56" s="45" t="s">
        <v>277</v>
      </c>
      <c r="L56" s="47" t="s">
        <v>993</v>
      </c>
      <c r="M56" s="47" t="s">
        <v>989</v>
      </c>
      <c r="N56" s="45" t="s">
        <v>886</v>
      </c>
      <c r="O56" s="45" t="s">
        <v>900</v>
      </c>
      <c r="P56" s="68" t="e">
        <f>VLOOKUP(B56,#REF!,2,FALSE)</f>
        <v>#REF!</v>
      </c>
      <c r="Q56" s="68" t="e">
        <f>VLOOKUP(B56,#REF!,3,FALSE)</f>
        <v>#REF!</v>
      </c>
      <c r="R56" s="68" t="e">
        <f>VLOOKUP($W56,#REF!,2,FALSE)</f>
        <v>#REF!</v>
      </c>
      <c r="S56" s="73" t="e">
        <f>VLOOKUP($W56,#REF!,7,FALSE)</f>
        <v>#REF!</v>
      </c>
      <c r="T56" s="48">
        <v>4</v>
      </c>
      <c r="U56" s="48">
        <v>2</v>
      </c>
      <c r="V56" s="57" t="e">
        <f>IF(ISNUMBER(U56),HLOOKUP(U56,#REF!,2,FALSE)*E56,"")</f>
        <v>#REF!</v>
      </c>
      <c r="W56" s="48" t="s">
        <v>333</v>
      </c>
      <c r="X56" s="59">
        <v>45924</v>
      </c>
      <c r="Y56" s="59">
        <v>45925</v>
      </c>
      <c r="Z56" s="59">
        <v>45929</v>
      </c>
      <c r="AA56" s="45"/>
      <c r="AB56" s="45"/>
    </row>
    <row r="57" spans="1:28" ht="30" x14ac:dyDescent="0.25">
      <c r="A57" s="48">
        <v>1054</v>
      </c>
      <c r="B57" s="64" t="s">
        <v>410</v>
      </c>
      <c r="C57" s="45" t="s">
        <v>269</v>
      </c>
      <c r="D57" s="62" t="s">
        <v>269</v>
      </c>
      <c r="E57" s="45">
        <v>1</v>
      </c>
      <c r="F57" s="46">
        <v>31</v>
      </c>
      <c r="G57" s="47" t="s">
        <v>270</v>
      </c>
      <c r="I57" s="45" t="s">
        <v>218</v>
      </c>
      <c r="L57" s="47" t="s">
        <v>217</v>
      </c>
      <c r="N57" s="45" t="s">
        <v>899</v>
      </c>
      <c r="O57" s="45" t="s">
        <v>897</v>
      </c>
      <c r="P57" s="68" t="e">
        <f>VLOOKUP(B57,#REF!,2,FALSE)</f>
        <v>#REF!</v>
      </c>
      <c r="Q57" s="68" t="e">
        <f>VLOOKUP(B57,#REF!,3,FALSE)</f>
        <v>#REF!</v>
      </c>
      <c r="R57" s="68" t="e">
        <f>VLOOKUP($W57,#REF!,2,FALSE)</f>
        <v>#REF!</v>
      </c>
      <c r="S57" s="73" t="e">
        <f>VLOOKUP($W57,#REF!,7,FALSE)</f>
        <v>#REF!</v>
      </c>
      <c r="U57" s="48">
        <v>1</v>
      </c>
      <c r="V57" s="57" t="e">
        <f>IF(ISNUMBER(U57),HLOOKUP(U57,#REF!,2,FALSE)*E57,"")</f>
        <v>#REF!</v>
      </c>
      <c r="W57" s="48" t="s">
        <v>903</v>
      </c>
      <c r="AA57" s="45"/>
      <c r="AB57" s="45"/>
    </row>
    <row r="58" spans="1:28" ht="45" x14ac:dyDescent="0.25">
      <c r="A58" s="48">
        <v>1055</v>
      </c>
      <c r="B58" s="64" t="s">
        <v>410</v>
      </c>
      <c r="C58" s="45" t="s">
        <v>264</v>
      </c>
      <c r="D58" s="62" t="s">
        <v>243</v>
      </c>
      <c r="E58" s="45">
        <v>1</v>
      </c>
      <c r="F58" s="46" t="s">
        <v>223</v>
      </c>
      <c r="G58" s="47" t="s">
        <v>415</v>
      </c>
      <c r="I58" s="45" t="s">
        <v>218</v>
      </c>
      <c r="N58" s="45" t="s">
        <v>899</v>
      </c>
      <c r="O58" s="45" t="s">
        <v>897</v>
      </c>
      <c r="P58" s="68" t="e">
        <f>VLOOKUP(B58,#REF!,2,FALSE)</f>
        <v>#REF!</v>
      </c>
      <c r="Q58" s="68" t="e">
        <f>VLOOKUP(B58,#REF!,3,FALSE)</f>
        <v>#REF!</v>
      </c>
      <c r="R58" s="68" t="e">
        <f>VLOOKUP($W58,#REF!,2,FALSE)</f>
        <v>#REF!</v>
      </c>
      <c r="S58" s="73" t="e">
        <f>VLOOKUP($W58,#REF!,7,FALSE)</f>
        <v>#REF!</v>
      </c>
      <c r="U58" s="48">
        <v>1</v>
      </c>
      <c r="V58" s="57" t="e">
        <f>IF(ISNUMBER(U58),HLOOKUP(U58,#REF!,2,FALSE)*E58,"")</f>
        <v>#REF!</v>
      </c>
      <c r="W58" s="48" t="s">
        <v>903</v>
      </c>
      <c r="AA58" s="45"/>
      <c r="AB58" s="45"/>
    </row>
    <row r="59" spans="1:28" x14ac:dyDescent="0.25">
      <c r="A59" s="48">
        <v>1056</v>
      </c>
      <c r="B59" s="64" t="s">
        <v>410</v>
      </c>
      <c r="C59" s="45" t="s">
        <v>171</v>
      </c>
      <c r="D59" s="62" t="s">
        <v>221</v>
      </c>
      <c r="E59" s="45">
        <v>1</v>
      </c>
      <c r="F59" s="46" t="s">
        <v>223</v>
      </c>
      <c r="G59" s="47" t="s">
        <v>251</v>
      </c>
      <c r="I59" s="45" t="s">
        <v>218</v>
      </c>
      <c r="N59" s="45" t="s">
        <v>899</v>
      </c>
      <c r="O59" s="45" t="s">
        <v>897</v>
      </c>
      <c r="P59" s="68" t="e">
        <f>VLOOKUP(B59,#REF!,2,FALSE)</f>
        <v>#REF!</v>
      </c>
      <c r="Q59" s="68" t="e">
        <f>VLOOKUP(B59,#REF!,3,FALSE)</f>
        <v>#REF!</v>
      </c>
      <c r="R59" s="68" t="e">
        <f>VLOOKUP($W59,#REF!,2,FALSE)</f>
        <v>#REF!</v>
      </c>
      <c r="S59" s="73" t="e">
        <f>VLOOKUP($W59,#REF!,7,FALSE)</f>
        <v>#REF!</v>
      </c>
      <c r="U59" s="48">
        <v>1</v>
      </c>
      <c r="V59" s="57" t="e">
        <f>IF(ISNUMBER(U59),HLOOKUP(U59,#REF!,2,FALSE)*E59,"")</f>
        <v>#REF!</v>
      </c>
      <c r="W59" s="48" t="s">
        <v>903</v>
      </c>
      <c r="AA59" s="45"/>
      <c r="AB59" s="45"/>
    </row>
    <row r="60" spans="1:28" x14ac:dyDescent="0.25">
      <c r="A60" s="48">
        <v>1057</v>
      </c>
      <c r="B60" s="64" t="s">
        <v>410</v>
      </c>
      <c r="C60" s="45" t="s">
        <v>171</v>
      </c>
      <c r="D60" s="62" t="s">
        <v>184</v>
      </c>
      <c r="E60" s="45">
        <v>1</v>
      </c>
      <c r="F60" s="46" t="s">
        <v>223</v>
      </c>
      <c r="G60" s="47" t="s">
        <v>251</v>
      </c>
      <c r="I60" s="45" t="s">
        <v>218</v>
      </c>
      <c r="N60" s="45" t="s">
        <v>899</v>
      </c>
      <c r="O60" s="45" t="s">
        <v>897</v>
      </c>
      <c r="P60" s="68" t="e">
        <f>VLOOKUP(B60,#REF!,2,FALSE)</f>
        <v>#REF!</v>
      </c>
      <c r="Q60" s="68" t="e">
        <f>VLOOKUP(B60,#REF!,3,FALSE)</f>
        <v>#REF!</v>
      </c>
      <c r="R60" s="68" t="e">
        <f>VLOOKUP($W60,#REF!,2,FALSE)</f>
        <v>#REF!</v>
      </c>
      <c r="S60" s="73" t="e">
        <f>VLOOKUP($W60,#REF!,7,FALSE)</f>
        <v>#REF!</v>
      </c>
      <c r="U60" s="48">
        <v>1</v>
      </c>
      <c r="V60" s="57" t="e">
        <f>IF(ISNUMBER(U60),HLOOKUP(U60,#REF!,2,FALSE)*E60,"")</f>
        <v>#REF!</v>
      </c>
      <c r="W60" s="48" t="s">
        <v>903</v>
      </c>
      <c r="AA60" s="45"/>
      <c r="AB60" s="45"/>
    </row>
    <row r="61" spans="1:28" x14ac:dyDescent="0.25">
      <c r="A61" s="48">
        <v>1058</v>
      </c>
      <c r="B61" s="64" t="s">
        <v>410</v>
      </c>
      <c r="C61" s="45" t="s">
        <v>171</v>
      </c>
      <c r="D61" s="62" t="s">
        <v>235</v>
      </c>
      <c r="E61" s="45">
        <v>1</v>
      </c>
      <c r="F61" s="46" t="s">
        <v>223</v>
      </c>
      <c r="G61" s="47" t="s">
        <v>251</v>
      </c>
      <c r="I61" s="45" t="s">
        <v>218</v>
      </c>
      <c r="N61" s="45" t="s">
        <v>899</v>
      </c>
      <c r="O61" s="45" t="s">
        <v>897</v>
      </c>
      <c r="P61" s="68" t="e">
        <f>VLOOKUP(B61,#REF!,2,FALSE)</f>
        <v>#REF!</v>
      </c>
      <c r="Q61" s="68" t="e">
        <f>VLOOKUP(B61,#REF!,3,FALSE)</f>
        <v>#REF!</v>
      </c>
      <c r="R61" s="68" t="e">
        <f>VLOOKUP($W61,#REF!,2,FALSE)</f>
        <v>#REF!</v>
      </c>
      <c r="S61" s="73" t="e">
        <f>VLOOKUP($W61,#REF!,7,FALSE)</f>
        <v>#REF!</v>
      </c>
      <c r="U61" s="48">
        <v>1</v>
      </c>
      <c r="V61" s="57" t="e">
        <f>IF(ISNUMBER(U61),HLOOKUP(U61,#REF!,2,FALSE)*E61,"")</f>
        <v>#REF!</v>
      </c>
      <c r="W61" s="48" t="s">
        <v>903</v>
      </c>
      <c r="AA61" s="45"/>
      <c r="AB61" s="45"/>
    </row>
    <row r="62" spans="1:28" x14ac:dyDescent="0.25">
      <c r="A62" s="48">
        <v>1059</v>
      </c>
      <c r="B62" s="64" t="s">
        <v>410</v>
      </c>
      <c r="C62" s="45" t="s">
        <v>171</v>
      </c>
      <c r="D62" s="62" t="s">
        <v>239</v>
      </c>
      <c r="E62" s="45">
        <v>1</v>
      </c>
      <c r="F62" s="46" t="s">
        <v>223</v>
      </c>
      <c r="G62" s="47" t="s">
        <v>251</v>
      </c>
      <c r="I62" s="45" t="s">
        <v>218</v>
      </c>
      <c r="N62" s="45" t="s">
        <v>899</v>
      </c>
      <c r="O62" s="45" t="s">
        <v>897</v>
      </c>
      <c r="P62" s="68" t="e">
        <f>VLOOKUP(B62,#REF!,2,FALSE)</f>
        <v>#REF!</v>
      </c>
      <c r="Q62" s="68" t="e">
        <f>VLOOKUP(B62,#REF!,3,FALSE)</f>
        <v>#REF!</v>
      </c>
      <c r="R62" s="68" t="e">
        <f>VLOOKUP($W62,#REF!,2,FALSE)</f>
        <v>#REF!</v>
      </c>
      <c r="S62" s="73" t="e">
        <f>VLOOKUP($W62,#REF!,7,FALSE)</f>
        <v>#REF!</v>
      </c>
      <c r="U62" s="48">
        <v>1</v>
      </c>
      <c r="V62" s="57" t="e">
        <f>IF(ISNUMBER(U62),HLOOKUP(U62,#REF!,2,FALSE)*E62,"")</f>
        <v>#REF!</v>
      </c>
      <c r="W62" s="48" t="s">
        <v>903</v>
      </c>
      <c r="AA62" s="45"/>
      <c r="AB62" s="45"/>
    </row>
    <row r="63" spans="1:28" x14ac:dyDescent="0.25">
      <c r="A63" s="48">
        <v>1060</v>
      </c>
      <c r="B63" s="64" t="s">
        <v>410</v>
      </c>
      <c r="C63" s="45" t="s">
        <v>171</v>
      </c>
      <c r="D63" s="62" t="s">
        <v>191</v>
      </c>
      <c r="E63" s="45">
        <v>1</v>
      </c>
      <c r="F63" s="46" t="s">
        <v>223</v>
      </c>
      <c r="G63" s="47" t="s">
        <v>251</v>
      </c>
      <c r="I63" s="45" t="s">
        <v>218</v>
      </c>
      <c r="N63" s="45" t="s">
        <v>899</v>
      </c>
      <c r="O63" s="45" t="s">
        <v>897</v>
      </c>
      <c r="P63" s="68" t="e">
        <f>VLOOKUP(B63,#REF!,2,FALSE)</f>
        <v>#REF!</v>
      </c>
      <c r="Q63" s="68" t="e">
        <f>VLOOKUP(B63,#REF!,3,FALSE)</f>
        <v>#REF!</v>
      </c>
      <c r="R63" s="68" t="e">
        <f>VLOOKUP($W63,#REF!,2,FALSE)</f>
        <v>#REF!</v>
      </c>
      <c r="S63" s="73" t="e">
        <f>VLOOKUP($W63,#REF!,7,FALSE)</f>
        <v>#REF!</v>
      </c>
      <c r="U63" s="48">
        <v>1</v>
      </c>
      <c r="V63" s="57" t="e">
        <f>IF(ISNUMBER(U63),HLOOKUP(U63,#REF!,2,FALSE)*E63,"")</f>
        <v>#REF!</v>
      </c>
      <c r="W63" s="48" t="s">
        <v>903</v>
      </c>
      <c r="AA63" s="45"/>
      <c r="AB63" s="45"/>
    </row>
    <row r="64" spans="1:28" x14ac:dyDescent="0.25">
      <c r="A64" s="48">
        <v>1061</v>
      </c>
      <c r="B64" s="64" t="s">
        <v>410</v>
      </c>
      <c r="C64" s="45" t="s">
        <v>171</v>
      </c>
      <c r="D64" s="62" t="s">
        <v>186</v>
      </c>
      <c r="E64" s="45">
        <v>1</v>
      </c>
      <c r="F64" s="46" t="s">
        <v>223</v>
      </c>
      <c r="G64" s="47" t="s">
        <v>251</v>
      </c>
      <c r="I64" s="45" t="s">
        <v>218</v>
      </c>
      <c r="N64" s="45" t="s">
        <v>899</v>
      </c>
      <c r="O64" s="45" t="s">
        <v>897</v>
      </c>
      <c r="P64" s="68" t="e">
        <f>VLOOKUP(B64,#REF!,2,FALSE)</f>
        <v>#REF!</v>
      </c>
      <c r="Q64" s="68" t="e">
        <f>VLOOKUP(B64,#REF!,3,FALSE)</f>
        <v>#REF!</v>
      </c>
      <c r="R64" s="68" t="e">
        <f>VLOOKUP($W64,#REF!,2,FALSE)</f>
        <v>#REF!</v>
      </c>
      <c r="S64" s="73" t="e">
        <f>VLOOKUP($W64,#REF!,7,FALSE)</f>
        <v>#REF!</v>
      </c>
      <c r="U64" s="48">
        <v>1</v>
      </c>
      <c r="V64" s="57" t="e">
        <f>IF(ISNUMBER(U64),HLOOKUP(U64,#REF!,2,FALSE)*E64,"")</f>
        <v>#REF!</v>
      </c>
      <c r="W64" s="48" t="s">
        <v>903</v>
      </c>
      <c r="AA64" s="45"/>
      <c r="AB64" s="45"/>
    </row>
    <row r="65" spans="1:28" x14ac:dyDescent="0.25">
      <c r="A65" s="48">
        <v>1062</v>
      </c>
      <c r="B65" s="64" t="s">
        <v>410</v>
      </c>
      <c r="C65" s="45" t="s">
        <v>171</v>
      </c>
      <c r="D65" s="62" t="s">
        <v>240</v>
      </c>
      <c r="E65" s="45">
        <v>1</v>
      </c>
      <c r="F65" s="46" t="s">
        <v>223</v>
      </c>
      <c r="G65" s="47" t="s">
        <v>251</v>
      </c>
      <c r="I65" s="45" t="s">
        <v>218</v>
      </c>
      <c r="N65" s="45" t="s">
        <v>899</v>
      </c>
      <c r="O65" s="45" t="s">
        <v>897</v>
      </c>
      <c r="P65" s="68" t="e">
        <f>VLOOKUP(B65,#REF!,2,FALSE)</f>
        <v>#REF!</v>
      </c>
      <c r="Q65" s="68" t="e">
        <f>VLOOKUP(B65,#REF!,3,FALSE)</f>
        <v>#REF!</v>
      </c>
      <c r="R65" s="68" t="e">
        <f>VLOOKUP($W65,#REF!,2,FALSE)</f>
        <v>#REF!</v>
      </c>
      <c r="S65" s="73" t="e">
        <f>VLOOKUP($W65,#REF!,7,FALSE)</f>
        <v>#REF!</v>
      </c>
      <c r="U65" s="48">
        <v>1</v>
      </c>
      <c r="V65" s="57" t="e">
        <f>IF(ISNUMBER(U65),HLOOKUP(U65,#REF!,2,FALSE)*E65,"")</f>
        <v>#REF!</v>
      </c>
      <c r="W65" s="48" t="s">
        <v>903</v>
      </c>
      <c r="AA65" s="45"/>
      <c r="AB65" s="45"/>
    </row>
    <row r="66" spans="1:28" x14ac:dyDescent="0.25">
      <c r="A66" s="48">
        <v>1063</v>
      </c>
      <c r="B66" s="64" t="s">
        <v>410</v>
      </c>
      <c r="C66" s="45" t="s">
        <v>171</v>
      </c>
      <c r="D66" s="62" t="s">
        <v>199</v>
      </c>
      <c r="E66" s="45">
        <v>1</v>
      </c>
      <c r="F66" s="46" t="s">
        <v>223</v>
      </c>
      <c r="G66" s="47" t="s">
        <v>251</v>
      </c>
      <c r="I66" s="45" t="s">
        <v>218</v>
      </c>
      <c r="N66" s="45" t="s">
        <v>899</v>
      </c>
      <c r="O66" s="45" t="s">
        <v>897</v>
      </c>
      <c r="P66" s="68" t="e">
        <f>VLOOKUP(B66,#REF!,2,FALSE)</f>
        <v>#REF!</v>
      </c>
      <c r="Q66" s="68" t="e">
        <f>VLOOKUP(B66,#REF!,3,FALSE)</f>
        <v>#REF!</v>
      </c>
      <c r="R66" s="68" t="e">
        <f>VLOOKUP($W66,#REF!,2,FALSE)</f>
        <v>#REF!</v>
      </c>
      <c r="S66" s="73" t="e">
        <f>VLOOKUP($W66,#REF!,7,FALSE)</f>
        <v>#REF!</v>
      </c>
      <c r="U66" s="48">
        <v>1</v>
      </c>
      <c r="V66" s="57" t="e">
        <f>IF(ISNUMBER(U66),HLOOKUP(U66,#REF!,2,FALSE)*E66,"")</f>
        <v>#REF!</v>
      </c>
      <c r="W66" s="48" t="s">
        <v>903</v>
      </c>
      <c r="AA66" s="45"/>
      <c r="AB66" s="45"/>
    </row>
    <row r="67" spans="1:28" x14ac:dyDescent="0.25">
      <c r="A67" s="48">
        <v>1064</v>
      </c>
      <c r="B67" s="64" t="s">
        <v>410</v>
      </c>
      <c r="C67" s="45" t="s">
        <v>171</v>
      </c>
      <c r="D67" s="62" t="s">
        <v>839</v>
      </c>
      <c r="E67" s="45">
        <v>1</v>
      </c>
      <c r="F67" s="46" t="s">
        <v>223</v>
      </c>
      <c r="G67" s="47" t="s">
        <v>251</v>
      </c>
      <c r="I67" s="45" t="s">
        <v>218</v>
      </c>
      <c r="N67" s="45" t="s">
        <v>899</v>
      </c>
      <c r="O67" s="45" t="s">
        <v>897</v>
      </c>
      <c r="P67" s="68" t="e">
        <f>VLOOKUP(B67,#REF!,2,FALSE)</f>
        <v>#REF!</v>
      </c>
      <c r="Q67" s="68" t="e">
        <f>VLOOKUP(B67,#REF!,3,FALSE)</f>
        <v>#REF!</v>
      </c>
      <c r="R67" s="68" t="e">
        <f>VLOOKUP($W67,#REF!,2,FALSE)</f>
        <v>#REF!</v>
      </c>
      <c r="S67" s="73" t="e">
        <f>VLOOKUP($W67,#REF!,7,FALSE)</f>
        <v>#REF!</v>
      </c>
      <c r="U67" s="48">
        <v>1</v>
      </c>
      <c r="V67" s="57" t="e">
        <f>IF(ISNUMBER(U67),HLOOKUP(U67,#REF!,2,FALSE)*E67,"")</f>
        <v>#REF!</v>
      </c>
      <c r="W67" s="48" t="s">
        <v>903</v>
      </c>
      <c r="AA67" s="45"/>
      <c r="AB67" s="45"/>
    </row>
    <row r="68" spans="1:28" x14ac:dyDescent="0.25">
      <c r="A68" s="48">
        <v>1065</v>
      </c>
      <c r="B68" s="64" t="s">
        <v>410</v>
      </c>
      <c r="C68" s="45" t="s">
        <v>171</v>
      </c>
      <c r="D68" s="62" t="s">
        <v>241</v>
      </c>
      <c r="E68" s="45">
        <v>1</v>
      </c>
      <c r="F68" s="46" t="s">
        <v>223</v>
      </c>
      <c r="G68" s="47" t="s">
        <v>251</v>
      </c>
      <c r="I68" s="45" t="s">
        <v>218</v>
      </c>
      <c r="N68" s="45" t="s">
        <v>899</v>
      </c>
      <c r="O68" s="45" t="s">
        <v>897</v>
      </c>
      <c r="P68" s="68" t="e">
        <f>VLOOKUP(B68,#REF!,2,FALSE)</f>
        <v>#REF!</v>
      </c>
      <c r="Q68" s="68" t="e">
        <f>VLOOKUP(B68,#REF!,3,FALSE)</f>
        <v>#REF!</v>
      </c>
      <c r="R68" s="68" t="e">
        <f>VLOOKUP($W68,#REF!,2,FALSE)</f>
        <v>#REF!</v>
      </c>
      <c r="S68" s="73" t="e">
        <f>VLOOKUP($W68,#REF!,7,FALSE)</f>
        <v>#REF!</v>
      </c>
      <c r="U68" s="48">
        <v>1</v>
      </c>
      <c r="V68" s="57" t="e">
        <f>IF(ISNUMBER(U68),HLOOKUP(U68,#REF!,2,FALSE)*E68,"")</f>
        <v>#REF!</v>
      </c>
      <c r="W68" s="48" t="s">
        <v>903</v>
      </c>
      <c r="AA68" s="45"/>
      <c r="AB68" s="45"/>
    </row>
    <row r="69" spans="1:28" x14ac:dyDescent="0.25">
      <c r="A69" s="48">
        <v>1066</v>
      </c>
      <c r="B69" s="64" t="s">
        <v>410</v>
      </c>
      <c r="C69" s="45" t="s">
        <v>171</v>
      </c>
      <c r="D69" s="62" t="s">
        <v>840</v>
      </c>
      <c r="E69" s="45">
        <v>1</v>
      </c>
      <c r="F69" s="46" t="s">
        <v>223</v>
      </c>
      <c r="G69" s="47" t="s">
        <v>251</v>
      </c>
      <c r="I69" s="45" t="s">
        <v>218</v>
      </c>
      <c r="N69" s="45" t="s">
        <v>899</v>
      </c>
      <c r="O69" s="45" t="s">
        <v>897</v>
      </c>
      <c r="P69" s="68" t="e">
        <f>VLOOKUP(B69,#REF!,2,FALSE)</f>
        <v>#REF!</v>
      </c>
      <c r="Q69" s="68" t="e">
        <f>VLOOKUP(B69,#REF!,3,FALSE)</f>
        <v>#REF!</v>
      </c>
      <c r="R69" s="68" t="e">
        <f>VLOOKUP($W69,#REF!,2,FALSE)</f>
        <v>#REF!</v>
      </c>
      <c r="S69" s="73" t="e">
        <f>VLOOKUP($W69,#REF!,7,FALSE)</f>
        <v>#REF!</v>
      </c>
      <c r="U69" s="48">
        <v>1</v>
      </c>
      <c r="V69" s="57" t="e">
        <f>IF(ISNUMBER(U69),HLOOKUP(U69,#REF!,2,FALSE)*E69,"")</f>
        <v>#REF!</v>
      </c>
      <c r="W69" s="48" t="s">
        <v>903</v>
      </c>
      <c r="AA69" s="45"/>
      <c r="AB69" s="45"/>
    </row>
    <row r="70" spans="1:28" ht="45" x14ac:dyDescent="0.25">
      <c r="A70" s="48">
        <v>1067</v>
      </c>
      <c r="B70" s="64" t="s">
        <v>410</v>
      </c>
      <c r="C70" s="45" t="s">
        <v>10</v>
      </c>
      <c r="D70" s="62" t="s">
        <v>1082</v>
      </c>
      <c r="E70" s="45">
        <v>1</v>
      </c>
      <c r="F70" s="46">
        <v>33</v>
      </c>
      <c r="G70" s="47" t="s">
        <v>259</v>
      </c>
      <c r="I70" s="45" t="s">
        <v>218</v>
      </c>
      <c r="L70" s="47" t="s">
        <v>926</v>
      </c>
      <c r="M70" s="60" t="s">
        <v>925</v>
      </c>
      <c r="N70" s="45" t="s">
        <v>887</v>
      </c>
      <c r="O70" s="45" t="s">
        <v>897</v>
      </c>
      <c r="P70" s="68" t="e">
        <f>VLOOKUP(B70,#REF!,2,FALSE)</f>
        <v>#REF!</v>
      </c>
      <c r="Q70" s="68" t="e">
        <f>VLOOKUP(B70,#REF!,3,FALSE)</f>
        <v>#REF!</v>
      </c>
      <c r="R70" s="68" t="e">
        <f>VLOOKUP($W70,#REF!,2,FALSE)</f>
        <v>#REF!</v>
      </c>
      <c r="S70" s="73" t="e">
        <f>VLOOKUP($W70,#REF!,7,FALSE)</f>
        <v>#REF!</v>
      </c>
      <c r="U70" s="48">
        <v>2</v>
      </c>
      <c r="V70" s="57" t="e">
        <f>IF(ISNUMBER(U70),HLOOKUP(U70,#REF!,2,FALSE)*E70,"")</f>
        <v>#REF!</v>
      </c>
      <c r="W70" s="48" t="s">
        <v>903</v>
      </c>
      <c r="X70" s="59">
        <v>45924</v>
      </c>
      <c r="AA70" s="45"/>
      <c r="AB70" s="45"/>
    </row>
    <row r="71" spans="1:28" x14ac:dyDescent="0.25">
      <c r="A71" s="48">
        <v>1068</v>
      </c>
      <c r="B71" s="64" t="s">
        <v>410</v>
      </c>
      <c r="C71" s="45" t="s">
        <v>836</v>
      </c>
      <c r="D71" s="62" t="s">
        <v>813</v>
      </c>
      <c r="E71" s="45">
        <v>1</v>
      </c>
      <c r="F71" s="46">
        <v>36</v>
      </c>
      <c r="G71" s="47" t="s">
        <v>46</v>
      </c>
      <c r="I71" s="45" t="s">
        <v>218</v>
      </c>
      <c r="N71" s="45" t="s">
        <v>899</v>
      </c>
      <c r="O71" s="45" t="s">
        <v>897</v>
      </c>
      <c r="P71" s="68" t="e">
        <f>VLOOKUP(B71,#REF!,2,FALSE)</f>
        <v>#REF!</v>
      </c>
      <c r="Q71" s="68" t="e">
        <f>VLOOKUP(B71,#REF!,3,FALSE)</f>
        <v>#REF!</v>
      </c>
      <c r="R71" s="68" t="e">
        <f>VLOOKUP($W71,#REF!,2,FALSE)</f>
        <v>#REF!</v>
      </c>
      <c r="S71" s="73" t="e">
        <f>VLOOKUP($W71,#REF!,7,FALSE)</f>
        <v>#REF!</v>
      </c>
      <c r="U71" s="48">
        <v>1</v>
      </c>
      <c r="V71" s="57" t="e">
        <f>IF(ISNUMBER(U71),HLOOKUP(U71,#REF!,2,FALSE)*E71,"")</f>
        <v>#REF!</v>
      </c>
      <c r="W71" s="48" t="s">
        <v>903</v>
      </c>
      <c r="AA71" s="45"/>
      <c r="AB71" s="45"/>
    </row>
    <row r="72" spans="1:28" x14ac:dyDescent="0.25">
      <c r="A72" s="48">
        <v>1069</v>
      </c>
      <c r="B72" s="64" t="s">
        <v>416</v>
      </c>
      <c r="C72" s="45" t="s">
        <v>320</v>
      </c>
      <c r="D72" s="62" t="s">
        <v>854</v>
      </c>
      <c r="E72" s="45">
        <v>1</v>
      </c>
      <c r="F72" s="46" t="s">
        <v>222</v>
      </c>
      <c r="G72" s="47" t="s">
        <v>338</v>
      </c>
      <c r="I72" s="45" t="s">
        <v>218</v>
      </c>
      <c r="L72" s="47" t="s">
        <v>337</v>
      </c>
      <c r="N72" s="45" t="s">
        <v>899</v>
      </c>
      <c r="O72" s="45" t="s">
        <v>895</v>
      </c>
      <c r="P72" s="68" t="e">
        <f>VLOOKUP(B72,#REF!,2,FALSE)</f>
        <v>#REF!</v>
      </c>
      <c r="Q72" s="68" t="e">
        <f>VLOOKUP(B72,#REF!,3,FALSE)</f>
        <v>#REF!</v>
      </c>
      <c r="R72" s="68" t="e">
        <f>VLOOKUP($W72,#REF!,2,FALSE)</f>
        <v>#REF!</v>
      </c>
      <c r="S72" s="73" t="e">
        <f>VLOOKUP($W72,#REF!,7,FALSE)</f>
        <v>#REF!</v>
      </c>
      <c r="U72" s="48">
        <v>1</v>
      </c>
      <c r="V72" s="57" t="e">
        <f>IF(ISNUMBER(U72),HLOOKUP(U72,#REF!,2,FALSE)*E72,"")</f>
        <v>#REF!</v>
      </c>
      <c r="W72" s="48" t="s">
        <v>904</v>
      </c>
      <c r="AA72" s="45"/>
      <c r="AB72" s="45"/>
    </row>
    <row r="73" spans="1:28" x14ac:dyDescent="0.25">
      <c r="A73" s="48">
        <v>1070</v>
      </c>
      <c r="B73" s="64" t="s">
        <v>417</v>
      </c>
      <c r="C73" s="45" t="s">
        <v>175</v>
      </c>
      <c r="D73" s="62" t="s">
        <v>175</v>
      </c>
      <c r="E73" s="45">
        <v>1</v>
      </c>
      <c r="F73" s="46" t="s">
        <v>420</v>
      </c>
      <c r="G73" s="47" t="s">
        <v>46</v>
      </c>
      <c r="I73" s="45" t="s">
        <v>221</v>
      </c>
      <c r="L73" s="47" t="s">
        <v>865</v>
      </c>
      <c r="M73" s="47" t="s">
        <v>941</v>
      </c>
      <c r="N73" s="45" t="s">
        <v>894</v>
      </c>
      <c r="O73" s="45" t="s">
        <v>898</v>
      </c>
      <c r="P73" s="68" t="e">
        <f>VLOOKUP(B73,#REF!,2,FALSE)</f>
        <v>#REF!</v>
      </c>
      <c r="Q73" s="68" t="e">
        <f>VLOOKUP(B73,#REF!,3,FALSE)</f>
        <v>#REF!</v>
      </c>
      <c r="R73" s="68" t="e">
        <f>VLOOKUP($W73,#REF!,2,FALSE)</f>
        <v>#REF!</v>
      </c>
      <c r="S73" s="73" t="e">
        <f>VLOOKUP($W73,#REF!,7,FALSE)</f>
        <v>#REF!</v>
      </c>
      <c r="U73" s="48">
        <v>1</v>
      </c>
      <c r="V73" s="57" t="e">
        <f>IF(ISNUMBER(U73),HLOOKUP(U73,#REF!,2,FALSE)*E73,"")</f>
        <v>#REF!</v>
      </c>
      <c r="W73" s="48" t="s">
        <v>904</v>
      </c>
      <c r="X73" s="59">
        <v>45919</v>
      </c>
      <c r="AA73" s="45"/>
      <c r="AB73" s="45"/>
    </row>
    <row r="74" spans="1:28" x14ac:dyDescent="0.25">
      <c r="A74" s="48">
        <v>1072</v>
      </c>
      <c r="B74" s="64" t="s">
        <v>417</v>
      </c>
      <c r="C74" s="45" t="s">
        <v>321</v>
      </c>
      <c r="D74" s="65" t="s">
        <v>843</v>
      </c>
      <c r="E74" s="45">
        <v>1</v>
      </c>
      <c r="F74" s="46" t="s">
        <v>421</v>
      </c>
      <c r="G74" s="47" t="s">
        <v>46</v>
      </c>
      <c r="I74" s="45" t="s">
        <v>221</v>
      </c>
      <c r="L74" s="47" t="s">
        <v>1083</v>
      </c>
      <c r="N74" s="45" t="s">
        <v>899</v>
      </c>
      <c r="O74" s="45" t="s">
        <v>895</v>
      </c>
      <c r="P74" s="68" t="e">
        <f>VLOOKUP(B74,#REF!,2,FALSE)</f>
        <v>#REF!</v>
      </c>
      <c r="Q74" s="68" t="e">
        <f>VLOOKUP(B74,#REF!,3,FALSE)</f>
        <v>#REF!</v>
      </c>
      <c r="R74" s="68" t="e">
        <f>VLOOKUP($W74,#REF!,2,FALSE)</f>
        <v>#REF!</v>
      </c>
      <c r="S74" s="73" t="e">
        <f>VLOOKUP($W74,#REF!,7,FALSE)</f>
        <v>#REF!</v>
      </c>
      <c r="U74" s="48">
        <v>1</v>
      </c>
      <c r="V74" s="57" t="e">
        <f>IF(ISNUMBER(U74),HLOOKUP(U74,#REF!,2,FALSE)*E74,"")</f>
        <v>#REF!</v>
      </c>
      <c r="W74" s="48" t="s">
        <v>904</v>
      </c>
      <c r="AA74" s="45"/>
      <c r="AB74" s="45"/>
    </row>
    <row r="75" spans="1:28" x14ac:dyDescent="0.25">
      <c r="A75" s="48">
        <v>1073</v>
      </c>
      <c r="B75" s="64" t="s">
        <v>417</v>
      </c>
      <c r="C75" s="45" t="s">
        <v>321</v>
      </c>
      <c r="D75" s="65" t="s">
        <v>838</v>
      </c>
      <c r="E75" s="45">
        <v>1</v>
      </c>
      <c r="F75" s="46" t="s">
        <v>421</v>
      </c>
      <c r="G75" s="47" t="s">
        <v>46</v>
      </c>
      <c r="I75" s="45" t="s">
        <v>221</v>
      </c>
      <c r="L75" s="47" t="s">
        <v>1083</v>
      </c>
      <c r="N75" s="45" t="s">
        <v>899</v>
      </c>
      <c r="O75" s="45" t="s">
        <v>895</v>
      </c>
      <c r="P75" s="68" t="e">
        <f>VLOOKUP(B75,#REF!,2,FALSE)</f>
        <v>#REF!</v>
      </c>
      <c r="Q75" s="68" t="e">
        <f>VLOOKUP(B75,#REF!,3,FALSE)</f>
        <v>#REF!</v>
      </c>
      <c r="R75" s="68" t="e">
        <f>VLOOKUP($W75,#REF!,2,FALSE)</f>
        <v>#REF!</v>
      </c>
      <c r="S75" s="73" t="e">
        <f>VLOOKUP($W75,#REF!,7,FALSE)</f>
        <v>#REF!</v>
      </c>
      <c r="U75" s="48">
        <v>1</v>
      </c>
      <c r="V75" s="57" t="e">
        <f>IF(ISNUMBER(U75),HLOOKUP(U75,#REF!,2,FALSE)*E75,"")</f>
        <v>#REF!</v>
      </c>
      <c r="W75" s="48" t="s">
        <v>904</v>
      </c>
      <c r="AA75" s="45"/>
      <c r="AB75" s="45"/>
    </row>
    <row r="76" spans="1:28" ht="30" x14ac:dyDescent="0.25">
      <c r="A76" s="48">
        <v>1074</v>
      </c>
      <c r="B76" s="64" t="s">
        <v>417</v>
      </c>
      <c r="C76" s="45" t="s">
        <v>321</v>
      </c>
      <c r="D76" s="65" t="s">
        <v>830</v>
      </c>
      <c r="E76" s="45">
        <v>0</v>
      </c>
      <c r="F76" s="46">
        <v>113</v>
      </c>
      <c r="G76" s="47" t="s">
        <v>169</v>
      </c>
      <c r="I76" s="45" t="s">
        <v>221</v>
      </c>
      <c r="L76" s="47" t="s">
        <v>1084</v>
      </c>
      <c r="N76" s="45" t="s">
        <v>899</v>
      </c>
      <c r="O76" s="45" t="s">
        <v>895</v>
      </c>
      <c r="P76" s="68" t="e">
        <f>VLOOKUP(B76,#REF!,2,FALSE)</f>
        <v>#REF!</v>
      </c>
      <c r="Q76" s="68" t="e">
        <f>VLOOKUP(B76,#REF!,3,FALSE)</f>
        <v>#REF!</v>
      </c>
      <c r="R76" s="68" t="e">
        <f>VLOOKUP($W76,#REF!,2,FALSE)</f>
        <v>#REF!</v>
      </c>
      <c r="S76" s="73" t="e">
        <f>VLOOKUP($W76,#REF!,7,FALSE)</f>
        <v>#REF!</v>
      </c>
      <c r="U76" s="48">
        <v>0</v>
      </c>
      <c r="V76" s="57" t="e">
        <f>IF(ISNUMBER(U76),HLOOKUP(U76,#REF!,2,FALSE)*E76,"")</f>
        <v>#REF!</v>
      </c>
      <c r="W76" s="48" t="s">
        <v>904</v>
      </c>
      <c r="AA76" s="45"/>
      <c r="AB76" s="45"/>
    </row>
    <row r="77" spans="1:28" x14ac:dyDescent="0.25">
      <c r="A77" s="48">
        <v>1075</v>
      </c>
      <c r="B77" s="64" t="s">
        <v>417</v>
      </c>
      <c r="C77" s="45" t="s">
        <v>321</v>
      </c>
      <c r="D77" s="65" t="s">
        <v>1085</v>
      </c>
      <c r="E77" s="45">
        <v>0</v>
      </c>
      <c r="F77" s="46" t="s">
        <v>421</v>
      </c>
      <c r="G77" s="47" t="s">
        <v>169</v>
      </c>
      <c r="I77" s="45" t="s">
        <v>221</v>
      </c>
      <c r="N77" s="45" t="s">
        <v>899</v>
      </c>
      <c r="O77" s="45" t="s">
        <v>895</v>
      </c>
      <c r="P77" s="68" t="e">
        <f>VLOOKUP(B77,#REF!,2,FALSE)</f>
        <v>#REF!</v>
      </c>
      <c r="Q77" s="68" t="e">
        <f>VLOOKUP(B77,#REF!,3,FALSE)</f>
        <v>#REF!</v>
      </c>
      <c r="R77" s="68" t="e">
        <f>VLOOKUP($W77,#REF!,2,FALSE)</f>
        <v>#REF!</v>
      </c>
      <c r="S77" s="73" t="e">
        <f>VLOOKUP($W77,#REF!,7,FALSE)</f>
        <v>#REF!</v>
      </c>
      <c r="U77" s="48">
        <v>0</v>
      </c>
      <c r="V77" s="57" t="e">
        <f>IF(ISNUMBER(U77),HLOOKUP(U77,#REF!,2,FALSE)*E77,"")</f>
        <v>#REF!</v>
      </c>
      <c r="W77" s="48" t="s">
        <v>904</v>
      </c>
      <c r="AA77" s="45"/>
      <c r="AB77" s="45"/>
    </row>
    <row r="78" spans="1:28" x14ac:dyDescent="0.25">
      <c r="A78" s="48">
        <v>1076</v>
      </c>
      <c r="B78" s="64" t="s">
        <v>417</v>
      </c>
      <c r="C78" s="45" t="s">
        <v>321</v>
      </c>
      <c r="D78" s="65" t="s">
        <v>1086</v>
      </c>
      <c r="E78" s="45">
        <v>0</v>
      </c>
      <c r="F78" s="46" t="s">
        <v>421</v>
      </c>
      <c r="G78" s="47" t="s">
        <v>169</v>
      </c>
      <c r="I78" s="45" t="s">
        <v>221</v>
      </c>
      <c r="N78" s="45" t="s">
        <v>899</v>
      </c>
      <c r="O78" s="45" t="s">
        <v>895</v>
      </c>
      <c r="P78" s="68" t="e">
        <f>VLOOKUP(B78,#REF!,2,FALSE)</f>
        <v>#REF!</v>
      </c>
      <c r="Q78" s="68" t="e">
        <f>VLOOKUP(B78,#REF!,3,FALSE)</f>
        <v>#REF!</v>
      </c>
      <c r="R78" s="68" t="e">
        <f>VLOOKUP($W78,#REF!,2,FALSE)</f>
        <v>#REF!</v>
      </c>
      <c r="S78" s="73" t="e">
        <f>VLOOKUP($W78,#REF!,7,FALSE)</f>
        <v>#REF!</v>
      </c>
      <c r="U78" s="48">
        <v>0</v>
      </c>
      <c r="V78" s="57" t="e">
        <f>IF(ISNUMBER(U78),HLOOKUP(U78,#REF!,2,FALSE)*E78,"")</f>
        <v>#REF!</v>
      </c>
      <c r="W78" s="48" t="s">
        <v>904</v>
      </c>
      <c r="AA78" s="45"/>
      <c r="AB78" s="45"/>
    </row>
    <row r="79" spans="1:28" x14ac:dyDescent="0.25">
      <c r="A79" s="48">
        <v>1077</v>
      </c>
      <c r="B79" s="64" t="s">
        <v>417</v>
      </c>
      <c r="C79" s="45" t="s">
        <v>321</v>
      </c>
      <c r="D79" s="65" t="s">
        <v>342</v>
      </c>
      <c r="E79" s="45">
        <v>1</v>
      </c>
      <c r="F79" s="46" t="s">
        <v>421</v>
      </c>
      <c r="G79" s="47" t="s">
        <v>46</v>
      </c>
      <c r="I79" s="45" t="s">
        <v>221</v>
      </c>
      <c r="L79" s="47" t="s">
        <v>1083</v>
      </c>
      <c r="N79" s="45" t="s">
        <v>899</v>
      </c>
      <c r="O79" s="45" t="s">
        <v>895</v>
      </c>
      <c r="P79" s="68" t="e">
        <f>VLOOKUP(B79,#REF!,2,FALSE)</f>
        <v>#REF!</v>
      </c>
      <c r="Q79" s="68" t="e">
        <f>VLOOKUP(B79,#REF!,3,FALSE)</f>
        <v>#REF!</v>
      </c>
      <c r="R79" s="68" t="e">
        <f>VLOOKUP($W79,#REF!,2,FALSE)</f>
        <v>#REF!</v>
      </c>
      <c r="S79" s="73" t="e">
        <f>VLOOKUP($W79,#REF!,7,FALSE)</f>
        <v>#REF!</v>
      </c>
      <c r="U79" s="48">
        <v>1</v>
      </c>
      <c r="V79" s="57" t="e">
        <f>IF(ISNUMBER(U79),HLOOKUP(U79,#REF!,2,FALSE)*E79,"")</f>
        <v>#REF!</v>
      </c>
      <c r="W79" s="48" t="s">
        <v>904</v>
      </c>
      <c r="AA79" s="45"/>
      <c r="AB79" s="45"/>
    </row>
    <row r="80" spans="1:28" x14ac:dyDescent="0.25">
      <c r="A80" s="48">
        <v>1078</v>
      </c>
      <c r="B80" s="64" t="s">
        <v>417</v>
      </c>
      <c r="C80" s="45" t="s">
        <v>321</v>
      </c>
      <c r="D80" s="65" t="s">
        <v>1087</v>
      </c>
      <c r="E80" s="45">
        <v>0</v>
      </c>
      <c r="F80" s="46" t="s">
        <v>421</v>
      </c>
      <c r="G80" s="47" t="s">
        <v>169</v>
      </c>
      <c r="I80" s="45" t="s">
        <v>221</v>
      </c>
      <c r="N80" s="45" t="s">
        <v>899</v>
      </c>
      <c r="O80" s="45" t="s">
        <v>895</v>
      </c>
      <c r="P80" s="68" t="e">
        <f>VLOOKUP(B80,#REF!,2,FALSE)</f>
        <v>#REF!</v>
      </c>
      <c r="Q80" s="68" t="e">
        <f>VLOOKUP(B80,#REF!,3,FALSE)</f>
        <v>#REF!</v>
      </c>
      <c r="R80" s="68" t="e">
        <f>VLOOKUP($W80,#REF!,2,FALSE)</f>
        <v>#REF!</v>
      </c>
      <c r="S80" s="73" t="e">
        <f>VLOOKUP($W80,#REF!,7,FALSE)</f>
        <v>#REF!</v>
      </c>
      <c r="U80" s="48">
        <v>0</v>
      </c>
      <c r="V80" s="57" t="e">
        <f>IF(ISNUMBER(U80),HLOOKUP(U80,#REF!,2,FALSE)*E80,"")</f>
        <v>#REF!</v>
      </c>
      <c r="W80" s="48" t="s">
        <v>904</v>
      </c>
      <c r="AA80" s="45"/>
      <c r="AB80" s="45"/>
    </row>
    <row r="81" spans="1:28" x14ac:dyDescent="0.25">
      <c r="A81" s="48">
        <v>1079</v>
      </c>
      <c r="B81" s="64" t="s">
        <v>417</v>
      </c>
      <c r="C81" s="45" t="s">
        <v>321</v>
      </c>
      <c r="D81" s="65" t="s">
        <v>344</v>
      </c>
      <c r="E81" s="45">
        <v>0</v>
      </c>
      <c r="F81" s="46" t="s">
        <v>421</v>
      </c>
      <c r="G81" s="47" t="s">
        <v>169</v>
      </c>
      <c r="I81" s="45" t="s">
        <v>221</v>
      </c>
      <c r="N81" s="45" t="s">
        <v>899</v>
      </c>
      <c r="O81" s="45" t="s">
        <v>895</v>
      </c>
      <c r="P81" s="68" t="e">
        <f>VLOOKUP(B81,#REF!,2,FALSE)</f>
        <v>#REF!</v>
      </c>
      <c r="Q81" s="68" t="e">
        <f>VLOOKUP(B81,#REF!,3,FALSE)</f>
        <v>#REF!</v>
      </c>
      <c r="R81" s="68" t="e">
        <f>VLOOKUP($W81,#REF!,2,FALSE)</f>
        <v>#REF!</v>
      </c>
      <c r="S81" s="73" t="e">
        <f>VLOOKUP($W81,#REF!,7,FALSE)</f>
        <v>#REF!</v>
      </c>
      <c r="U81" s="48">
        <v>0</v>
      </c>
      <c r="V81" s="57" t="e">
        <f>IF(ISNUMBER(U81),HLOOKUP(U81,#REF!,2,FALSE)*E81,"")</f>
        <v>#REF!</v>
      </c>
      <c r="W81" s="48" t="s">
        <v>904</v>
      </c>
      <c r="AA81" s="45"/>
      <c r="AB81" s="45"/>
    </row>
    <row r="82" spans="1:28" x14ac:dyDescent="0.25">
      <c r="A82" s="48">
        <v>1080</v>
      </c>
      <c r="B82" s="64" t="s">
        <v>417</v>
      </c>
      <c r="C82" s="45" t="s">
        <v>321</v>
      </c>
      <c r="D82" s="65" t="s">
        <v>1088</v>
      </c>
      <c r="E82" s="45">
        <v>0</v>
      </c>
      <c r="F82" s="46" t="s">
        <v>421</v>
      </c>
      <c r="G82" s="47" t="s">
        <v>169</v>
      </c>
      <c r="I82" s="45" t="s">
        <v>221</v>
      </c>
      <c r="N82" s="45" t="s">
        <v>899</v>
      </c>
      <c r="O82" s="45" t="s">
        <v>895</v>
      </c>
      <c r="P82" s="68" t="e">
        <f>VLOOKUP(B82,#REF!,2,FALSE)</f>
        <v>#REF!</v>
      </c>
      <c r="Q82" s="68" t="e">
        <f>VLOOKUP(B82,#REF!,3,FALSE)</f>
        <v>#REF!</v>
      </c>
      <c r="R82" s="68" t="e">
        <f>VLOOKUP($W82,#REF!,2,FALSE)</f>
        <v>#REF!</v>
      </c>
      <c r="S82" s="73" t="e">
        <f>VLOOKUP($W82,#REF!,7,FALSE)</f>
        <v>#REF!</v>
      </c>
      <c r="U82" s="48">
        <v>0</v>
      </c>
      <c r="V82" s="57" t="e">
        <f>IF(ISNUMBER(U82),HLOOKUP(U82,#REF!,2,FALSE)*E82,"")</f>
        <v>#REF!</v>
      </c>
      <c r="W82" s="48" t="s">
        <v>904</v>
      </c>
      <c r="AA82" s="45"/>
      <c r="AB82" s="45"/>
    </row>
    <row r="83" spans="1:28" x14ac:dyDescent="0.25">
      <c r="A83" s="48">
        <v>1081</v>
      </c>
      <c r="B83" s="64" t="s">
        <v>417</v>
      </c>
      <c r="C83" s="45" t="s">
        <v>321</v>
      </c>
      <c r="D83" s="62" t="s">
        <v>829</v>
      </c>
      <c r="E83" s="45">
        <v>1</v>
      </c>
      <c r="F83" s="46" t="s">
        <v>762</v>
      </c>
      <c r="G83" s="47" t="s">
        <v>46</v>
      </c>
      <c r="I83" s="45" t="s">
        <v>221</v>
      </c>
      <c r="L83" s="47" t="s">
        <v>993</v>
      </c>
      <c r="N83" s="45" t="s">
        <v>894</v>
      </c>
      <c r="O83" s="45" t="s">
        <v>895</v>
      </c>
      <c r="P83" s="68" t="e">
        <f>VLOOKUP(B83,#REF!,2,FALSE)</f>
        <v>#REF!</v>
      </c>
      <c r="Q83" s="68" t="e">
        <f>VLOOKUP(B83,#REF!,3,FALSE)</f>
        <v>#REF!</v>
      </c>
      <c r="R83" s="68" t="e">
        <f>VLOOKUP($W83,#REF!,2,FALSE)</f>
        <v>#REF!</v>
      </c>
      <c r="S83" s="73" t="e">
        <f>VLOOKUP($W83,#REF!,7,FALSE)</f>
        <v>#REF!</v>
      </c>
      <c r="U83" s="48">
        <v>1</v>
      </c>
      <c r="V83" s="57" t="e">
        <f>IF(ISNUMBER(U83),HLOOKUP(U83,#REF!,2,FALSE)*E83,"")</f>
        <v>#REF!</v>
      </c>
      <c r="W83" s="48" t="s">
        <v>904</v>
      </c>
      <c r="AA83" s="45"/>
      <c r="AB83" s="45"/>
    </row>
    <row r="84" spans="1:28" x14ac:dyDescent="0.25">
      <c r="A84" s="48">
        <v>1082</v>
      </c>
      <c r="B84" s="64" t="s">
        <v>417</v>
      </c>
      <c r="C84" s="45" t="s">
        <v>836</v>
      </c>
      <c r="D84" s="62" t="s">
        <v>812</v>
      </c>
      <c r="E84" s="45">
        <v>1</v>
      </c>
      <c r="F84" s="46">
        <v>47</v>
      </c>
      <c r="G84" s="47" t="s">
        <v>46</v>
      </c>
      <c r="I84" s="45" t="s">
        <v>221</v>
      </c>
      <c r="N84" s="45" t="s">
        <v>899</v>
      </c>
      <c r="O84" s="45" t="s">
        <v>895</v>
      </c>
      <c r="P84" s="68" t="e">
        <f>VLOOKUP(B84,#REF!,2,FALSE)</f>
        <v>#REF!</v>
      </c>
      <c r="Q84" s="68" t="e">
        <f>VLOOKUP(B84,#REF!,3,FALSE)</f>
        <v>#REF!</v>
      </c>
      <c r="R84" s="68" t="e">
        <f>VLOOKUP($W84,#REF!,2,FALSE)</f>
        <v>#REF!</v>
      </c>
      <c r="S84" s="73" t="e">
        <f>VLOOKUP($W84,#REF!,7,FALSE)</f>
        <v>#REF!</v>
      </c>
      <c r="U84" s="48">
        <v>1</v>
      </c>
      <c r="V84" s="57" t="e">
        <f>IF(ISNUMBER(U84),HLOOKUP(U84,#REF!,2,FALSE)*E84,"")</f>
        <v>#REF!</v>
      </c>
      <c r="W84" s="48" t="s">
        <v>904</v>
      </c>
      <c r="AA84" s="45"/>
      <c r="AB84" s="45"/>
    </row>
    <row r="85" spans="1:28" ht="30" x14ac:dyDescent="0.25">
      <c r="A85" s="48">
        <v>1083</v>
      </c>
      <c r="B85" s="64" t="s">
        <v>418</v>
      </c>
      <c r="C85" s="45" t="s">
        <v>395</v>
      </c>
      <c r="D85" s="62" t="s">
        <v>348</v>
      </c>
      <c r="E85" s="45">
        <v>0</v>
      </c>
      <c r="F85" s="46">
        <v>51</v>
      </c>
      <c r="G85" s="47" t="s">
        <v>1049</v>
      </c>
      <c r="H85" s="47" t="s">
        <v>928</v>
      </c>
      <c r="I85" s="45" t="s">
        <v>218</v>
      </c>
      <c r="L85" s="47" t="s">
        <v>911</v>
      </c>
      <c r="M85" s="82" t="s">
        <v>912</v>
      </c>
      <c r="N85" s="45" t="s">
        <v>886</v>
      </c>
      <c r="O85" s="45" t="s">
        <v>900</v>
      </c>
      <c r="P85" s="68" t="e">
        <f>VLOOKUP(B85,#REF!,2,FALSE)</f>
        <v>#REF!</v>
      </c>
      <c r="Q85" s="68" t="e">
        <f>VLOOKUP(B85,#REF!,3,FALSE)</f>
        <v>#REF!</v>
      </c>
      <c r="R85" s="68" t="e">
        <f>VLOOKUP($W85,#REF!,2,FALSE)</f>
        <v>#REF!</v>
      </c>
      <c r="S85" s="73" t="e">
        <f>VLOOKUP($W85,#REF!,7,FALSE)</f>
        <v>#REF!</v>
      </c>
      <c r="U85" s="48">
        <v>0</v>
      </c>
      <c r="V85" s="57" t="e">
        <f>IF(ISNUMBER(U85),HLOOKUP(U85,#REF!,2,FALSE)*E85,"")</f>
        <v>#REF!</v>
      </c>
      <c r="W85" s="48" t="s">
        <v>902</v>
      </c>
      <c r="X85" s="59">
        <v>45924</v>
      </c>
      <c r="Y85" s="59">
        <v>45929</v>
      </c>
      <c r="Z85" s="59">
        <v>45929</v>
      </c>
      <c r="AA85" s="45"/>
      <c r="AB85" s="45"/>
    </row>
    <row r="86" spans="1:28" ht="45" x14ac:dyDescent="0.25">
      <c r="A86" s="48">
        <v>1084</v>
      </c>
      <c r="B86" s="64" t="s">
        <v>418</v>
      </c>
      <c r="C86" s="45" t="s">
        <v>395</v>
      </c>
      <c r="D86" s="65" t="s">
        <v>349</v>
      </c>
      <c r="E86" s="45">
        <v>1</v>
      </c>
      <c r="F86" s="46" t="s">
        <v>788</v>
      </c>
      <c r="G86" s="47" t="s">
        <v>1007</v>
      </c>
      <c r="H86" s="47" t="s">
        <v>928</v>
      </c>
      <c r="I86" s="45" t="s">
        <v>218</v>
      </c>
      <c r="J86" s="45" t="s">
        <v>219</v>
      </c>
      <c r="M86" s="47" t="s">
        <v>913</v>
      </c>
      <c r="N86" s="45" t="s">
        <v>886</v>
      </c>
      <c r="O86" s="45" t="s">
        <v>900</v>
      </c>
      <c r="P86" s="68" t="e">
        <f>VLOOKUP(B86,#REF!,2,FALSE)</f>
        <v>#REF!</v>
      </c>
      <c r="Q86" s="68" t="e">
        <f>VLOOKUP(B86,#REF!,3,FALSE)</f>
        <v>#REF!</v>
      </c>
      <c r="R86" s="68" t="e">
        <f>VLOOKUP($W86,#REF!,2,FALSE)</f>
        <v>#REF!</v>
      </c>
      <c r="S86" s="73" t="e">
        <f>VLOOKUP($W86,#REF!,7,FALSE)</f>
        <v>#REF!</v>
      </c>
      <c r="T86" s="48">
        <v>5</v>
      </c>
      <c r="U86" s="48">
        <v>2</v>
      </c>
      <c r="V86" s="57" t="e">
        <f>IF(ISNUMBER(U86),HLOOKUP(U86,#REF!,2,FALSE)*E86,"")</f>
        <v>#REF!</v>
      </c>
      <c r="W86" s="48" t="s">
        <v>902</v>
      </c>
      <c r="X86" s="59">
        <v>45924</v>
      </c>
      <c r="Y86" s="59">
        <v>45926</v>
      </c>
      <c r="Z86" s="59">
        <v>45929</v>
      </c>
      <c r="AA86" s="45"/>
      <c r="AB86" s="45"/>
    </row>
    <row r="87" spans="1:28" ht="75" x14ac:dyDescent="0.25">
      <c r="A87" s="48">
        <v>1085</v>
      </c>
      <c r="B87" s="64" t="s">
        <v>418</v>
      </c>
      <c r="C87" s="45" t="s">
        <v>395</v>
      </c>
      <c r="D87" s="65" t="s">
        <v>350</v>
      </c>
      <c r="E87" s="45">
        <v>1</v>
      </c>
      <c r="F87" s="46" t="s">
        <v>777</v>
      </c>
      <c r="G87" s="82" t="s">
        <v>1008</v>
      </c>
      <c r="H87" s="47" t="s">
        <v>928</v>
      </c>
      <c r="I87" s="45" t="s">
        <v>218</v>
      </c>
      <c r="J87" s="45" t="s">
        <v>778</v>
      </c>
      <c r="L87" s="82" t="s">
        <v>992</v>
      </c>
      <c r="M87" s="47" t="s">
        <v>927</v>
      </c>
      <c r="N87" s="45" t="s">
        <v>886</v>
      </c>
      <c r="O87" s="45" t="s">
        <v>900</v>
      </c>
      <c r="P87" s="68" t="e">
        <f>VLOOKUP(B87,#REF!,2,FALSE)</f>
        <v>#REF!</v>
      </c>
      <c r="Q87" s="68" t="e">
        <f>VLOOKUP(B87,#REF!,3,FALSE)</f>
        <v>#REF!</v>
      </c>
      <c r="R87" s="68" t="e">
        <f>VLOOKUP($W87,#REF!,2,FALSE)</f>
        <v>#REF!</v>
      </c>
      <c r="S87" s="73" t="e">
        <f>VLOOKUP($W87,#REF!,7,FALSE)</f>
        <v>#REF!</v>
      </c>
      <c r="T87" s="48">
        <v>5</v>
      </c>
      <c r="U87" s="48">
        <v>2</v>
      </c>
      <c r="V87" s="57" t="e">
        <f>IF(ISNUMBER(U87),HLOOKUP(U87,#REF!,2,FALSE)*E87,"")</f>
        <v>#REF!</v>
      </c>
      <c r="W87" s="48" t="s">
        <v>902</v>
      </c>
      <c r="X87" s="59">
        <v>45924</v>
      </c>
      <c r="Y87" s="59">
        <v>45926</v>
      </c>
      <c r="Z87" s="59">
        <v>45929</v>
      </c>
      <c r="AA87" s="45"/>
      <c r="AB87" s="45"/>
    </row>
    <row r="88" spans="1:28" ht="30" x14ac:dyDescent="0.25">
      <c r="A88" s="48">
        <v>1086</v>
      </c>
      <c r="B88" s="64" t="s">
        <v>418</v>
      </c>
      <c r="C88" s="45" t="s">
        <v>395</v>
      </c>
      <c r="D88" s="65" t="s">
        <v>351</v>
      </c>
      <c r="E88" s="45">
        <v>1</v>
      </c>
      <c r="F88" s="46" t="s">
        <v>776</v>
      </c>
      <c r="G88" s="47" t="s">
        <v>46</v>
      </c>
      <c r="H88" s="47" t="s">
        <v>928</v>
      </c>
      <c r="I88" s="45" t="s">
        <v>218</v>
      </c>
      <c r="J88" s="45" t="s">
        <v>199</v>
      </c>
      <c r="M88" s="47" t="s">
        <v>914</v>
      </c>
      <c r="N88" s="45" t="s">
        <v>886</v>
      </c>
      <c r="O88" s="45" t="s">
        <v>900</v>
      </c>
      <c r="P88" s="68" t="e">
        <f>VLOOKUP(B88,#REF!,2,FALSE)</f>
        <v>#REF!</v>
      </c>
      <c r="Q88" s="68" t="e">
        <f>VLOOKUP(B88,#REF!,3,FALSE)</f>
        <v>#REF!</v>
      </c>
      <c r="R88" s="68" t="e">
        <f>VLOOKUP($W88,#REF!,2,FALSE)</f>
        <v>#REF!</v>
      </c>
      <c r="S88" s="73" t="e">
        <f>VLOOKUP($W88,#REF!,7,FALSE)</f>
        <v>#REF!</v>
      </c>
      <c r="U88" s="48">
        <v>1</v>
      </c>
      <c r="V88" s="57" t="e">
        <f>IF(ISNUMBER(U88),HLOOKUP(U88,#REF!,2,FALSE)*E88,"")</f>
        <v>#REF!</v>
      </c>
      <c r="W88" s="48" t="s">
        <v>902</v>
      </c>
      <c r="X88" s="59">
        <v>45924</v>
      </c>
      <c r="Y88" s="59">
        <v>45926</v>
      </c>
      <c r="Z88" s="59">
        <v>45929</v>
      </c>
      <c r="AA88" s="45"/>
      <c r="AB88" s="45"/>
    </row>
    <row r="89" spans="1:28" ht="30" x14ac:dyDescent="0.25">
      <c r="A89" s="77">
        <v>1155</v>
      </c>
      <c r="B89" s="64" t="s">
        <v>435</v>
      </c>
      <c r="C89" s="45" t="s">
        <v>179</v>
      </c>
      <c r="D89" s="62" t="s">
        <v>450</v>
      </c>
      <c r="E89" s="45">
        <v>1</v>
      </c>
      <c r="F89" s="46" t="s">
        <v>936</v>
      </c>
      <c r="G89" s="47" t="s">
        <v>1009</v>
      </c>
      <c r="H89" s="47" t="s">
        <v>928</v>
      </c>
      <c r="I89" s="45" t="s">
        <v>219</v>
      </c>
      <c r="L89" s="47" t="s">
        <v>966</v>
      </c>
      <c r="M89" s="47" t="s">
        <v>941</v>
      </c>
      <c r="N89" s="45" t="s">
        <v>886</v>
      </c>
      <c r="O89" s="45" t="s">
        <v>900</v>
      </c>
      <c r="P89" s="68" t="e">
        <f>VLOOKUP(B89,#REF!,2,FALSE)</f>
        <v>#REF!</v>
      </c>
      <c r="Q89" s="68" t="e">
        <f>VLOOKUP(B89,#REF!,3,FALSE)</f>
        <v>#REF!</v>
      </c>
      <c r="R89" s="68" t="e">
        <f>VLOOKUP($W89,#REF!,2,FALSE)</f>
        <v>#REF!</v>
      </c>
      <c r="S89" s="73" t="e">
        <f>VLOOKUP($W89,#REF!,7,FALSE)</f>
        <v>#REF!</v>
      </c>
      <c r="T89" s="48">
        <v>5</v>
      </c>
      <c r="U89" s="48">
        <v>1</v>
      </c>
      <c r="V89" s="57" t="e">
        <f>IF(ISNUMBER(U89),HLOOKUP(U89,#REF!,2,FALSE)*E89,"")</f>
        <v>#REF!</v>
      </c>
      <c r="W89" s="48" t="s">
        <v>902</v>
      </c>
      <c r="X89" s="59">
        <v>45924</v>
      </c>
      <c r="Y89" s="59">
        <v>45926</v>
      </c>
      <c r="Z89" s="59">
        <v>45929</v>
      </c>
      <c r="AA89" s="45"/>
      <c r="AB89" s="45"/>
    </row>
    <row r="90" spans="1:28" ht="45" x14ac:dyDescent="0.25">
      <c r="A90" s="48">
        <v>1087</v>
      </c>
      <c r="B90" s="64" t="s">
        <v>418</v>
      </c>
      <c r="C90" s="45" t="s">
        <v>395</v>
      </c>
      <c r="D90" s="65" t="s">
        <v>352</v>
      </c>
      <c r="E90" s="45">
        <v>1</v>
      </c>
      <c r="F90" s="46">
        <v>51</v>
      </c>
      <c r="G90" s="47" t="s">
        <v>46</v>
      </c>
      <c r="H90" s="47" t="s">
        <v>928</v>
      </c>
      <c r="I90" s="45" t="s">
        <v>218</v>
      </c>
      <c r="L90" s="70" t="s">
        <v>1089</v>
      </c>
      <c r="M90" s="47" t="s">
        <v>1090</v>
      </c>
      <c r="N90" s="71" t="s">
        <v>886</v>
      </c>
      <c r="O90" s="45" t="s">
        <v>1057</v>
      </c>
      <c r="P90" s="68" t="e">
        <f>VLOOKUP(B90,#REF!,2,FALSE)</f>
        <v>#REF!</v>
      </c>
      <c r="Q90" s="68" t="e">
        <f>VLOOKUP(B90,#REF!,3,FALSE)</f>
        <v>#REF!</v>
      </c>
      <c r="R90" s="68" t="e">
        <f>VLOOKUP($W90,#REF!,2,FALSE)</f>
        <v>#REF!</v>
      </c>
      <c r="S90" s="73" t="e">
        <f>VLOOKUP($W90,#REF!,7,FALSE)</f>
        <v>#REF!</v>
      </c>
      <c r="U90" s="69">
        <v>1</v>
      </c>
      <c r="V90" s="57" t="e">
        <f>IF(ISNUMBER(U90),HLOOKUP(U90,#REF!,2,FALSE)*E90,"")</f>
        <v>#REF!</v>
      </c>
      <c r="W90" s="69" t="s">
        <v>902</v>
      </c>
      <c r="X90" s="59">
        <v>45924</v>
      </c>
      <c r="Y90" s="59">
        <v>45926</v>
      </c>
      <c r="Z90" s="59">
        <v>45929</v>
      </c>
      <c r="AA90" s="45"/>
      <c r="AB90" s="45"/>
    </row>
    <row r="91" spans="1:28" ht="30" x14ac:dyDescent="0.25">
      <c r="A91" s="78">
        <v>1088</v>
      </c>
      <c r="B91" s="64" t="s">
        <v>418</v>
      </c>
      <c r="C91" s="45" t="s">
        <v>395</v>
      </c>
      <c r="D91" s="81" t="s">
        <v>136</v>
      </c>
      <c r="E91" s="45">
        <v>0</v>
      </c>
      <c r="F91" s="46">
        <v>51</v>
      </c>
      <c r="G91" s="47" t="s">
        <v>169</v>
      </c>
      <c r="I91" s="45" t="s">
        <v>218</v>
      </c>
      <c r="L91" s="79" t="s">
        <v>402</v>
      </c>
      <c r="M91" s="79" t="s">
        <v>968</v>
      </c>
      <c r="N91" s="45" t="s">
        <v>886</v>
      </c>
      <c r="O91" s="45" t="s">
        <v>900</v>
      </c>
      <c r="P91" s="68" t="e">
        <f>VLOOKUP(B91,#REF!,2,FALSE)</f>
        <v>#REF!</v>
      </c>
      <c r="Q91" s="68" t="e">
        <f>VLOOKUP(B91,#REF!,3,FALSE)</f>
        <v>#REF!</v>
      </c>
      <c r="R91" s="68" t="e">
        <f>VLOOKUP($W91,#REF!,2,FALSE)</f>
        <v>#REF!</v>
      </c>
      <c r="S91" s="73" t="e">
        <f>VLOOKUP($W91,#REF!,7,FALSE)</f>
        <v>#REF!</v>
      </c>
      <c r="U91" s="48">
        <v>0</v>
      </c>
      <c r="V91" s="57" t="e">
        <f>IF(ISNUMBER(U91),HLOOKUP(U91,#REF!,2,FALSE)*E91,"")</f>
        <v>#REF!</v>
      </c>
      <c r="W91" s="48" t="s">
        <v>902</v>
      </c>
      <c r="X91" s="59">
        <v>45924</v>
      </c>
      <c r="Y91" s="59">
        <v>45929</v>
      </c>
      <c r="Z91" s="59">
        <v>45929</v>
      </c>
      <c r="AA91" s="45"/>
      <c r="AB91" s="45"/>
    </row>
    <row r="92" spans="1:28" ht="30" x14ac:dyDescent="0.25">
      <c r="A92" s="48">
        <v>1089</v>
      </c>
      <c r="B92" s="64" t="s">
        <v>418</v>
      </c>
      <c r="C92" s="45" t="s">
        <v>395</v>
      </c>
      <c r="D92" s="65" t="s">
        <v>353</v>
      </c>
      <c r="E92" s="45">
        <v>1</v>
      </c>
      <c r="F92" s="46" t="s">
        <v>834</v>
      </c>
      <c r="G92" s="47" t="s">
        <v>1010</v>
      </c>
      <c r="H92" s="47" t="s">
        <v>928</v>
      </c>
      <c r="I92" s="45" t="s">
        <v>218</v>
      </c>
      <c r="M92" s="47" t="s">
        <v>941</v>
      </c>
      <c r="N92" s="45" t="s">
        <v>886</v>
      </c>
      <c r="O92" s="45" t="s">
        <v>900</v>
      </c>
      <c r="P92" s="68" t="e">
        <f>VLOOKUP(B92,#REF!,2,FALSE)</f>
        <v>#REF!</v>
      </c>
      <c r="Q92" s="68" t="e">
        <f>VLOOKUP(B92,#REF!,3,FALSE)</f>
        <v>#REF!</v>
      </c>
      <c r="R92" s="68" t="e">
        <f>VLOOKUP($W92,#REF!,2,FALSE)</f>
        <v>#REF!</v>
      </c>
      <c r="S92" s="73" t="e">
        <f>VLOOKUP($W92,#REF!,7,FALSE)</f>
        <v>#REF!</v>
      </c>
      <c r="U92" s="48">
        <v>2</v>
      </c>
      <c r="V92" s="57" t="e">
        <f>IF(ISNUMBER(U92),HLOOKUP(U92,#REF!,2,FALSE)*E92,"")</f>
        <v>#REF!</v>
      </c>
      <c r="W92" s="48" t="s">
        <v>902</v>
      </c>
      <c r="X92" s="59">
        <v>45924</v>
      </c>
      <c r="Y92" s="59">
        <v>45926</v>
      </c>
      <c r="Z92" s="59">
        <v>45929</v>
      </c>
      <c r="AA92" s="45"/>
      <c r="AB92" s="45"/>
    </row>
    <row r="93" spans="1:28" ht="75" x14ac:dyDescent="0.25">
      <c r="A93" s="48">
        <v>1090</v>
      </c>
      <c r="B93" s="64" t="s">
        <v>418</v>
      </c>
      <c r="C93" s="45" t="s">
        <v>395</v>
      </c>
      <c r="D93" s="65" t="s">
        <v>354</v>
      </c>
      <c r="E93" s="45">
        <v>1</v>
      </c>
      <c r="F93" s="46">
        <v>51</v>
      </c>
      <c r="G93" s="47" t="s">
        <v>46</v>
      </c>
      <c r="H93" s="47" t="s">
        <v>928</v>
      </c>
      <c r="I93" s="45" t="s">
        <v>218</v>
      </c>
      <c r="M93" s="47" t="s">
        <v>937</v>
      </c>
      <c r="N93" s="45" t="s">
        <v>886</v>
      </c>
      <c r="O93" s="45" t="s">
        <v>900</v>
      </c>
      <c r="P93" s="68" t="e">
        <f>VLOOKUP(B93,#REF!,2,FALSE)</f>
        <v>#REF!</v>
      </c>
      <c r="Q93" s="68" t="e">
        <f>VLOOKUP(B93,#REF!,3,FALSE)</f>
        <v>#REF!</v>
      </c>
      <c r="R93" s="68" t="e">
        <f>VLOOKUP($W93,#REF!,2,FALSE)</f>
        <v>#REF!</v>
      </c>
      <c r="S93" s="73" t="e">
        <f>VLOOKUP($W93,#REF!,7,FALSE)</f>
        <v>#REF!</v>
      </c>
      <c r="U93" s="48">
        <v>1</v>
      </c>
      <c r="V93" s="57" t="e">
        <f>IF(ISNUMBER(U93),HLOOKUP(U93,#REF!,2,FALSE)*E93,"")</f>
        <v>#REF!</v>
      </c>
      <c r="W93" s="48" t="s">
        <v>902</v>
      </c>
      <c r="X93" s="59">
        <v>45924</v>
      </c>
      <c r="Y93" s="59">
        <v>45928</v>
      </c>
      <c r="Z93" s="59">
        <v>45929</v>
      </c>
      <c r="AA93" s="45"/>
      <c r="AB93" s="45"/>
    </row>
    <row r="94" spans="1:28" x14ac:dyDescent="0.25">
      <c r="A94" s="48">
        <v>1091</v>
      </c>
      <c r="B94" s="64" t="s">
        <v>418</v>
      </c>
      <c r="C94" s="45" t="s">
        <v>395</v>
      </c>
      <c r="D94" s="65" t="s">
        <v>355</v>
      </c>
      <c r="E94" s="45">
        <v>1</v>
      </c>
      <c r="F94" s="46">
        <v>51</v>
      </c>
      <c r="G94" s="47" t="s">
        <v>46</v>
      </c>
      <c r="H94" s="47" t="s">
        <v>931</v>
      </c>
      <c r="I94" s="45" t="s">
        <v>218</v>
      </c>
      <c r="M94" s="47" t="s">
        <v>938</v>
      </c>
      <c r="N94" s="45" t="s">
        <v>886</v>
      </c>
      <c r="O94" s="45" t="s">
        <v>900</v>
      </c>
      <c r="P94" s="68" t="e">
        <f>VLOOKUP(B94,#REF!,2,FALSE)</f>
        <v>#REF!</v>
      </c>
      <c r="Q94" s="68" t="e">
        <f>VLOOKUP(B94,#REF!,3,FALSE)</f>
        <v>#REF!</v>
      </c>
      <c r="R94" s="68" t="e">
        <f>VLOOKUP($W94,#REF!,2,FALSE)</f>
        <v>#REF!</v>
      </c>
      <c r="S94" s="73" t="e">
        <f>VLOOKUP($W94,#REF!,7,FALSE)</f>
        <v>#REF!</v>
      </c>
      <c r="U94" s="48">
        <v>1</v>
      </c>
      <c r="V94" s="57" t="e">
        <f>IF(ISNUMBER(U94),HLOOKUP(U94,#REF!,2,FALSE)*E94,"")</f>
        <v>#REF!</v>
      </c>
      <c r="W94" s="48" t="s">
        <v>902</v>
      </c>
      <c r="X94" s="59">
        <v>45924</v>
      </c>
      <c r="Y94" s="59">
        <v>45928</v>
      </c>
      <c r="Z94" s="59">
        <v>45929</v>
      </c>
      <c r="AA94" s="45"/>
      <c r="AB94" s="45"/>
    </row>
    <row r="95" spans="1:28" x14ac:dyDescent="0.25">
      <c r="A95" s="48">
        <v>1092</v>
      </c>
      <c r="B95" s="64" t="s">
        <v>418</v>
      </c>
      <c r="C95" s="45" t="s">
        <v>395</v>
      </c>
      <c r="D95" s="65" t="s">
        <v>356</v>
      </c>
      <c r="E95" s="45">
        <v>1</v>
      </c>
      <c r="F95" s="46">
        <v>51</v>
      </c>
      <c r="G95" s="47" t="s">
        <v>46</v>
      </c>
      <c r="H95" s="47" t="s">
        <v>931</v>
      </c>
      <c r="I95" s="45" t="s">
        <v>218</v>
      </c>
      <c r="M95" s="47" t="s">
        <v>939</v>
      </c>
      <c r="N95" s="45" t="s">
        <v>886</v>
      </c>
      <c r="O95" s="45" t="s">
        <v>900</v>
      </c>
      <c r="P95" s="68" t="e">
        <f>VLOOKUP(B95,#REF!,2,FALSE)</f>
        <v>#REF!</v>
      </c>
      <c r="Q95" s="68" t="e">
        <f>VLOOKUP(B95,#REF!,3,FALSE)</f>
        <v>#REF!</v>
      </c>
      <c r="R95" s="68" t="e">
        <f>VLOOKUP($W95,#REF!,2,FALSE)</f>
        <v>#REF!</v>
      </c>
      <c r="S95" s="73" t="e">
        <f>VLOOKUP($W95,#REF!,7,FALSE)</f>
        <v>#REF!</v>
      </c>
      <c r="U95" s="48">
        <v>1</v>
      </c>
      <c r="V95" s="57" t="e">
        <f>IF(ISNUMBER(U95),HLOOKUP(U95,#REF!,2,FALSE)*E95,"")</f>
        <v>#REF!</v>
      </c>
      <c r="W95" s="48" t="s">
        <v>902</v>
      </c>
      <c r="X95" s="59">
        <v>45924</v>
      </c>
      <c r="Y95" s="59">
        <v>45928</v>
      </c>
      <c r="Z95" s="59">
        <v>45929</v>
      </c>
      <c r="AA95" s="45"/>
      <c r="AB95" s="45"/>
    </row>
    <row r="96" spans="1:28" ht="60" x14ac:dyDescent="0.25">
      <c r="A96" s="48">
        <v>1093</v>
      </c>
      <c r="B96" s="64" t="s">
        <v>418</v>
      </c>
      <c r="C96" s="45" t="s">
        <v>395</v>
      </c>
      <c r="D96" s="62" t="s">
        <v>357</v>
      </c>
      <c r="E96" s="45">
        <v>1</v>
      </c>
      <c r="F96" s="46" t="s">
        <v>773</v>
      </c>
      <c r="G96" s="70" t="s">
        <v>1051</v>
      </c>
      <c r="H96" s="47" t="s">
        <v>928</v>
      </c>
      <c r="I96" s="45" t="s">
        <v>218</v>
      </c>
      <c r="J96" s="45" t="s">
        <v>219</v>
      </c>
      <c r="L96" s="47" t="s">
        <v>1050</v>
      </c>
      <c r="M96" s="47" t="s">
        <v>1048</v>
      </c>
      <c r="N96" s="45" t="s">
        <v>886</v>
      </c>
      <c r="O96" s="45" t="s">
        <v>900</v>
      </c>
      <c r="P96" s="68" t="e">
        <f>VLOOKUP(B96,#REF!,2,FALSE)</f>
        <v>#REF!</v>
      </c>
      <c r="Q96" s="68" t="e">
        <f>VLOOKUP(B96,#REF!,3,FALSE)</f>
        <v>#REF!</v>
      </c>
      <c r="R96" s="68" t="e">
        <f>VLOOKUP($W96,#REF!,2,FALSE)</f>
        <v>#REF!</v>
      </c>
      <c r="S96" s="73" t="e">
        <f>VLOOKUP($W96,#REF!,7,FALSE)</f>
        <v>#REF!</v>
      </c>
      <c r="T96" s="48">
        <v>6</v>
      </c>
      <c r="U96" s="48">
        <v>2</v>
      </c>
      <c r="V96" s="57" t="e">
        <f>IF(ISNUMBER(U96),HLOOKUP(U96,#REF!,2,FALSE)*E96,"")</f>
        <v>#REF!</v>
      </c>
      <c r="W96" s="48" t="s">
        <v>902</v>
      </c>
      <c r="X96" s="59">
        <v>45925</v>
      </c>
      <c r="Y96" s="59">
        <v>45928</v>
      </c>
      <c r="Z96" s="59">
        <v>45929</v>
      </c>
      <c r="AA96" s="45"/>
      <c r="AB96" s="45"/>
    </row>
    <row r="97" spans="1:28" ht="46.9" customHeight="1" x14ac:dyDescent="0.25">
      <c r="A97" s="48">
        <v>1094</v>
      </c>
      <c r="B97" s="64" t="s">
        <v>418</v>
      </c>
      <c r="C97" s="45" t="s">
        <v>395</v>
      </c>
      <c r="D97" s="65" t="s">
        <v>358</v>
      </c>
      <c r="E97" s="45">
        <v>1</v>
      </c>
      <c r="F97" s="46" t="s">
        <v>782</v>
      </c>
      <c r="G97" s="70" t="s">
        <v>1056</v>
      </c>
      <c r="H97" s="47" t="s">
        <v>928</v>
      </c>
      <c r="I97" s="45" t="s">
        <v>218</v>
      </c>
      <c r="L97" s="47" t="s">
        <v>993</v>
      </c>
      <c r="M97" s="82" t="s">
        <v>995</v>
      </c>
      <c r="N97" s="45" t="s">
        <v>886</v>
      </c>
      <c r="O97" s="45" t="s">
        <v>900</v>
      </c>
      <c r="P97" s="68" t="e">
        <f>VLOOKUP(B97,#REF!,2,FALSE)</f>
        <v>#REF!</v>
      </c>
      <c r="Q97" s="68" t="e">
        <f>VLOOKUP(B97,#REF!,3,FALSE)</f>
        <v>#REF!</v>
      </c>
      <c r="R97" s="68" t="e">
        <f>VLOOKUP($W97,#REF!,2,FALSE)</f>
        <v>#REF!</v>
      </c>
      <c r="S97" s="73" t="e">
        <f>VLOOKUP($W97,#REF!,7,FALSE)</f>
        <v>#REF!</v>
      </c>
      <c r="U97" s="48">
        <v>2</v>
      </c>
      <c r="V97" s="57" t="e">
        <f>IF(ISNUMBER(U97),HLOOKUP(U97,#REF!,2,FALSE)*E97,"")</f>
        <v>#REF!</v>
      </c>
      <c r="W97" s="48" t="s">
        <v>902</v>
      </c>
      <c r="X97" s="59">
        <v>45925</v>
      </c>
      <c r="Y97" s="59">
        <v>45929</v>
      </c>
      <c r="Z97" s="59">
        <v>45929</v>
      </c>
      <c r="AA97" s="45"/>
      <c r="AB97" s="45"/>
    </row>
    <row r="98" spans="1:28" x14ac:dyDescent="0.25">
      <c r="A98" s="48">
        <v>1095</v>
      </c>
      <c r="B98" s="64" t="s">
        <v>418</v>
      </c>
      <c r="C98" s="45" t="s">
        <v>395</v>
      </c>
      <c r="D98" s="65" t="s">
        <v>359</v>
      </c>
      <c r="E98" s="45">
        <v>0</v>
      </c>
      <c r="F98" s="46" t="s">
        <v>782</v>
      </c>
      <c r="G98" s="47" t="s">
        <v>169</v>
      </c>
      <c r="H98" s="47" t="s">
        <v>930</v>
      </c>
      <c r="I98" s="45" t="s">
        <v>218</v>
      </c>
      <c r="L98" s="47" t="s">
        <v>993</v>
      </c>
      <c r="M98" s="82" t="s">
        <v>996</v>
      </c>
      <c r="N98" s="45" t="s">
        <v>886</v>
      </c>
      <c r="O98" s="45" t="s">
        <v>900</v>
      </c>
      <c r="P98" s="68" t="e">
        <f>VLOOKUP(B98,#REF!,2,FALSE)</f>
        <v>#REF!</v>
      </c>
      <c r="Q98" s="68" t="e">
        <f>VLOOKUP(B98,#REF!,3,FALSE)</f>
        <v>#REF!</v>
      </c>
      <c r="R98" s="68" t="e">
        <f>VLOOKUP($W98,#REF!,2,FALSE)</f>
        <v>#REF!</v>
      </c>
      <c r="S98" s="73" t="e">
        <f>VLOOKUP($W98,#REF!,7,FALSE)</f>
        <v>#REF!</v>
      </c>
      <c r="U98" s="48">
        <v>0</v>
      </c>
      <c r="V98" s="57" t="e">
        <f>IF(ISNUMBER(U98),HLOOKUP(U98,#REF!,2,FALSE)*E98,"")</f>
        <v>#REF!</v>
      </c>
      <c r="W98" s="48" t="s">
        <v>902</v>
      </c>
      <c r="X98" s="59">
        <v>45925</v>
      </c>
      <c r="Y98" s="59">
        <v>45929</v>
      </c>
      <c r="Z98" s="59">
        <v>45929</v>
      </c>
      <c r="AA98" s="45"/>
      <c r="AB98" s="45"/>
    </row>
    <row r="99" spans="1:28" ht="30" x14ac:dyDescent="0.25">
      <c r="A99" s="48">
        <v>1096</v>
      </c>
      <c r="B99" s="64" t="s">
        <v>418</v>
      </c>
      <c r="C99" s="45" t="s">
        <v>395</v>
      </c>
      <c r="D99" s="65" t="s">
        <v>1091</v>
      </c>
      <c r="E99" s="45">
        <v>1</v>
      </c>
      <c r="F99" s="46" t="s">
        <v>782</v>
      </c>
      <c r="G99" s="47" t="s">
        <v>405</v>
      </c>
      <c r="H99" s="47" t="s">
        <v>928</v>
      </c>
      <c r="I99" s="45" t="s">
        <v>218</v>
      </c>
      <c r="L99" s="47" t="s">
        <v>993</v>
      </c>
      <c r="M99" s="82" t="s">
        <v>946</v>
      </c>
      <c r="N99" s="45" t="s">
        <v>886</v>
      </c>
      <c r="O99" s="45" t="s">
        <v>900</v>
      </c>
      <c r="P99" s="68" t="e">
        <f>VLOOKUP(B99,#REF!,2,FALSE)</f>
        <v>#REF!</v>
      </c>
      <c r="Q99" s="68" t="e">
        <f>VLOOKUP(B99,#REF!,3,FALSE)</f>
        <v>#REF!</v>
      </c>
      <c r="R99" s="68" t="e">
        <f>VLOOKUP($W99,#REF!,2,FALSE)</f>
        <v>#REF!</v>
      </c>
      <c r="S99" s="73" t="e">
        <f>VLOOKUP($W99,#REF!,7,FALSE)</f>
        <v>#REF!</v>
      </c>
      <c r="U99" s="48">
        <v>1</v>
      </c>
      <c r="V99" s="57" t="e">
        <f>IF(ISNUMBER(U99),HLOOKUP(U99,#REF!,2,FALSE)*E99,"")</f>
        <v>#REF!</v>
      </c>
      <c r="W99" s="48" t="s">
        <v>902</v>
      </c>
      <c r="X99" s="59">
        <v>45924</v>
      </c>
      <c r="Y99" s="59">
        <v>45929</v>
      </c>
      <c r="Z99" s="59">
        <v>45929</v>
      </c>
      <c r="AA99" s="45"/>
      <c r="AB99" s="45"/>
    </row>
    <row r="100" spans="1:28" ht="30" x14ac:dyDescent="0.25">
      <c r="A100" s="48">
        <v>1097</v>
      </c>
      <c r="B100" s="64" t="s">
        <v>418</v>
      </c>
      <c r="C100" s="45" t="s">
        <v>395</v>
      </c>
      <c r="D100" s="65" t="s">
        <v>361</v>
      </c>
      <c r="E100" s="45">
        <v>1</v>
      </c>
      <c r="F100" s="46" t="s">
        <v>782</v>
      </c>
      <c r="G100" s="47" t="s">
        <v>406</v>
      </c>
      <c r="H100" s="47" t="s">
        <v>930</v>
      </c>
      <c r="I100" s="45" t="s">
        <v>218</v>
      </c>
      <c r="L100" s="47" t="s">
        <v>993</v>
      </c>
      <c r="M100" s="82" t="s">
        <v>941</v>
      </c>
      <c r="N100" s="45" t="s">
        <v>886</v>
      </c>
      <c r="O100" s="45" t="s">
        <v>900</v>
      </c>
      <c r="P100" s="68" t="e">
        <f>VLOOKUP(B100,#REF!,2,FALSE)</f>
        <v>#REF!</v>
      </c>
      <c r="Q100" s="68" t="e">
        <f>VLOOKUP(B100,#REF!,3,FALSE)</f>
        <v>#REF!</v>
      </c>
      <c r="R100" s="68" t="e">
        <f>VLOOKUP($W100,#REF!,2,FALSE)</f>
        <v>#REF!</v>
      </c>
      <c r="S100" s="73" t="e">
        <f>VLOOKUP($W100,#REF!,7,FALSE)</f>
        <v>#REF!</v>
      </c>
      <c r="U100" s="48">
        <v>1</v>
      </c>
      <c r="V100" s="57" t="e">
        <f>IF(ISNUMBER(U100),HLOOKUP(U100,#REF!,2,FALSE)*E100,"")</f>
        <v>#REF!</v>
      </c>
      <c r="W100" s="48" t="s">
        <v>902</v>
      </c>
      <c r="X100" s="59">
        <v>45925</v>
      </c>
      <c r="Y100" s="59">
        <v>45929</v>
      </c>
      <c r="Z100" s="59">
        <v>45929</v>
      </c>
      <c r="AA100" s="45"/>
      <c r="AB100" s="45"/>
    </row>
    <row r="101" spans="1:28" ht="30" x14ac:dyDescent="0.25">
      <c r="A101" s="48">
        <v>1098</v>
      </c>
      <c r="B101" s="64" t="s">
        <v>418</v>
      </c>
      <c r="C101" s="45" t="s">
        <v>396</v>
      </c>
      <c r="D101" s="62" t="s">
        <v>362</v>
      </c>
      <c r="E101" s="45">
        <v>1</v>
      </c>
      <c r="F101" s="46" t="s">
        <v>779</v>
      </c>
      <c r="G101" s="47" t="s">
        <v>1012</v>
      </c>
      <c r="H101" s="47" t="s">
        <v>928</v>
      </c>
      <c r="I101" s="45" t="s">
        <v>218</v>
      </c>
      <c r="J101" s="45" t="s">
        <v>219</v>
      </c>
      <c r="L101" s="83" t="s">
        <v>1092</v>
      </c>
      <c r="M101" s="82" t="s">
        <v>945</v>
      </c>
      <c r="N101" s="45" t="s">
        <v>886</v>
      </c>
      <c r="O101" s="45" t="s">
        <v>900</v>
      </c>
      <c r="P101" s="68" t="e">
        <f>VLOOKUP(B101,#REF!,2,FALSE)</f>
        <v>#REF!</v>
      </c>
      <c r="Q101" s="68" t="e">
        <f>VLOOKUP(B101,#REF!,3,FALSE)</f>
        <v>#REF!</v>
      </c>
      <c r="R101" s="68" t="e">
        <f>VLOOKUP($W101,#REF!,2,FALSE)</f>
        <v>#REF!</v>
      </c>
      <c r="S101" s="73" t="e">
        <f>VLOOKUP($W101,#REF!,7,FALSE)</f>
        <v>#REF!</v>
      </c>
      <c r="T101" s="48">
        <v>6</v>
      </c>
      <c r="U101" s="48">
        <v>2</v>
      </c>
      <c r="V101" s="57" t="e">
        <f>IF(ISNUMBER(U101),HLOOKUP(U101,#REF!,2,FALSE)*E101,"")</f>
        <v>#REF!</v>
      </c>
      <c r="W101" s="48" t="s">
        <v>902</v>
      </c>
      <c r="X101" s="59">
        <v>45925</v>
      </c>
      <c r="Y101" s="59">
        <v>45929</v>
      </c>
      <c r="Z101" s="59">
        <v>45929</v>
      </c>
      <c r="AA101" s="45"/>
      <c r="AB101" s="45"/>
    </row>
    <row r="102" spans="1:28" ht="45" x14ac:dyDescent="0.25">
      <c r="A102" s="48">
        <v>1099</v>
      </c>
      <c r="B102" s="64" t="s">
        <v>418</v>
      </c>
      <c r="C102" s="45" t="s">
        <v>396</v>
      </c>
      <c r="D102" s="65" t="s">
        <v>363</v>
      </c>
      <c r="E102" s="45">
        <v>1</v>
      </c>
      <c r="F102" s="46" t="s">
        <v>780</v>
      </c>
      <c r="G102" s="47" t="s">
        <v>1013</v>
      </c>
      <c r="H102" s="47" t="s">
        <v>928</v>
      </c>
      <c r="I102" s="45" t="s">
        <v>218</v>
      </c>
      <c r="J102" s="45" t="s">
        <v>781</v>
      </c>
      <c r="L102" s="83" t="s">
        <v>1093</v>
      </c>
      <c r="M102" s="82" t="s">
        <v>998</v>
      </c>
      <c r="N102" s="45" t="s">
        <v>886</v>
      </c>
      <c r="O102" s="45" t="s">
        <v>900</v>
      </c>
      <c r="P102" s="68" t="e">
        <f>VLOOKUP(B102,#REF!,2,FALSE)</f>
        <v>#REF!</v>
      </c>
      <c r="Q102" s="68" t="e">
        <f>VLOOKUP(B102,#REF!,3,FALSE)</f>
        <v>#REF!</v>
      </c>
      <c r="R102" s="68" t="e">
        <f>VLOOKUP($W102,#REF!,2,FALSE)</f>
        <v>#REF!</v>
      </c>
      <c r="S102" s="73" t="e">
        <f>VLOOKUP($W102,#REF!,7,FALSE)</f>
        <v>#REF!</v>
      </c>
      <c r="T102" s="48">
        <v>6</v>
      </c>
      <c r="U102" s="48">
        <v>2</v>
      </c>
      <c r="V102" s="57" t="e">
        <f>IF(ISNUMBER(U102),HLOOKUP(U102,#REF!,2,FALSE)*E102,"")</f>
        <v>#REF!</v>
      </c>
      <c r="W102" s="48" t="s">
        <v>902</v>
      </c>
      <c r="X102" s="59">
        <v>45925</v>
      </c>
      <c r="Y102" s="59">
        <v>45929</v>
      </c>
      <c r="Z102" s="59">
        <v>45929</v>
      </c>
      <c r="AA102" s="45"/>
      <c r="AB102" s="45"/>
    </row>
    <row r="103" spans="1:28" ht="30" x14ac:dyDescent="0.25">
      <c r="A103" s="48">
        <v>1100</v>
      </c>
      <c r="B103" s="64" t="s">
        <v>418</v>
      </c>
      <c r="C103" s="45" t="s">
        <v>396</v>
      </c>
      <c r="D103" s="65" t="s">
        <v>475</v>
      </c>
      <c r="E103" s="45">
        <v>1</v>
      </c>
      <c r="F103" s="46" t="s">
        <v>779</v>
      </c>
      <c r="G103" s="47" t="s">
        <v>1014</v>
      </c>
      <c r="H103" s="47" t="s">
        <v>940</v>
      </c>
      <c r="I103" s="45" t="s">
        <v>218</v>
      </c>
      <c r="J103" s="45" t="s">
        <v>219</v>
      </c>
      <c r="M103" s="82" t="s">
        <v>941</v>
      </c>
      <c r="N103" s="45" t="s">
        <v>886</v>
      </c>
      <c r="O103" s="45" t="s">
        <v>900</v>
      </c>
      <c r="P103" s="68" t="e">
        <f>VLOOKUP(B103,#REF!,2,FALSE)</f>
        <v>#REF!</v>
      </c>
      <c r="Q103" s="68" t="e">
        <f>VLOOKUP(B103,#REF!,3,FALSE)</f>
        <v>#REF!</v>
      </c>
      <c r="R103" s="68" t="e">
        <f>VLOOKUP($W103,#REF!,2,FALSE)</f>
        <v>#REF!</v>
      </c>
      <c r="S103" s="73" t="e">
        <f>VLOOKUP($W103,#REF!,7,FALSE)</f>
        <v>#REF!</v>
      </c>
      <c r="T103" s="48">
        <v>6</v>
      </c>
      <c r="U103" s="48">
        <v>2</v>
      </c>
      <c r="V103" s="57" t="e">
        <f>IF(ISNUMBER(U103),HLOOKUP(U103,#REF!,2,FALSE)*E103,"")</f>
        <v>#REF!</v>
      </c>
      <c r="W103" s="48" t="s">
        <v>902</v>
      </c>
      <c r="X103" s="59">
        <v>45925</v>
      </c>
      <c r="Y103" s="59">
        <v>45929</v>
      </c>
      <c r="Z103" s="59">
        <v>45929</v>
      </c>
      <c r="AA103" s="45"/>
      <c r="AB103" s="45"/>
    </row>
    <row r="104" spans="1:28" ht="45" x14ac:dyDescent="0.25">
      <c r="A104" s="48">
        <v>1101</v>
      </c>
      <c r="B104" s="64" t="s">
        <v>418</v>
      </c>
      <c r="C104" s="45" t="s">
        <v>397</v>
      </c>
      <c r="D104" s="65" t="s">
        <v>364</v>
      </c>
      <c r="E104" s="45">
        <v>0</v>
      </c>
      <c r="F104" s="46">
        <v>51</v>
      </c>
      <c r="G104" s="47" t="s">
        <v>1018</v>
      </c>
      <c r="H104" s="47" t="s">
        <v>928</v>
      </c>
      <c r="I104" s="45" t="s">
        <v>218</v>
      </c>
      <c r="L104" s="82" t="s">
        <v>404</v>
      </c>
      <c r="M104" s="82" t="s">
        <v>941</v>
      </c>
      <c r="N104" s="45" t="s">
        <v>886</v>
      </c>
      <c r="O104" s="45" t="s">
        <v>900</v>
      </c>
      <c r="P104" s="68" t="e">
        <f>VLOOKUP(B104,#REF!,2,FALSE)</f>
        <v>#REF!</v>
      </c>
      <c r="Q104" s="68" t="e">
        <f>VLOOKUP(B104,#REF!,3,FALSE)</f>
        <v>#REF!</v>
      </c>
      <c r="R104" s="68" t="e">
        <f>VLOOKUP($W104,#REF!,2,FALSE)</f>
        <v>#REF!</v>
      </c>
      <c r="S104" s="73" t="e">
        <f>VLOOKUP($W104,#REF!,7,FALSE)</f>
        <v>#REF!</v>
      </c>
      <c r="U104" s="48">
        <v>0</v>
      </c>
      <c r="V104" s="57" t="e">
        <f>IF(ISNUMBER(U104),HLOOKUP(U104,#REF!,2,FALSE)*E104,"")</f>
        <v>#REF!</v>
      </c>
      <c r="W104" s="48" t="s">
        <v>902</v>
      </c>
      <c r="X104" s="59">
        <v>45925</v>
      </c>
      <c r="Y104" s="59">
        <v>45929</v>
      </c>
      <c r="Z104" s="59">
        <v>45929</v>
      </c>
      <c r="AA104" s="45"/>
      <c r="AB104" s="45"/>
    </row>
    <row r="105" spans="1:28" ht="111" customHeight="1" x14ac:dyDescent="0.25">
      <c r="A105" s="48">
        <v>1102</v>
      </c>
      <c r="B105" s="64" t="s">
        <v>418</v>
      </c>
      <c r="C105" s="45" t="s">
        <v>397</v>
      </c>
      <c r="D105" s="65" t="s">
        <v>365</v>
      </c>
      <c r="E105" s="45">
        <v>0</v>
      </c>
      <c r="F105" s="46">
        <v>51</v>
      </c>
      <c r="G105" s="47" t="s">
        <v>1018</v>
      </c>
      <c r="H105" s="47" t="s">
        <v>928</v>
      </c>
      <c r="I105" s="45" t="s">
        <v>218</v>
      </c>
      <c r="L105" s="82" t="s">
        <v>404</v>
      </c>
      <c r="M105" s="84" t="s">
        <v>1059</v>
      </c>
      <c r="N105" s="45" t="s">
        <v>886</v>
      </c>
      <c r="O105" s="45" t="s">
        <v>1057</v>
      </c>
      <c r="P105" s="68" t="e">
        <f>VLOOKUP(B105,#REF!,2,FALSE)</f>
        <v>#REF!</v>
      </c>
      <c r="Q105" s="68" t="e">
        <f>VLOOKUP(B105,#REF!,3,FALSE)</f>
        <v>#REF!</v>
      </c>
      <c r="R105" s="68" t="e">
        <f>VLOOKUP($W105,#REF!,2,FALSE)</f>
        <v>#REF!</v>
      </c>
      <c r="S105" s="73" t="e">
        <f>VLOOKUP($W105,#REF!,7,FALSE)</f>
        <v>#REF!</v>
      </c>
      <c r="U105" s="48">
        <v>0</v>
      </c>
      <c r="V105" s="57" t="e">
        <f>IF(ISNUMBER(U105),HLOOKUP(U105,#REF!,2,FALSE)*E105,"")</f>
        <v>#REF!</v>
      </c>
      <c r="W105" s="48" t="s">
        <v>902</v>
      </c>
      <c r="X105" s="59">
        <v>45925</v>
      </c>
      <c r="Y105" s="59">
        <v>45929</v>
      </c>
      <c r="Z105" s="59">
        <v>45929</v>
      </c>
      <c r="AA105" s="45"/>
      <c r="AB105" s="45"/>
    </row>
    <row r="106" spans="1:28" ht="45" x14ac:dyDescent="0.25">
      <c r="A106" s="48">
        <v>1103</v>
      </c>
      <c r="B106" s="64" t="s">
        <v>418</v>
      </c>
      <c r="C106" s="45" t="s">
        <v>397</v>
      </c>
      <c r="D106" s="62" t="s">
        <v>991</v>
      </c>
      <c r="E106" s="45">
        <v>0</v>
      </c>
      <c r="F106" s="46">
        <v>51</v>
      </c>
      <c r="G106" s="47" t="s">
        <v>1019</v>
      </c>
      <c r="H106" s="47" t="s">
        <v>928</v>
      </c>
      <c r="I106" s="45" t="s">
        <v>218</v>
      </c>
      <c r="L106" s="82" t="s">
        <v>404</v>
      </c>
      <c r="M106" s="82" t="s">
        <v>941</v>
      </c>
      <c r="N106" s="45" t="s">
        <v>886</v>
      </c>
      <c r="O106" s="45" t="s">
        <v>900</v>
      </c>
      <c r="P106" s="68" t="e">
        <f>VLOOKUP(B106,#REF!,2,FALSE)</f>
        <v>#REF!</v>
      </c>
      <c r="Q106" s="68" t="e">
        <f>VLOOKUP(B106,#REF!,3,FALSE)</f>
        <v>#REF!</v>
      </c>
      <c r="R106" s="68" t="e">
        <f>VLOOKUP($W106,#REF!,2,FALSE)</f>
        <v>#REF!</v>
      </c>
      <c r="S106" s="73" t="e">
        <f>VLOOKUP($W106,#REF!,7,FALSE)</f>
        <v>#REF!</v>
      </c>
      <c r="U106" s="48">
        <v>0</v>
      </c>
      <c r="V106" s="57" t="e">
        <f>IF(ISNUMBER(U106),HLOOKUP(U106,#REF!,2,FALSE)*E106,"")</f>
        <v>#REF!</v>
      </c>
      <c r="W106" s="48" t="s">
        <v>902</v>
      </c>
      <c r="X106" s="59">
        <v>45925</v>
      </c>
      <c r="Y106" s="59">
        <v>45929</v>
      </c>
      <c r="Z106" s="59">
        <v>45929</v>
      </c>
      <c r="AA106" s="45"/>
      <c r="AB106" s="45"/>
    </row>
    <row r="107" spans="1:28" ht="45" x14ac:dyDescent="0.25">
      <c r="A107" s="48">
        <v>1104</v>
      </c>
      <c r="B107" s="64" t="s">
        <v>418</v>
      </c>
      <c r="C107" s="45" t="s">
        <v>397</v>
      </c>
      <c r="D107" s="65" t="s">
        <v>367</v>
      </c>
      <c r="E107" s="45">
        <v>0</v>
      </c>
      <c r="F107" s="46">
        <v>51</v>
      </c>
      <c r="G107" s="47" t="s">
        <v>1019</v>
      </c>
      <c r="H107" s="47" t="s">
        <v>928</v>
      </c>
      <c r="I107" s="45" t="s">
        <v>218</v>
      </c>
      <c r="L107" s="82" t="s">
        <v>404</v>
      </c>
      <c r="M107" s="82" t="s">
        <v>941</v>
      </c>
      <c r="N107" s="45" t="s">
        <v>886</v>
      </c>
      <c r="O107" s="45" t="s">
        <v>900</v>
      </c>
      <c r="P107" s="68" t="e">
        <f>VLOOKUP(B107,#REF!,2,FALSE)</f>
        <v>#REF!</v>
      </c>
      <c r="Q107" s="68" t="e">
        <f>VLOOKUP(B107,#REF!,3,FALSE)</f>
        <v>#REF!</v>
      </c>
      <c r="R107" s="68" t="e">
        <f>VLOOKUP($W107,#REF!,2,FALSE)</f>
        <v>#REF!</v>
      </c>
      <c r="S107" s="73" t="e">
        <f>VLOOKUP($W107,#REF!,7,FALSE)</f>
        <v>#REF!</v>
      </c>
      <c r="U107" s="48">
        <v>0</v>
      </c>
      <c r="V107" s="57" t="e">
        <f>IF(ISNUMBER(U107),HLOOKUP(U107,#REF!,2,FALSE)*E107,"")</f>
        <v>#REF!</v>
      </c>
      <c r="W107" s="48" t="s">
        <v>902</v>
      </c>
      <c r="X107" s="59">
        <v>45925</v>
      </c>
      <c r="Y107" s="59">
        <v>45929</v>
      </c>
      <c r="Z107" s="59">
        <v>45929</v>
      </c>
      <c r="AA107" s="45"/>
      <c r="AB107" s="45"/>
    </row>
    <row r="108" spans="1:28" ht="45" x14ac:dyDescent="0.25">
      <c r="A108" s="48">
        <v>1105</v>
      </c>
      <c r="B108" s="64" t="s">
        <v>418</v>
      </c>
      <c r="C108" s="45" t="s">
        <v>397</v>
      </c>
      <c r="D108" s="65" t="s">
        <v>368</v>
      </c>
      <c r="E108" s="45">
        <v>0</v>
      </c>
      <c r="F108" s="46">
        <v>51</v>
      </c>
      <c r="G108" s="47" t="s">
        <v>1020</v>
      </c>
      <c r="H108" s="47" t="s">
        <v>928</v>
      </c>
      <c r="I108" s="45" t="s">
        <v>218</v>
      </c>
      <c r="L108" s="82" t="s">
        <v>404</v>
      </c>
      <c r="M108" s="82" t="s">
        <v>941</v>
      </c>
      <c r="N108" s="45" t="s">
        <v>886</v>
      </c>
      <c r="O108" s="45" t="s">
        <v>900</v>
      </c>
      <c r="P108" s="68" t="e">
        <f>VLOOKUP(B108,#REF!,2,FALSE)</f>
        <v>#REF!</v>
      </c>
      <c r="Q108" s="68" t="e">
        <f>VLOOKUP(B108,#REF!,3,FALSE)</f>
        <v>#REF!</v>
      </c>
      <c r="R108" s="68" t="e">
        <f>VLOOKUP($W108,#REF!,2,FALSE)</f>
        <v>#REF!</v>
      </c>
      <c r="S108" s="73" t="e">
        <f>VLOOKUP($W108,#REF!,7,FALSE)</f>
        <v>#REF!</v>
      </c>
      <c r="U108" s="48">
        <v>0</v>
      </c>
      <c r="V108" s="57" t="e">
        <f>IF(ISNUMBER(U108),HLOOKUP(U108,#REF!,2,FALSE)*E108,"")</f>
        <v>#REF!</v>
      </c>
      <c r="W108" s="48" t="s">
        <v>902</v>
      </c>
      <c r="X108" s="59">
        <v>45925</v>
      </c>
      <c r="Y108" s="59">
        <v>45929</v>
      </c>
      <c r="Z108" s="59">
        <v>45929</v>
      </c>
      <c r="AA108" s="45"/>
      <c r="AB108" s="45"/>
    </row>
    <row r="109" spans="1:28" ht="45" x14ac:dyDescent="0.25">
      <c r="A109" s="48">
        <v>1106</v>
      </c>
      <c r="B109" s="64" t="s">
        <v>418</v>
      </c>
      <c r="C109" s="45" t="s">
        <v>397</v>
      </c>
      <c r="D109" s="65" t="s">
        <v>369</v>
      </c>
      <c r="E109" s="45">
        <v>0</v>
      </c>
      <c r="F109" s="46">
        <v>51</v>
      </c>
      <c r="G109" s="47" t="s">
        <v>1020</v>
      </c>
      <c r="H109" s="47" t="s">
        <v>928</v>
      </c>
      <c r="I109" s="45" t="s">
        <v>218</v>
      </c>
      <c r="L109" s="82" t="s">
        <v>404</v>
      </c>
      <c r="M109" s="82" t="s">
        <v>941</v>
      </c>
      <c r="N109" s="45" t="s">
        <v>886</v>
      </c>
      <c r="O109" s="45" t="s">
        <v>900</v>
      </c>
      <c r="P109" s="68" t="e">
        <f>VLOOKUP(B109,#REF!,2,FALSE)</f>
        <v>#REF!</v>
      </c>
      <c r="Q109" s="68" t="e">
        <f>VLOOKUP(B109,#REF!,3,FALSE)</f>
        <v>#REF!</v>
      </c>
      <c r="R109" s="68" t="e">
        <f>VLOOKUP($W109,#REF!,2,FALSE)</f>
        <v>#REF!</v>
      </c>
      <c r="S109" s="73" t="e">
        <f>VLOOKUP($W109,#REF!,7,FALSE)</f>
        <v>#REF!</v>
      </c>
      <c r="U109" s="48">
        <v>0</v>
      </c>
      <c r="V109" s="57" t="e">
        <f>IF(ISNUMBER(U109),HLOOKUP(U109,#REF!,2,FALSE)*E109,"")</f>
        <v>#REF!</v>
      </c>
      <c r="W109" s="48" t="s">
        <v>902</v>
      </c>
      <c r="X109" s="59">
        <v>45925</v>
      </c>
      <c r="Y109" s="59">
        <v>45929</v>
      </c>
      <c r="Z109" s="59">
        <v>45929</v>
      </c>
      <c r="AA109" s="45"/>
      <c r="AB109" s="45"/>
    </row>
    <row r="110" spans="1:28" ht="30" x14ac:dyDescent="0.25">
      <c r="A110" s="48">
        <v>1107</v>
      </c>
      <c r="B110" s="64" t="s">
        <v>418</v>
      </c>
      <c r="C110" s="45" t="s">
        <v>397</v>
      </c>
      <c r="D110" s="65" t="s">
        <v>370</v>
      </c>
      <c r="E110" s="45">
        <v>1</v>
      </c>
      <c r="F110" s="46" t="s">
        <v>767</v>
      </c>
      <c r="G110" s="47" t="s">
        <v>1015</v>
      </c>
      <c r="H110" s="47" t="s">
        <v>928</v>
      </c>
      <c r="I110" s="45" t="s">
        <v>218</v>
      </c>
      <c r="J110" s="45" t="s">
        <v>219</v>
      </c>
      <c r="L110" s="82"/>
      <c r="M110" s="70" t="s">
        <v>1058</v>
      </c>
      <c r="N110" s="85" t="s">
        <v>886</v>
      </c>
      <c r="O110" s="45" t="s">
        <v>1057</v>
      </c>
      <c r="P110" s="68" t="e">
        <f>VLOOKUP(B110,#REF!,2,FALSE)</f>
        <v>#REF!</v>
      </c>
      <c r="Q110" s="68" t="e">
        <f>VLOOKUP(B110,#REF!,3,FALSE)</f>
        <v>#REF!</v>
      </c>
      <c r="R110" s="68" t="e">
        <f>VLOOKUP($W110,#REF!,2,FALSE)</f>
        <v>#REF!</v>
      </c>
      <c r="S110" s="73" t="e">
        <f>VLOOKUP($W110,#REF!,7,FALSE)</f>
        <v>#REF!</v>
      </c>
      <c r="T110" s="48">
        <v>6</v>
      </c>
      <c r="U110" s="48">
        <v>3</v>
      </c>
      <c r="V110" s="57" t="e">
        <f>IF(ISNUMBER(U110),HLOOKUP(U110,#REF!,2,FALSE)*E110,"")</f>
        <v>#REF!</v>
      </c>
      <c r="W110" s="48" t="s">
        <v>902</v>
      </c>
      <c r="X110" s="59">
        <v>45923</v>
      </c>
      <c r="Y110" s="59">
        <v>45929</v>
      </c>
      <c r="Z110" s="59">
        <v>45929</v>
      </c>
      <c r="AA110" s="45"/>
      <c r="AB110" s="45"/>
    </row>
    <row r="111" spans="1:28" ht="30" x14ac:dyDescent="0.25">
      <c r="A111" s="48">
        <v>1108</v>
      </c>
      <c r="B111" s="64" t="s">
        <v>418</v>
      </c>
      <c r="C111" s="45" t="s">
        <v>397</v>
      </c>
      <c r="D111" s="62" t="s">
        <v>371</v>
      </c>
      <c r="E111" s="45">
        <v>0</v>
      </c>
      <c r="F111" s="46">
        <v>51</v>
      </c>
      <c r="G111" s="47" t="s">
        <v>1015</v>
      </c>
      <c r="H111" s="47" t="s">
        <v>928</v>
      </c>
      <c r="I111" s="45" t="s">
        <v>218</v>
      </c>
      <c r="L111" s="82" t="s">
        <v>404</v>
      </c>
      <c r="M111" s="82" t="s">
        <v>941</v>
      </c>
      <c r="N111" s="45" t="s">
        <v>886</v>
      </c>
      <c r="O111" s="45" t="s">
        <v>900</v>
      </c>
      <c r="P111" s="68" t="e">
        <f>VLOOKUP(B111,#REF!,2,FALSE)</f>
        <v>#REF!</v>
      </c>
      <c r="Q111" s="68" t="e">
        <f>VLOOKUP(B111,#REF!,3,FALSE)</f>
        <v>#REF!</v>
      </c>
      <c r="R111" s="68" t="e">
        <f>VLOOKUP($W111,#REF!,2,FALSE)</f>
        <v>#REF!</v>
      </c>
      <c r="S111" s="73" t="e">
        <f>VLOOKUP($W111,#REF!,7,FALSE)</f>
        <v>#REF!</v>
      </c>
      <c r="U111" s="48">
        <v>0</v>
      </c>
      <c r="V111" s="57" t="e">
        <f>IF(ISNUMBER(U111),HLOOKUP(U111,#REF!,2,FALSE)*E111,"")</f>
        <v>#REF!</v>
      </c>
      <c r="W111" s="48" t="s">
        <v>902</v>
      </c>
      <c r="X111" s="59">
        <v>45925</v>
      </c>
      <c r="Y111" s="59">
        <v>45929</v>
      </c>
      <c r="Z111" s="59">
        <v>45929</v>
      </c>
      <c r="AA111" s="45"/>
      <c r="AB111" s="45"/>
    </row>
    <row r="112" spans="1:28" ht="30" x14ac:dyDescent="0.25">
      <c r="A112" s="48">
        <v>1109</v>
      </c>
      <c r="B112" s="64" t="s">
        <v>418</v>
      </c>
      <c r="C112" s="45" t="s">
        <v>397</v>
      </c>
      <c r="D112" s="65" t="s">
        <v>372</v>
      </c>
      <c r="E112" s="45">
        <v>1</v>
      </c>
      <c r="F112" s="46" t="s">
        <v>833</v>
      </c>
      <c r="G112" s="47" t="s">
        <v>1016</v>
      </c>
      <c r="H112" s="47" t="s">
        <v>928</v>
      </c>
      <c r="I112" s="45" t="s">
        <v>218</v>
      </c>
      <c r="J112" s="45" t="s">
        <v>235</v>
      </c>
      <c r="L112" s="82"/>
      <c r="M112" s="82" t="s">
        <v>941</v>
      </c>
      <c r="N112" s="45" t="s">
        <v>886</v>
      </c>
      <c r="O112" s="45" t="s">
        <v>900</v>
      </c>
      <c r="P112" s="68" t="e">
        <f>VLOOKUP(B112,#REF!,2,FALSE)</f>
        <v>#REF!</v>
      </c>
      <c r="Q112" s="68" t="e">
        <f>VLOOKUP(B112,#REF!,3,FALSE)</f>
        <v>#REF!</v>
      </c>
      <c r="R112" s="68" t="e">
        <f>VLOOKUP($W112,#REF!,2,FALSE)</f>
        <v>#REF!</v>
      </c>
      <c r="S112" s="73" t="e">
        <f>VLOOKUP($W112,#REF!,7,FALSE)</f>
        <v>#REF!</v>
      </c>
      <c r="U112" s="48">
        <v>3</v>
      </c>
      <c r="V112" s="57" t="e">
        <f>IF(ISNUMBER(U112),HLOOKUP(U112,#REF!,2,FALSE)*E112,"")</f>
        <v>#REF!</v>
      </c>
      <c r="W112" s="48" t="s">
        <v>902</v>
      </c>
      <c r="X112" s="59">
        <v>45925</v>
      </c>
      <c r="Y112" s="59">
        <v>45929</v>
      </c>
      <c r="Z112" s="59">
        <v>45929</v>
      </c>
      <c r="AA112" s="45"/>
      <c r="AB112" s="45"/>
    </row>
    <row r="113" spans="1:28" ht="30" x14ac:dyDescent="0.25">
      <c r="A113" s="48">
        <v>1110</v>
      </c>
      <c r="B113" s="64" t="s">
        <v>418</v>
      </c>
      <c r="C113" s="45" t="s">
        <v>397</v>
      </c>
      <c r="D113" s="65" t="s">
        <v>373</v>
      </c>
      <c r="E113" s="45">
        <v>0</v>
      </c>
      <c r="F113" s="46">
        <v>51</v>
      </c>
      <c r="G113" s="47" t="s">
        <v>1016</v>
      </c>
      <c r="H113" s="47" t="s">
        <v>928</v>
      </c>
      <c r="I113" s="45" t="s">
        <v>218</v>
      </c>
      <c r="L113" s="82" t="s">
        <v>403</v>
      </c>
      <c r="M113" s="82" t="s">
        <v>941</v>
      </c>
      <c r="N113" s="45" t="s">
        <v>886</v>
      </c>
      <c r="O113" s="45" t="s">
        <v>900</v>
      </c>
      <c r="P113" s="68" t="e">
        <f>VLOOKUP(B113,#REF!,2,FALSE)</f>
        <v>#REF!</v>
      </c>
      <c r="Q113" s="68" t="e">
        <f>VLOOKUP(B113,#REF!,3,FALSE)</f>
        <v>#REF!</v>
      </c>
      <c r="R113" s="68" t="e">
        <f>VLOOKUP($W113,#REF!,2,FALSE)</f>
        <v>#REF!</v>
      </c>
      <c r="S113" s="73" t="e">
        <f>VLOOKUP($W113,#REF!,7,FALSE)</f>
        <v>#REF!</v>
      </c>
      <c r="U113" s="48">
        <v>0</v>
      </c>
      <c r="V113" s="57" t="e">
        <f>IF(ISNUMBER(U113),HLOOKUP(U113,#REF!,2,FALSE)*E113,"")</f>
        <v>#REF!</v>
      </c>
      <c r="W113" s="48" t="s">
        <v>902</v>
      </c>
      <c r="X113" s="59">
        <v>45925</v>
      </c>
      <c r="Y113" s="59">
        <v>45929</v>
      </c>
      <c r="Z113" s="59">
        <v>45929</v>
      </c>
      <c r="AA113" s="45"/>
      <c r="AB113" s="45"/>
    </row>
    <row r="114" spans="1:28" ht="45" x14ac:dyDescent="0.25">
      <c r="A114" s="48">
        <v>1111</v>
      </c>
      <c r="B114" s="64" t="s">
        <v>418</v>
      </c>
      <c r="C114" s="45" t="s">
        <v>397</v>
      </c>
      <c r="D114" s="65" t="s">
        <v>374</v>
      </c>
      <c r="E114" s="45">
        <v>1</v>
      </c>
      <c r="F114" s="46" t="s">
        <v>833</v>
      </c>
      <c r="G114" s="47" t="s">
        <v>1017</v>
      </c>
      <c r="H114" s="47" t="s">
        <v>928</v>
      </c>
      <c r="I114" s="45" t="s">
        <v>218</v>
      </c>
      <c r="J114" s="45" t="s">
        <v>235</v>
      </c>
      <c r="L114" s="82"/>
      <c r="M114" s="82" t="s">
        <v>941</v>
      </c>
      <c r="N114" s="45" t="s">
        <v>886</v>
      </c>
      <c r="O114" s="45" t="s">
        <v>900</v>
      </c>
      <c r="P114" s="68" t="e">
        <f>VLOOKUP(B114,#REF!,2,FALSE)</f>
        <v>#REF!</v>
      </c>
      <c r="Q114" s="68" t="e">
        <f>VLOOKUP(B114,#REF!,3,FALSE)</f>
        <v>#REF!</v>
      </c>
      <c r="R114" s="68" t="e">
        <f>VLOOKUP($W114,#REF!,2,FALSE)</f>
        <v>#REF!</v>
      </c>
      <c r="S114" s="73" t="e">
        <f>VLOOKUP($W114,#REF!,7,FALSE)</f>
        <v>#REF!</v>
      </c>
      <c r="U114" s="48">
        <v>3</v>
      </c>
      <c r="V114" s="57" t="e">
        <f>IF(ISNUMBER(U114),HLOOKUP(U114,#REF!,2,FALSE)*E114,"")</f>
        <v>#REF!</v>
      </c>
      <c r="W114" s="48" t="s">
        <v>902</v>
      </c>
      <c r="X114" s="59">
        <v>45925</v>
      </c>
      <c r="Y114" s="59">
        <v>45929</v>
      </c>
      <c r="Z114" s="59">
        <v>45929</v>
      </c>
      <c r="AA114" s="45"/>
      <c r="AB114" s="45"/>
    </row>
    <row r="115" spans="1:28" ht="45" x14ac:dyDescent="0.25">
      <c r="A115" s="48">
        <v>1112</v>
      </c>
      <c r="B115" s="64" t="s">
        <v>418</v>
      </c>
      <c r="C115" s="45" t="s">
        <v>397</v>
      </c>
      <c r="D115" s="65" t="s">
        <v>375</v>
      </c>
      <c r="E115" s="45">
        <v>0</v>
      </c>
      <c r="F115" s="46">
        <v>51</v>
      </c>
      <c r="G115" s="47" t="s">
        <v>1017</v>
      </c>
      <c r="H115" s="47" t="s">
        <v>928</v>
      </c>
      <c r="I115" s="45" t="s">
        <v>218</v>
      </c>
      <c r="L115" s="82" t="s">
        <v>402</v>
      </c>
      <c r="M115" s="82" t="s">
        <v>941</v>
      </c>
      <c r="N115" s="45" t="s">
        <v>886</v>
      </c>
      <c r="O115" s="45" t="s">
        <v>900</v>
      </c>
      <c r="P115" s="68" t="e">
        <f>VLOOKUP(B115,#REF!,2,FALSE)</f>
        <v>#REF!</v>
      </c>
      <c r="Q115" s="68" t="e">
        <f>VLOOKUP(B115,#REF!,3,FALSE)</f>
        <v>#REF!</v>
      </c>
      <c r="R115" s="68" t="e">
        <f>VLOOKUP($W115,#REF!,2,FALSE)</f>
        <v>#REF!</v>
      </c>
      <c r="S115" s="73" t="e">
        <f>VLOOKUP($W115,#REF!,7,FALSE)</f>
        <v>#REF!</v>
      </c>
      <c r="U115" s="48">
        <v>0</v>
      </c>
      <c r="V115" s="57" t="e">
        <f>IF(ISNUMBER(U115),HLOOKUP(U115,#REF!,2,FALSE)*E115,"")</f>
        <v>#REF!</v>
      </c>
      <c r="W115" s="48" t="s">
        <v>902</v>
      </c>
      <c r="X115" s="59">
        <v>45925</v>
      </c>
      <c r="Y115" s="59">
        <v>45929</v>
      </c>
      <c r="Z115" s="59">
        <v>45929</v>
      </c>
      <c r="AA115" s="45"/>
      <c r="AB115" s="45"/>
    </row>
    <row r="116" spans="1:28" ht="119.45" customHeight="1" x14ac:dyDescent="0.25">
      <c r="A116" s="48">
        <v>1113</v>
      </c>
      <c r="B116" s="64" t="s">
        <v>418</v>
      </c>
      <c r="C116" s="45" t="s">
        <v>195</v>
      </c>
      <c r="D116" s="65" t="s">
        <v>376</v>
      </c>
      <c r="E116" s="45">
        <v>1</v>
      </c>
      <c r="F116" s="46">
        <v>52</v>
      </c>
      <c r="G116" s="47" t="s">
        <v>407</v>
      </c>
      <c r="H116" s="47" t="s">
        <v>928</v>
      </c>
      <c r="I116" s="45" t="s">
        <v>218</v>
      </c>
      <c r="L116" s="47" t="s">
        <v>408</v>
      </c>
      <c r="M116" s="86" t="s">
        <v>969</v>
      </c>
      <c r="N116" s="45" t="s">
        <v>887</v>
      </c>
      <c r="O116" s="45" t="s">
        <v>1057</v>
      </c>
      <c r="P116" s="68" t="e">
        <f>VLOOKUP(B116,#REF!,2,FALSE)</f>
        <v>#REF!</v>
      </c>
      <c r="Q116" s="68" t="e">
        <f>VLOOKUP(B116,#REF!,3,FALSE)</f>
        <v>#REF!</v>
      </c>
      <c r="R116" s="68" t="e">
        <f>VLOOKUP($W116,#REF!,2,FALSE)</f>
        <v>#REF!</v>
      </c>
      <c r="S116" s="73" t="e">
        <f>VLOOKUP($W116,#REF!,7,FALSE)</f>
        <v>#REF!</v>
      </c>
      <c r="U116" s="48">
        <v>1</v>
      </c>
      <c r="V116" s="57" t="e">
        <f>IF(ISNUMBER(U116),HLOOKUP(U116,#REF!,2,FALSE)*E116,"")</f>
        <v>#REF!</v>
      </c>
      <c r="W116" s="48" t="s">
        <v>902</v>
      </c>
      <c r="X116" s="59">
        <v>45925</v>
      </c>
      <c r="AA116" s="45"/>
      <c r="AB116" s="45"/>
    </row>
    <row r="117" spans="1:28" ht="60" x14ac:dyDescent="0.25">
      <c r="A117" s="48">
        <v>1114</v>
      </c>
      <c r="B117" s="64" t="s">
        <v>418</v>
      </c>
      <c r="C117" s="45" t="s">
        <v>195</v>
      </c>
      <c r="D117" s="65" t="s">
        <v>377</v>
      </c>
      <c r="E117" s="45">
        <v>1</v>
      </c>
      <c r="F117" s="46" t="s">
        <v>760</v>
      </c>
      <c r="G117" s="47" t="s">
        <v>46</v>
      </c>
      <c r="I117" s="45" t="s">
        <v>218</v>
      </c>
      <c r="J117" s="45" t="s">
        <v>193</v>
      </c>
      <c r="L117" s="47" t="s">
        <v>1083</v>
      </c>
      <c r="M117" s="60" t="s">
        <v>1112</v>
      </c>
      <c r="N117" s="71" t="s">
        <v>894</v>
      </c>
      <c r="O117" s="45" t="s">
        <v>1057</v>
      </c>
      <c r="P117" s="68" t="e">
        <f>VLOOKUP(B117,#REF!,2,FALSE)</f>
        <v>#REF!</v>
      </c>
      <c r="Q117" s="68" t="e">
        <f>VLOOKUP(B117,#REF!,3,FALSE)</f>
        <v>#REF!</v>
      </c>
      <c r="R117" s="68" t="e">
        <f>VLOOKUP($W117,#REF!,2,FALSE)</f>
        <v>#REF!</v>
      </c>
      <c r="S117" s="73" t="e">
        <f>VLOOKUP($W117,#REF!,7,FALSE)</f>
        <v>#REF!</v>
      </c>
      <c r="U117" s="48">
        <v>1</v>
      </c>
      <c r="V117" s="57" t="e">
        <f>IF(ISNUMBER(U117),HLOOKUP(U117,#REF!,2,FALSE)*E117,"")</f>
        <v>#REF!</v>
      </c>
      <c r="W117" s="48" t="s">
        <v>902</v>
      </c>
      <c r="X117" s="59">
        <v>45925</v>
      </c>
      <c r="AA117" s="45"/>
      <c r="AB117" s="45"/>
    </row>
    <row r="118" spans="1:28" ht="45" x14ac:dyDescent="0.25">
      <c r="A118" s="77">
        <v>1071</v>
      </c>
      <c r="B118" s="64" t="s">
        <v>417</v>
      </c>
      <c r="C118" s="45" t="s">
        <v>321</v>
      </c>
      <c r="D118" s="65" t="s">
        <v>154</v>
      </c>
      <c r="E118" s="45">
        <v>0</v>
      </c>
      <c r="F118" s="63" t="s">
        <v>763</v>
      </c>
      <c r="G118" s="47" t="s">
        <v>169</v>
      </c>
      <c r="I118" s="45" t="s">
        <v>221</v>
      </c>
      <c r="M118" s="47" t="s">
        <v>1114</v>
      </c>
      <c r="N118" s="45" t="s">
        <v>899</v>
      </c>
      <c r="O118" s="45" t="s">
        <v>895</v>
      </c>
      <c r="P118" s="68" t="e">
        <f>VLOOKUP(B118,#REF!,2,FALSE)</f>
        <v>#REF!</v>
      </c>
      <c r="Q118" s="68" t="e">
        <f>VLOOKUP(B118,#REF!,3,FALSE)</f>
        <v>#REF!</v>
      </c>
      <c r="R118" s="68" t="e">
        <f>VLOOKUP($W118,#REF!,2,FALSE)</f>
        <v>#REF!</v>
      </c>
      <c r="S118" s="73" t="e">
        <f>VLOOKUP($W118,#REF!,7,FALSE)</f>
        <v>#REF!</v>
      </c>
      <c r="U118" s="48">
        <v>0</v>
      </c>
      <c r="V118" s="57" t="e">
        <f>IF(ISNUMBER(U118),HLOOKUP(U118,#REF!,2,FALSE)*E118,"")</f>
        <v>#REF!</v>
      </c>
      <c r="W118" s="48" t="s">
        <v>904</v>
      </c>
      <c r="AA118" s="45"/>
      <c r="AB118" s="45"/>
    </row>
    <row r="119" spans="1:28" x14ac:dyDescent="0.25">
      <c r="A119" s="48">
        <v>1115</v>
      </c>
      <c r="B119" s="64" t="s">
        <v>418</v>
      </c>
      <c r="C119" s="45" t="s">
        <v>195</v>
      </c>
      <c r="D119" s="65" t="s">
        <v>378</v>
      </c>
      <c r="E119" s="45">
        <v>0</v>
      </c>
      <c r="F119" s="46" t="s">
        <v>760</v>
      </c>
      <c r="G119" s="47" t="s">
        <v>169</v>
      </c>
      <c r="I119" s="45" t="s">
        <v>218</v>
      </c>
      <c r="J119" s="45" t="s">
        <v>193</v>
      </c>
      <c r="M119" s="60" t="s">
        <v>970</v>
      </c>
      <c r="N119" s="71" t="s">
        <v>894</v>
      </c>
      <c r="O119" s="45" t="s">
        <v>1057</v>
      </c>
      <c r="P119" s="68" t="e">
        <f>VLOOKUP(B119,#REF!,2,FALSE)</f>
        <v>#REF!</v>
      </c>
      <c r="Q119" s="68" t="e">
        <f>VLOOKUP(B119,#REF!,3,FALSE)</f>
        <v>#REF!</v>
      </c>
      <c r="R119" s="68" t="e">
        <f>VLOOKUP($W119,#REF!,2,FALSE)</f>
        <v>#REF!</v>
      </c>
      <c r="S119" s="73" t="e">
        <f>VLOOKUP($W119,#REF!,7,FALSE)</f>
        <v>#REF!</v>
      </c>
      <c r="U119" s="48">
        <v>0</v>
      </c>
      <c r="V119" s="57" t="e">
        <f>IF(ISNUMBER(U119),HLOOKUP(U119,#REF!,2,FALSE)*E119,"")</f>
        <v>#REF!</v>
      </c>
      <c r="W119" s="48" t="s">
        <v>902</v>
      </c>
      <c r="X119" s="59">
        <v>45925</v>
      </c>
      <c r="AA119" s="45"/>
      <c r="AB119" s="45"/>
    </row>
    <row r="120" spans="1:28" ht="60" x14ac:dyDescent="0.25">
      <c r="A120" s="48">
        <v>1116</v>
      </c>
      <c r="B120" s="64" t="s">
        <v>418</v>
      </c>
      <c r="C120" s="45" t="s">
        <v>195</v>
      </c>
      <c r="D120" s="65" t="s">
        <v>379</v>
      </c>
      <c r="E120" s="45">
        <v>1</v>
      </c>
      <c r="F120" s="46" t="s">
        <v>760</v>
      </c>
      <c r="G120" s="47" t="s">
        <v>46</v>
      </c>
      <c r="I120" s="45" t="s">
        <v>218</v>
      </c>
      <c r="J120" s="45" t="s">
        <v>193</v>
      </c>
      <c r="L120" s="47" t="s">
        <v>1083</v>
      </c>
      <c r="M120" s="60" t="s">
        <v>1113</v>
      </c>
      <c r="N120" s="71" t="s">
        <v>894</v>
      </c>
      <c r="O120" s="45" t="s">
        <v>1057</v>
      </c>
      <c r="P120" s="68" t="e">
        <f>VLOOKUP(B120,#REF!,2,FALSE)</f>
        <v>#REF!</v>
      </c>
      <c r="Q120" s="68" t="e">
        <f>VLOOKUP(B120,#REF!,3,FALSE)</f>
        <v>#REF!</v>
      </c>
      <c r="R120" s="68" t="e">
        <f>VLOOKUP($W120,#REF!,2,FALSE)</f>
        <v>#REF!</v>
      </c>
      <c r="S120" s="73" t="e">
        <f>VLOOKUP($W120,#REF!,7,FALSE)</f>
        <v>#REF!</v>
      </c>
      <c r="U120" s="48">
        <v>1</v>
      </c>
      <c r="V120" s="57" t="e">
        <f>IF(ISNUMBER(U120),HLOOKUP(U120,#REF!,2,FALSE)*E120,"")</f>
        <v>#REF!</v>
      </c>
      <c r="W120" s="48" t="s">
        <v>902</v>
      </c>
      <c r="X120" s="59">
        <v>45925</v>
      </c>
      <c r="AA120" s="45"/>
      <c r="AB120" s="45"/>
    </row>
    <row r="121" spans="1:28" ht="75" x14ac:dyDescent="0.25">
      <c r="A121" s="48">
        <v>1117</v>
      </c>
      <c r="B121" s="64" t="s">
        <v>418</v>
      </c>
      <c r="C121" s="45" t="s">
        <v>195</v>
      </c>
      <c r="D121" s="65" t="s">
        <v>155</v>
      </c>
      <c r="E121" s="45">
        <v>0</v>
      </c>
      <c r="F121" s="46" t="s">
        <v>764</v>
      </c>
      <c r="G121" s="47" t="s">
        <v>169</v>
      </c>
      <c r="I121" s="45" t="s">
        <v>218</v>
      </c>
      <c r="J121" s="45" t="s">
        <v>193</v>
      </c>
      <c r="M121" s="60" t="s">
        <v>980</v>
      </c>
      <c r="N121" s="71" t="s">
        <v>894</v>
      </c>
      <c r="O121" s="45" t="s">
        <v>1057</v>
      </c>
      <c r="P121" s="68" t="e">
        <f>VLOOKUP(B121,#REF!,2,FALSE)</f>
        <v>#REF!</v>
      </c>
      <c r="Q121" s="68" t="e">
        <f>VLOOKUP(B121,#REF!,3,FALSE)</f>
        <v>#REF!</v>
      </c>
      <c r="R121" s="68" t="e">
        <f>VLOOKUP($W121,#REF!,2,FALSE)</f>
        <v>#REF!</v>
      </c>
      <c r="S121" s="73" t="e">
        <f>VLOOKUP($W121,#REF!,7,FALSE)</f>
        <v>#REF!</v>
      </c>
      <c r="U121" s="48">
        <v>0</v>
      </c>
      <c r="V121" s="57" t="e">
        <f>IF(ISNUMBER(U121),HLOOKUP(U121,#REF!,2,FALSE)*E121,"")</f>
        <v>#REF!</v>
      </c>
      <c r="W121" s="48" t="s">
        <v>902</v>
      </c>
      <c r="X121" s="59">
        <v>45925</v>
      </c>
      <c r="AA121" s="45"/>
      <c r="AB121" s="45"/>
    </row>
    <row r="122" spans="1:28" x14ac:dyDescent="0.25">
      <c r="A122" s="48">
        <v>1118</v>
      </c>
      <c r="B122" s="64" t="s">
        <v>418</v>
      </c>
      <c r="C122" s="45" t="s">
        <v>195</v>
      </c>
      <c r="D122" s="65" t="s">
        <v>380</v>
      </c>
      <c r="E122" s="45">
        <v>1</v>
      </c>
      <c r="F122" s="46" t="s">
        <v>760</v>
      </c>
      <c r="G122" s="47" t="s">
        <v>46</v>
      </c>
      <c r="I122" s="45" t="s">
        <v>218</v>
      </c>
      <c r="J122" s="45" t="s">
        <v>193</v>
      </c>
      <c r="L122" s="47" t="s">
        <v>1083</v>
      </c>
      <c r="M122" s="60" t="s">
        <v>971</v>
      </c>
      <c r="N122" s="71" t="s">
        <v>894</v>
      </c>
      <c r="O122" s="45" t="s">
        <v>1057</v>
      </c>
      <c r="P122" s="68" t="e">
        <f>VLOOKUP(B122,#REF!,2,FALSE)</f>
        <v>#REF!</v>
      </c>
      <c r="Q122" s="68" t="e">
        <f>VLOOKUP(B122,#REF!,3,FALSE)</f>
        <v>#REF!</v>
      </c>
      <c r="R122" s="68" t="e">
        <f>VLOOKUP($W122,#REF!,2,FALSE)</f>
        <v>#REF!</v>
      </c>
      <c r="S122" s="73" t="e">
        <f>VLOOKUP($W122,#REF!,7,FALSE)</f>
        <v>#REF!</v>
      </c>
      <c r="U122" s="48">
        <v>1</v>
      </c>
      <c r="V122" s="57" t="e">
        <f>IF(ISNUMBER(U122),HLOOKUP(U122,#REF!,2,FALSE)*E122,"")</f>
        <v>#REF!</v>
      </c>
      <c r="W122" s="48" t="s">
        <v>902</v>
      </c>
      <c r="X122" s="59">
        <v>45925</v>
      </c>
      <c r="AA122" s="45"/>
      <c r="AB122" s="45"/>
    </row>
    <row r="123" spans="1:28" x14ac:dyDescent="0.25">
      <c r="A123" s="48">
        <v>1119</v>
      </c>
      <c r="B123" s="64" t="s">
        <v>418</v>
      </c>
      <c r="C123" s="45" t="s">
        <v>195</v>
      </c>
      <c r="D123" s="65" t="s">
        <v>381</v>
      </c>
      <c r="E123" s="45">
        <v>1</v>
      </c>
      <c r="F123" s="46" t="s">
        <v>760</v>
      </c>
      <c r="G123" s="47" t="s">
        <v>46</v>
      </c>
      <c r="I123" s="45" t="s">
        <v>218</v>
      </c>
      <c r="J123" s="45" t="s">
        <v>193</v>
      </c>
      <c r="L123" s="47" t="s">
        <v>1083</v>
      </c>
      <c r="M123" s="60" t="s">
        <v>972</v>
      </c>
      <c r="N123" s="71" t="s">
        <v>894</v>
      </c>
      <c r="O123" s="45" t="s">
        <v>1057</v>
      </c>
      <c r="P123" s="68" t="e">
        <f>VLOOKUP(B123,#REF!,2,FALSE)</f>
        <v>#REF!</v>
      </c>
      <c r="Q123" s="68" t="e">
        <f>VLOOKUP(B123,#REF!,3,FALSE)</f>
        <v>#REF!</v>
      </c>
      <c r="R123" s="68" t="e">
        <f>VLOOKUP($W123,#REF!,2,FALSE)</f>
        <v>#REF!</v>
      </c>
      <c r="S123" s="73" t="e">
        <f>VLOOKUP($W123,#REF!,7,FALSE)</f>
        <v>#REF!</v>
      </c>
      <c r="U123" s="48">
        <v>1</v>
      </c>
      <c r="V123" s="57" t="e">
        <f>IF(ISNUMBER(U123),HLOOKUP(U123,#REF!,2,FALSE)*E123,"")</f>
        <v>#REF!</v>
      </c>
      <c r="W123" s="48" t="s">
        <v>902</v>
      </c>
      <c r="X123" s="59">
        <v>45925</v>
      </c>
      <c r="AA123" s="45"/>
      <c r="AB123" s="45"/>
    </row>
    <row r="124" spans="1:28" x14ac:dyDescent="0.25">
      <c r="A124" s="48">
        <v>1120</v>
      </c>
      <c r="B124" s="64" t="s">
        <v>418</v>
      </c>
      <c r="C124" s="45" t="s">
        <v>195</v>
      </c>
      <c r="D124" s="65" t="s">
        <v>382</v>
      </c>
      <c r="E124" s="45">
        <v>1</v>
      </c>
      <c r="F124" s="46" t="s">
        <v>760</v>
      </c>
      <c r="G124" s="47" t="s">
        <v>46</v>
      </c>
      <c r="I124" s="45" t="s">
        <v>218</v>
      </c>
      <c r="J124" s="45" t="s">
        <v>193</v>
      </c>
      <c r="L124" s="47" t="s">
        <v>1083</v>
      </c>
      <c r="M124" s="60" t="s">
        <v>973</v>
      </c>
      <c r="N124" s="71" t="s">
        <v>894</v>
      </c>
      <c r="O124" s="45" t="s">
        <v>1057</v>
      </c>
      <c r="P124" s="68" t="e">
        <f>VLOOKUP(B124,#REF!,2,FALSE)</f>
        <v>#REF!</v>
      </c>
      <c r="Q124" s="68" t="e">
        <f>VLOOKUP(B124,#REF!,3,FALSE)</f>
        <v>#REF!</v>
      </c>
      <c r="R124" s="68" t="e">
        <f>VLOOKUP($W124,#REF!,2,FALSE)</f>
        <v>#REF!</v>
      </c>
      <c r="S124" s="73" t="e">
        <f>VLOOKUP($W124,#REF!,7,FALSE)</f>
        <v>#REF!</v>
      </c>
      <c r="U124" s="48">
        <v>1</v>
      </c>
      <c r="V124" s="57" t="e">
        <f>IF(ISNUMBER(U124),HLOOKUP(U124,#REF!,2,FALSE)*E124,"")</f>
        <v>#REF!</v>
      </c>
      <c r="W124" s="48" t="s">
        <v>902</v>
      </c>
      <c r="X124" s="59">
        <v>45925</v>
      </c>
      <c r="AA124" s="45"/>
      <c r="AB124" s="45"/>
    </row>
    <row r="125" spans="1:28" x14ac:dyDescent="0.25">
      <c r="A125" s="48">
        <v>1121</v>
      </c>
      <c r="B125" s="64" t="s">
        <v>418</v>
      </c>
      <c r="C125" s="45" t="s">
        <v>195</v>
      </c>
      <c r="D125" s="65" t="s">
        <v>383</v>
      </c>
      <c r="E125" s="45">
        <v>0</v>
      </c>
      <c r="F125" s="46" t="s">
        <v>760</v>
      </c>
      <c r="G125" s="47" t="s">
        <v>169</v>
      </c>
      <c r="I125" s="45" t="s">
        <v>218</v>
      </c>
      <c r="J125" s="45" t="s">
        <v>193</v>
      </c>
      <c r="M125" s="60" t="s">
        <v>981</v>
      </c>
      <c r="N125" s="71" t="s">
        <v>894</v>
      </c>
      <c r="O125" s="45" t="s">
        <v>1057</v>
      </c>
      <c r="P125" s="68" t="e">
        <f>VLOOKUP(B125,#REF!,2,FALSE)</f>
        <v>#REF!</v>
      </c>
      <c r="Q125" s="68" t="e">
        <f>VLOOKUP(B125,#REF!,3,FALSE)</f>
        <v>#REF!</v>
      </c>
      <c r="R125" s="68" t="e">
        <f>VLOOKUP($W125,#REF!,2,FALSE)</f>
        <v>#REF!</v>
      </c>
      <c r="S125" s="73" t="e">
        <f>VLOOKUP($W125,#REF!,7,FALSE)</f>
        <v>#REF!</v>
      </c>
      <c r="U125" s="48">
        <v>0</v>
      </c>
      <c r="V125" s="57" t="e">
        <f>IF(ISNUMBER(U125),HLOOKUP(U125,#REF!,2,FALSE)*E125,"")</f>
        <v>#REF!</v>
      </c>
      <c r="W125" s="48" t="s">
        <v>902</v>
      </c>
      <c r="X125" s="59">
        <v>45925</v>
      </c>
      <c r="AA125" s="45"/>
      <c r="AB125" s="45"/>
    </row>
    <row r="126" spans="1:28" x14ac:dyDescent="0.25">
      <c r="A126" s="48">
        <v>1122</v>
      </c>
      <c r="B126" s="64" t="s">
        <v>418</v>
      </c>
      <c r="C126" s="45" t="s">
        <v>195</v>
      </c>
      <c r="D126" s="65" t="s">
        <v>384</v>
      </c>
      <c r="E126" s="45">
        <v>0</v>
      </c>
      <c r="F126" s="46" t="s">
        <v>760</v>
      </c>
      <c r="G126" s="47" t="s">
        <v>169</v>
      </c>
      <c r="I126" s="45" t="s">
        <v>218</v>
      </c>
      <c r="J126" s="45" t="s">
        <v>193</v>
      </c>
      <c r="M126" s="60" t="s">
        <v>974</v>
      </c>
      <c r="N126" s="71" t="s">
        <v>894</v>
      </c>
      <c r="O126" s="45" t="s">
        <v>1057</v>
      </c>
      <c r="P126" s="68" t="e">
        <f>VLOOKUP(B126,#REF!,2,FALSE)</f>
        <v>#REF!</v>
      </c>
      <c r="Q126" s="68" t="e">
        <f>VLOOKUP(B126,#REF!,3,FALSE)</f>
        <v>#REF!</v>
      </c>
      <c r="R126" s="68" t="e">
        <f>VLOOKUP($W126,#REF!,2,FALSE)</f>
        <v>#REF!</v>
      </c>
      <c r="S126" s="73" t="e">
        <f>VLOOKUP($W126,#REF!,7,FALSE)</f>
        <v>#REF!</v>
      </c>
      <c r="U126" s="48">
        <v>0</v>
      </c>
      <c r="V126" s="57" t="e">
        <f>IF(ISNUMBER(U126),HLOOKUP(U126,#REF!,2,FALSE)*E126,"")</f>
        <v>#REF!</v>
      </c>
      <c r="W126" s="48" t="s">
        <v>902</v>
      </c>
      <c r="X126" s="59">
        <v>45925</v>
      </c>
      <c r="AA126" s="45"/>
      <c r="AB126" s="45"/>
    </row>
    <row r="127" spans="1:28" x14ac:dyDescent="0.25">
      <c r="A127" s="48">
        <v>1123</v>
      </c>
      <c r="B127" s="64" t="s">
        <v>418</v>
      </c>
      <c r="C127" s="45" t="s">
        <v>195</v>
      </c>
      <c r="D127" s="65" t="s">
        <v>385</v>
      </c>
      <c r="E127" s="45">
        <v>0</v>
      </c>
      <c r="F127" s="46" t="s">
        <v>760</v>
      </c>
      <c r="G127" s="47" t="s">
        <v>169</v>
      </c>
      <c r="I127" s="45" t="s">
        <v>218</v>
      </c>
      <c r="J127" s="45" t="s">
        <v>193</v>
      </c>
      <c r="M127" s="60" t="s">
        <v>981</v>
      </c>
      <c r="N127" s="71" t="s">
        <v>894</v>
      </c>
      <c r="O127" s="45" t="s">
        <v>1057</v>
      </c>
      <c r="P127" s="68" t="e">
        <f>VLOOKUP(B127,#REF!,2,FALSE)</f>
        <v>#REF!</v>
      </c>
      <c r="Q127" s="68" t="e">
        <f>VLOOKUP(B127,#REF!,3,FALSE)</f>
        <v>#REF!</v>
      </c>
      <c r="R127" s="68" t="e">
        <f>VLOOKUP($W127,#REF!,2,FALSE)</f>
        <v>#REF!</v>
      </c>
      <c r="S127" s="73" t="e">
        <f>VLOOKUP($W127,#REF!,7,FALSE)</f>
        <v>#REF!</v>
      </c>
      <c r="U127" s="48">
        <v>0</v>
      </c>
      <c r="V127" s="57" t="e">
        <f>IF(ISNUMBER(U127),HLOOKUP(U127,#REF!,2,FALSE)*E127,"")</f>
        <v>#REF!</v>
      </c>
      <c r="W127" s="48" t="s">
        <v>902</v>
      </c>
      <c r="X127" s="59">
        <v>45925</v>
      </c>
      <c r="AA127" s="45"/>
      <c r="AB127" s="45"/>
    </row>
    <row r="128" spans="1:28" ht="45" x14ac:dyDescent="0.25">
      <c r="A128" s="48">
        <v>1124</v>
      </c>
      <c r="B128" s="64" t="s">
        <v>418</v>
      </c>
      <c r="C128" s="45" t="s">
        <v>195</v>
      </c>
      <c r="D128" s="65" t="s">
        <v>386</v>
      </c>
      <c r="E128" s="45">
        <v>1</v>
      </c>
      <c r="F128" s="46" t="s">
        <v>760</v>
      </c>
      <c r="G128" s="47" t="s">
        <v>46</v>
      </c>
      <c r="I128" s="45" t="s">
        <v>218</v>
      </c>
      <c r="J128" s="45" t="s">
        <v>193</v>
      </c>
      <c r="L128" s="47" t="s">
        <v>1083</v>
      </c>
      <c r="M128" s="60" t="s">
        <v>975</v>
      </c>
      <c r="N128" s="71" t="s">
        <v>894</v>
      </c>
      <c r="O128" s="45" t="s">
        <v>1057</v>
      </c>
      <c r="P128" s="68" t="e">
        <f>VLOOKUP(B128,#REF!,2,FALSE)</f>
        <v>#REF!</v>
      </c>
      <c r="Q128" s="68" t="e">
        <f>VLOOKUP(B128,#REF!,3,FALSE)</f>
        <v>#REF!</v>
      </c>
      <c r="R128" s="68" t="e">
        <f>VLOOKUP($W128,#REF!,2,FALSE)</f>
        <v>#REF!</v>
      </c>
      <c r="S128" s="73" t="e">
        <f>VLOOKUP($W128,#REF!,7,FALSE)</f>
        <v>#REF!</v>
      </c>
      <c r="U128" s="48">
        <v>1</v>
      </c>
      <c r="V128" s="57" t="e">
        <f>IF(ISNUMBER(U128),HLOOKUP(U128,#REF!,2,FALSE)*E128,"")</f>
        <v>#REF!</v>
      </c>
      <c r="W128" s="48" t="s">
        <v>902</v>
      </c>
      <c r="X128" s="59">
        <v>45925</v>
      </c>
      <c r="AA128" s="45"/>
      <c r="AB128" s="45"/>
    </row>
    <row r="129" spans="1:28" ht="45" x14ac:dyDescent="0.25">
      <c r="A129" s="48">
        <v>1125</v>
      </c>
      <c r="B129" s="64" t="s">
        <v>418</v>
      </c>
      <c r="C129" s="45" t="s">
        <v>195</v>
      </c>
      <c r="D129" s="65" t="s">
        <v>387</v>
      </c>
      <c r="E129" s="45">
        <v>0</v>
      </c>
      <c r="F129" s="46" t="s">
        <v>760</v>
      </c>
      <c r="G129" s="47" t="s">
        <v>169</v>
      </c>
      <c r="I129" s="45" t="s">
        <v>218</v>
      </c>
      <c r="J129" s="45" t="s">
        <v>193</v>
      </c>
      <c r="M129" s="60" t="s">
        <v>982</v>
      </c>
      <c r="N129" s="71" t="s">
        <v>894</v>
      </c>
      <c r="O129" s="45" t="s">
        <v>1057</v>
      </c>
      <c r="P129" s="68" t="e">
        <f>VLOOKUP(B129,#REF!,2,FALSE)</f>
        <v>#REF!</v>
      </c>
      <c r="Q129" s="68" t="e">
        <f>VLOOKUP(B129,#REF!,3,FALSE)</f>
        <v>#REF!</v>
      </c>
      <c r="R129" s="68" t="e">
        <f>VLOOKUP($W129,#REF!,2,FALSE)</f>
        <v>#REF!</v>
      </c>
      <c r="S129" s="73" t="e">
        <f>VLOOKUP($W129,#REF!,7,FALSE)</f>
        <v>#REF!</v>
      </c>
      <c r="U129" s="48">
        <v>0</v>
      </c>
      <c r="V129" s="57" t="e">
        <f>IF(ISNUMBER(U129),HLOOKUP(U129,#REF!,2,FALSE)*E129,"")</f>
        <v>#REF!</v>
      </c>
      <c r="W129" s="48" t="s">
        <v>902</v>
      </c>
      <c r="X129" s="59">
        <v>45925</v>
      </c>
      <c r="AA129" s="45"/>
      <c r="AB129" s="45"/>
    </row>
    <row r="130" spans="1:28" ht="28.9" customHeight="1" x14ac:dyDescent="0.25">
      <c r="A130" s="48">
        <v>1126</v>
      </c>
      <c r="B130" s="64" t="s">
        <v>418</v>
      </c>
      <c r="C130" s="45" t="s">
        <v>398</v>
      </c>
      <c r="D130" s="65" t="s">
        <v>388</v>
      </c>
      <c r="E130" s="45">
        <v>0</v>
      </c>
      <c r="F130" s="46" t="s">
        <v>428</v>
      </c>
      <c r="G130" s="47" t="s">
        <v>169</v>
      </c>
      <c r="I130" s="45" t="s">
        <v>218</v>
      </c>
      <c r="M130" s="60" t="s">
        <v>941</v>
      </c>
      <c r="N130" s="45" t="s">
        <v>887</v>
      </c>
      <c r="O130" s="45" t="s">
        <v>1057</v>
      </c>
      <c r="P130" s="68" t="e">
        <f>VLOOKUP(B130,#REF!,2,FALSE)</f>
        <v>#REF!</v>
      </c>
      <c r="Q130" s="68" t="e">
        <f>VLOOKUP(B130,#REF!,3,FALSE)</f>
        <v>#REF!</v>
      </c>
      <c r="R130" s="68" t="e">
        <f>VLOOKUP($W130,#REF!,2,FALSE)</f>
        <v>#REF!</v>
      </c>
      <c r="S130" s="73" t="e">
        <f>VLOOKUP($W130,#REF!,7,FALSE)</f>
        <v>#REF!</v>
      </c>
      <c r="U130" s="48">
        <v>0</v>
      </c>
      <c r="V130" s="57" t="e">
        <f>IF(ISNUMBER(U130),HLOOKUP(U130,#REF!,2,FALSE)*E130,"")</f>
        <v>#REF!</v>
      </c>
      <c r="W130" s="48" t="s">
        <v>902</v>
      </c>
      <c r="X130" s="59">
        <v>45925</v>
      </c>
      <c r="AA130" s="45"/>
      <c r="AB130" s="45"/>
    </row>
    <row r="131" spans="1:28" ht="90" x14ac:dyDescent="0.25">
      <c r="A131" s="48">
        <v>1127</v>
      </c>
      <c r="B131" s="64" t="s">
        <v>418</v>
      </c>
      <c r="C131" s="45" t="s">
        <v>398</v>
      </c>
      <c r="D131" s="65" t="s">
        <v>389</v>
      </c>
      <c r="E131" s="45">
        <v>0</v>
      </c>
      <c r="F131" s="46" t="s">
        <v>428</v>
      </c>
      <c r="G131" s="47" t="s">
        <v>169</v>
      </c>
      <c r="I131" s="45" t="s">
        <v>218</v>
      </c>
      <c r="J131" s="45" t="s">
        <v>787</v>
      </c>
      <c r="L131" s="47" t="s">
        <v>994</v>
      </c>
      <c r="M131" s="60" t="s">
        <v>964</v>
      </c>
      <c r="N131" s="45" t="s">
        <v>887</v>
      </c>
      <c r="O131" s="45" t="s">
        <v>1057</v>
      </c>
      <c r="P131" s="68" t="e">
        <f>VLOOKUP(B131,#REF!,2,FALSE)</f>
        <v>#REF!</v>
      </c>
      <c r="Q131" s="68" t="e">
        <f>VLOOKUP(B131,#REF!,3,FALSE)</f>
        <v>#REF!</v>
      </c>
      <c r="R131" s="68" t="e">
        <f>VLOOKUP($W131,#REF!,2,FALSE)</f>
        <v>#REF!</v>
      </c>
      <c r="S131" s="73" t="e">
        <f>VLOOKUP($W131,#REF!,7,FALSE)</f>
        <v>#REF!</v>
      </c>
      <c r="T131" s="48">
        <v>7</v>
      </c>
      <c r="U131" s="48">
        <v>0</v>
      </c>
      <c r="V131" s="57" t="e">
        <f>IF(ISNUMBER(U131),HLOOKUP(U131,#REF!,2,FALSE)*E131,"")</f>
        <v>#REF!</v>
      </c>
      <c r="W131" s="48" t="s">
        <v>902</v>
      </c>
      <c r="X131" s="59">
        <v>45924</v>
      </c>
      <c r="AA131" s="45"/>
      <c r="AB131" s="45"/>
    </row>
    <row r="132" spans="1:28" x14ac:dyDescent="0.25">
      <c r="A132" s="48">
        <v>1128</v>
      </c>
      <c r="B132" s="64" t="s">
        <v>418</v>
      </c>
      <c r="C132" s="45" t="s">
        <v>398</v>
      </c>
      <c r="D132" s="65" t="s">
        <v>390</v>
      </c>
      <c r="E132" s="45">
        <v>0</v>
      </c>
      <c r="F132" s="46" t="s">
        <v>428</v>
      </c>
      <c r="G132" s="47" t="s">
        <v>169</v>
      </c>
      <c r="I132" s="45" t="s">
        <v>218</v>
      </c>
      <c r="M132" s="60" t="s">
        <v>941</v>
      </c>
      <c r="N132" s="45" t="s">
        <v>887</v>
      </c>
      <c r="O132" s="45" t="s">
        <v>1057</v>
      </c>
      <c r="P132" s="68" t="e">
        <f>VLOOKUP(B132,#REF!,2,FALSE)</f>
        <v>#REF!</v>
      </c>
      <c r="Q132" s="68" t="e">
        <f>VLOOKUP(B132,#REF!,3,FALSE)</f>
        <v>#REF!</v>
      </c>
      <c r="R132" s="68" t="e">
        <f>VLOOKUP($W132,#REF!,2,FALSE)</f>
        <v>#REF!</v>
      </c>
      <c r="S132" s="73" t="e">
        <f>VLOOKUP($W132,#REF!,7,FALSE)</f>
        <v>#REF!</v>
      </c>
      <c r="U132" s="48">
        <v>0</v>
      </c>
      <c r="V132" s="57" t="e">
        <f>IF(ISNUMBER(U132),HLOOKUP(U132,#REF!,2,FALSE)*E132,"")</f>
        <v>#REF!</v>
      </c>
      <c r="W132" s="48" t="s">
        <v>902</v>
      </c>
      <c r="X132" s="59">
        <v>45925</v>
      </c>
      <c r="AA132" s="45"/>
      <c r="AB132" s="45"/>
    </row>
    <row r="133" spans="1:28" x14ac:dyDescent="0.25">
      <c r="A133" s="48">
        <v>1129</v>
      </c>
      <c r="B133" s="64" t="s">
        <v>418</v>
      </c>
      <c r="C133" s="45" t="s">
        <v>398</v>
      </c>
      <c r="D133" s="65" t="s">
        <v>399</v>
      </c>
      <c r="E133" s="45">
        <v>0</v>
      </c>
      <c r="F133" s="46">
        <v>52</v>
      </c>
      <c r="G133" s="47" t="s">
        <v>400</v>
      </c>
      <c r="I133" s="45" t="s">
        <v>218</v>
      </c>
      <c r="M133" s="60" t="s">
        <v>948</v>
      </c>
      <c r="N133" s="45" t="s">
        <v>887</v>
      </c>
      <c r="O133" s="45" t="s">
        <v>1057</v>
      </c>
      <c r="P133" s="68" t="e">
        <f>VLOOKUP(B133,#REF!,2,FALSE)</f>
        <v>#REF!</v>
      </c>
      <c r="Q133" s="68" t="e">
        <f>VLOOKUP(B133,#REF!,3,FALSE)</f>
        <v>#REF!</v>
      </c>
      <c r="R133" s="68" t="e">
        <f>VLOOKUP($W133,#REF!,2,FALSE)</f>
        <v>#REF!</v>
      </c>
      <c r="S133" s="73" t="e">
        <f>VLOOKUP($W133,#REF!,7,FALSE)</f>
        <v>#REF!</v>
      </c>
      <c r="U133" s="48">
        <v>1</v>
      </c>
      <c r="V133" s="57" t="e">
        <f>IF(ISNUMBER(U133),HLOOKUP(U133,#REF!,2,FALSE)*E133,"")</f>
        <v>#REF!</v>
      </c>
      <c r="W133" s="48" t="s">
        <v>902</v>
      </c>
      <c r="X133" s="59">
        <v>45923</v>
      </c>
      <c r="AA133" s="45"/>
      <c r="AB133" s="45"/>
    </row>
    <row r="134" spans="1:28" x14ac:dyDescent="0.25">
      <c r="A134" s="48">
        <v>1130</v>
      </c>
      <c r="B134" s="64" t="s">
        <v>418</v>
      </c>
      <c r="C134" s="45" t="s">
        <v>398</v>
      </c>
      <c r="D134" s="65" t="s">
        <v>391</v>
      </c>
      <c r="E134" s="45">
        <v>1</v>
      </c>
      <c r="F134" s="46" t="s">
        <v>842</v>
      </c>
      <c r="G134" s="47" t="s">
        <v>46</v>
      </c>
      <c r="I134" s="45" t="s">
        <v>218</v>
      </c>
      <c r="J134" s="45" t="s">
        <v>221</v>
      </c>
      <c r="M134" s="60" t="s">
        <v>947</v>
      </c>
      <c r="N134" s="45" t="s">
        <v>887</v>
      </c>
      <c r="O134" s="45" t="s">
        <v>1057</v>
      </c>
      <c r="P134" s="68" t="e">
        <f>VLOOKUP(B134,#REF!,2,FALSE)</f>
        <v>#REF!</v>
      </c>
      <c r="Q134" s="68" t="e">
        <f>VLOOKUP(B134,#REF!,3,FALSE)</f>
        <v>#REF!</v>
      </c>
      <c r="R134" s="68" t="e">
        <f>VLOOKUP($W134,#REF!,2,FALSE)</f>
        <v>#REF!</v>
      </c>
      <c r="S134" s="73" t="e">
        <f>VLOOKUP($W134,#REF!,7,FALSE)</f>
        <v>#REF!</v>
      </c>
      <c r="U134" s="48">
        <v>2</v>
      </c>
      <c r="V134" s="57" t="e">
        <f>IF(ISNUMBER(U134),HLOOKUP(U134,#REF!,2,FALSE)*E134,"")</f>
        <v>#REF!</v>
      </c>
      <c r="W134" s="48" t="s">
        <v>902</v>
      </c>
      <c r="X134" s="59">
        <v>45919</v>
      </c>
      <c r="AA134" s="45"/>
      <c r="AB134" s="45"/>
    </row>
    <row r="135" spans="1:28" ht="30" x14ac:dyDescent="0.25">
      <c r="A135" s="48">
        <v>1131</v>
      </c>
      <c r="B135" s="64" t="s">
        <v>418</v>
      </c>
      <c r="C135" s="45" t="s">
        <v>398</v>
      </c>
      <c r="D135" s="65" t="s">
        <v>785</v>
      </c>
      <c r="E135" s="45">
        <v>0</v>
      </c>
      <c r="F135" s="46" t="s">
        <v>428</v>
      </c>
      <c r="G135" s="47" t="s">
        <v>169</v>
      </c>
      <c r="I135" s="45" t="s">
        <v>218</v>
      </c>
      <c r="M135" s="60" t="s">
        <v>890</v>
      </c>
      <c r="N135" s="45" t="s">
        <v>887</v>
      </c>
      <c r="O135" s="45" t="s">
        <v>1057</v>
      </c>
      <c r="P135" s="68" t="e">
        <f>VLOOKUP(B135,#REF!,2,FALSE)</f>
        <v>#REF!</v>
      </c>
      <c r="Q135" s="68" t="e">
        <f>VLOOKUP(B135,#REF!,3,FALSE)</f>
        <v>#REF!</v>
      </c>
      <c r="R135" s="68" t="e">
        <f>VLOOKUP($W135,#REF!,2,FALSE)</f>
        <v>#REF!</v>
      </c>
      <c r="S135" s="73" t="e">
        <f>VLOOKUP($W135,#REF!,7,FALSE)</f>
        <v>#REF!</v>
      </c>
      <c r="U135" s="48">
        <v>0</v>
      </c>
      <c r="V135" s="57" t="e">
        <f>IF(ISNUMBER(U135),HLOOKUP(U135,#REF!,2,FALSE)*E135,"")</f>
        <v>#REF!</v>
      </c>
      <c r="W135" s="48" t="s">
        <v>902</v>
      </c>
      <c r="X135" s="59">
        <v>45919</v>
      </c>
      <c r="AA135" s="45"/>
      <c r="AB135" s="45"/>
    </row>
    <row r="136" spans="1:28" ht="60" x14ac:dyDescent="0.25">
      <c r="A136" s="48">
        <v>1132</v>
      </c>
      <c r="B136" s="64" t="s">
        <v>418</v>
      </c>
      <c r="C136" s="45" t="s">
        <v>401</v>
      </c>
      <c r="D136" s="65" t="s">
        <v>392</v>
      </c>
      <c r="E136" s="45">
        <v>1</v>
      </c>
      <c r="F136" s="46" t="s">
        <v>775</v>
      </c>
      <c r="G136" s="70" t="s">
        <v>1051</v>
      </c>
      <c r="I136" s="45" t="s">
        <v>218</v>
      </c>
      <c r="J136" s="45" t="s">
        <v>230</v>
      </c>
      <c r="M136" s="60" t="s">
        <v>977</v>
      </c>
      <c r="N136" s="71" t="s">
        <v>894</v>
      </c>
      <c r="O136" s="45" t="s">
        <v>1057</v>
      </c>
      <c r="P136" s="68" t="e">
        <f>VLOOKUP(B136,#REF!,2,FALSE)</f>
        <v>#REF!</v>
      </c>
      <c r="Q136" s="68" t="e">
        <f>VLOOKUP(B136,#REF!,3,FALSE)</f>
        <v>#REF!</v>
      </c>
      <c r="R136" s="68" t="e">
        <f>VLOOKUP($W136,#REF!,2,FALSE)</f>
        <v>#REF!</v>
      </c>
      <c r="S136" s="73" t="e">
        <f>VLOOKUP($W136,#REF!,7,FALSE)</f>
        <v>#REF!</v>
      </c>
      <c r="U136" s="48">
        <v>1</v>
      </c>
      <c r="V136" s="57" t="e">
        <f>IF(ISNUMBER(U136),HLOOKUP(U136,#REF!,2,FALSE)*E136,"")</f>
        <v>#REF!</v>
      </c>
      <c r="W136" s="48" t="s">
        <v>902</v>
      </c>
      <c r="X136" s="59">
        <v>45925</v>
      </c>
      <c r="AA136" s="45"/>
      <c r="AB136" s="45"/>
    </row>
    <row r="137" spans="1:28" ht="60" x14ac:dyDescent="0.25">
      <c r="A137" s="48">
        <v>1133</v>
      </c>
      <c r="B137" s="64" t="s">
        <v>418</v>
      </c>
      <c r="C137" s="45" t="s">
        <v>401</v>
      </c>
      <c r="D137" s="65" t="s">
        <v>393</v>
      </c>
      <c r="E137" s="45">
        <v>0</v>
      </c>
      <c r="F137" s="46" t="s">
        <v>775</v>
      </c>
      <c r="G137" s="47" t="s">
        <v>169</v>
      </c>
      <c r="I137" s="45" t="s">
        <v>218</v>
      </c>
      <c r="J137" s="45" t="s">
        <v>230</v>
      </c>
      <c r="M137" s="60" t="s">
        <v>978</v>
      </c>
      <c r="N137" s="71" t="s">
        <v>894</v>
      </c>
      <c r="O137" s="45" t="s">
        <v>1057</v>
      </c>
      <c r="P137" s="68" t="e">
        <f>VLOOKUP(B137,#REF!,2,FALSE)</f>
        <v>#REF!</v>
      </c>
      <c r="Q137" s="68" t="e">
        <f>VLOOKUP(B137,#REF!,3,FALSE)</f>
        <v>#REF!</v>
      </c>
      <c r="R137" s="68" t="e">
        <f>VLOOKUP($W137,#REF!,2,FALSE)</f>
        <v>#REF!</v>
      </c>
      <c r="S137" s="73" t="e">
        <f>VLOOKUP($W137,#REF!,7,FALSE)</f>
        <v>#REF!</v>
      </c>
      <c r="U137" s="48">
        <v>0</v>
      </c>
      <c r="V137" s="57" t="e">
        <f>IF(ISNUMBER(U137),HLOOKUP(U137,#REF!,2,FALSE)*E137,"")</f>
        <v>#REF!</v>
      </c>
      <c r="W137" s="48" t="s">
        <v>902</v>
      </c>
      <c r="X137" s="59">
        <v>45925</v>
      </c>
      <c r="AA137" s="45"/>
      <c r="AB137" s="45"/>
    </row>
    <row r="138" spans="1:28" ht="45" x14ac:dyDescent="0.25">
      <c r="A138" s="48">
        <v>1134</v>
      </c>
      <c r="B138" s="64" t="s">
        <v>418</v>
      </c>
      <c r="C138" s="45" t="s">
        <v>401</v>
      </c>
      <c r="D138" s="65" t="s">
        <v>394</v>
      </c>
      <c r="E138" s="45">
        <v>1</v>
      </c>
      <c r="F138" s="46" t="s">
        <v>775</v>
      </c>
      <c r="G138" s="47" t="s">
        <v>1021</v>
      </c>
      <c r="I138" s="45" t="s">
        <v>218</v>
      </c>
      <c r="J138" s="45" t="s">
        <v>230</v>
      </c>
      <c r="M138" s="60" t="s">
        <v>976</v>
      </c>
      <c r="N138" s="71" t="s">
        <v>894</v>
      </c>
      <c r="O138" s="45" t="s">
        <v>1057</v>
      </c>
      <c r="P138" s="68" t="e">
        <f>VLOOKUP(B138,#REF!,2,FALSE)</f>
        <v>#REF!</v>
      </c>
      <c r="Q138" s="68" t="e">
        <f>VLOOKUP(B138,#REF!,3,FALSE)</f>
        <v>#REF!</v>
      </c>
      <c r="R138" s="68" t="e">
        <f>VLOOKUP($W138,#REF!,2,FALSE)</f>
        <v>#REF!</v>
      </c>
      <c r="S138" s="73" t="e">
        <f>VLOOKUP($W138,#REF!,7,FALSE)</f>
        <v>#REF!</v>
      </c>
      <c r="U138" s="48">
        <v>1</v>
      </c>
      <c r="V138" s="57" t="e">
        <f>IF(ISNUMBER(U138),HLOOKUP(U138,#REF!,2,FALSE)*E138,"")</f>
        <v>#REF!</v>
      </c>
      <c r="W138" s="48" t="s">
        <v>902</v>
      </c>
      <c r="X138" s="59">
        <v>45925</v>
      </c>
      <c r="AA138" s="45"/>
      <c r="AB138" s="45"/>
    </row>
    <row r="139" spans="1:28" x14ac:dyDescent="0.25">
      <c r="A139" s="48">
        <v>1135</v>
      </c>
      <c r="B139" s="64" t="s">
        <v>419</v>
      </c>
      <c r="C139" s="45" t="s">
        <v>422</v>
      </c>
      <c r="D139" s="62" t="s">
        <v>423</v>
      </c>
      <c r="E139" s="45">
        <v>0</v>
      </c>
      <c r="F139" s="46">
        <v>59</v>
      </c>
      <c r="G139" s="47" t="s">
        <v>400</v>
      </c>
      <c r="I139" s="45" t="s">
        <v>221</v>
      </c>
      <c r="L139" s="47" t="s">
        <v>229</v>
      </c>
      <c r="N139" s="45" t="s">
        <v>899</v>
      </c>
      <c r="O139" s="45" t="s">
        <v>895</v>
      </c>
      <c r="P139" s="68" t="e">
        <f>VLOOKUP(B139,#REF!,2,FALSE)</f>
        <v>#REF!</v>
      </c>
      <c r="Q139" s="68" t="e">
        <f>VLOOKUP(B139,#REF!,3,FALSE)</f>
        <v>#REF!</v>
      </c>
      <c r="R139" s="68" t="e">
        <f>VLOOKUP($W139,#REF!,2,FALSE)</f>
        <v>#REF!</v>
      </c>
      <c r="S139" s="73" t="e">
        <f>VLOOKUP($W139,#REF!,7,FALSE)</f>
        <v>#REF!</v>
      </c>
      <c r="U139" s="48">
        <v>1</v>
      </c>
      <c r="V139" s="57" t="e">
        <f>IF(ISNUMBER(U139),HLOOKUP(U139,#REF!,2,FALSE)*E139,"")</f>
        <v>#REF!</v>
      </c>
      <c r="W139" s="48" t="s">
        <v>904</v>
      </c>
      <c r="AA139" s="45"/>
      <c r="AB139" s="45"/>
    </row>
    <row r="140" spans="1:28" ht="30" x14ac:dyDescent="0.25">
      <c r="A140" s="48">
        <v>1136</v>
      </c>
      <c r="B140" s="64" t="s">
        <v>419</v>
      </c>
      <c r="C140" s="45" t="s">
        <v>422</v>
      </c>
      <c r="D140" s="62" t="s">
        <v>424</v>
      </c>
      <c r="E140" s="45">
        <v>0</v>
      </c>
      <c r="F140" s="46">
        <v>60</v>
      </c>
      <c r="G140" s="47" t="s">
        <v>425</v>
      </c>
      <c r="I140" s="45" t="s">
        <v>221</v>
      </c>
      <c r="N140" s="45" t="s">
        <v>899</v>
      </c>
      <c r="O140" s="45" t="s">
        <v>895</v>
      </c>
      <c r="P140" s="68" t="e">
        <f>VLOOKUP(B140,#REF!,2,FALSE)</f>
        <v>#REF!</v>
      </c>
      <c r="Q140" s="68" t="e">
        <f>VLOOKUP(B140,#REF!,3,FALSE)</f>
        <v>#REF!</v>
      </c>
      <c r="R140" s="68" t="e">
        <f>VLOOKUP($W140,#REF!,2,FALSE)</f>
        <v>#REF!</v>
      </c>
      <c r="S140" s="73" t="e">
        <f>VLOOKUP($W140,#REF!,7,FALSE)</f>
        <v>#REF!</v>
      </c>
      <c r="U140" s="48">
        <v>1</v>
      </c>
      <c r="V140" s="57" t="e">
        <f>IF(ISNUMBER(U140),HLOOKUP(U140,#REF!,2,FALSE)*E140,"")</f>
        <v>#REF!</v>
      </c>
      <c r="W140" s="48" t="s">
        <v>904</v>
      </c>
      <c r="AA140" s="45"/>
      <c r="AB140" s="45"/>
    </row>
    <row r="141" spans="1:28" ht="45" x14ac:dyDescent="0.25">
      <c r="A141" s="48">
        <v>1137</v>
      </c>
      <c r="B141" s="64" t="s">
        <v>427</v>
      </c>
      <c r="C141" s="45" t="s">
        <v>10</v>
      </c>
      <c r="D141" s="62" t="s">
        <v>1094</v>
      </c>
      <c r="E141" s="45">
        <v>1</v>
      </c>
      <c r="F141" s="46">
        <v>62</v>
      </c>
      <c r="G141" s="47" t="s">
        <v>259</v>
      </c>
      <c r="I141" s="45" t="s">
        <v>218</v>
      </c>
      <c r="L141" s="47" t="s">
        <v>430</v>
      </c>
      <c r="M141" s="47" t="s">
        <v>923</v>
      </c>
      <c r="N141" s="45" t="s">
        <v>894</v>
      </c>
      <c r="O141" s="45" t="s">
        <v>897</v>
      </c>
      <c r="P141" s="68" t="e">
        <f>VLOOKUP(B141,#REF!,2,FALSE)</f>
        <v>#REF!</v>
      </c>
      <c r="Q141" s="68" t="e">
        <f>VLOOKUP(B141,#REF!,3,FALSE)</f>
        <v>#REF!</v>
      </c>
      <c r="R141" s="68" t="e">
        <f>VLOOKUP($W141,#REF!,2,FALSE)</f>
        <v>#REF!</v>
      </c>
      <c r="S141" s="73" t="e">
        <f>VLOOKUP($W141,#REF!,7,FALSE)</f>
        <v>#REF!</v>
      </c>
      <c r="U141" s="48">
        <v>2</v>
      </c>
      <c r="V141" s="57" t="e">
        <f>IF(ISNUMBER(U141),HLOOKUP(U141,#REF!,2,FALSE)*E141,"")</f>
        <v>#REF!</v>
      </c>
      <c r="W141" s="48" t="s">
        <v>903</v>
      </c>
      <c r="X141" s="59">
        <v>45922</v>
      </c>
      <c r="AA141" s="45"/>
      <c r="AB141" s="45"/>
    </row>
    <row r="142" spans="1:28" x14ac:dyDescent="0.25">
      <c r="A142" s="48">
        <v>1138</v>
      </c>
      <c r="B142" s="64" t="s">
        <v>810</v>
      </c>
      <c r="C142" s="45" t="s">
        <v>836</v>
      </c>
      <c r="D142" s="62" t="s">
        <v>811</v>
      </c>
      <c r="E142" s="45">
        <v>1</v>
      </c>
      <c r="F142" s="46">
        <v>63</v>
      </c>
      <c r="G142" s="47" t="s">
        <v>46</v>
      </c>
      <c r="I142" s="45" t="s">
        <v>218</v>
      </c>
      <c r="N142" s="45" t="s">
        <v>899</v>
      </c>
      <c r="O142" s="45" t="s">
        <v>897</v>
      </c>
      <c r="P142" s="68" t="e">
        <f>VLOOKUP(B142,#REF!,2,FALSE)</f>
        <v>#REF!</v>
      </c>
      <c r="Q142" s="68" t="e">
        <f>VLOOKUP(B142,#REF!,3,FALSE)</f>
        <v>#REF!</v>
      </c>
      <c r="R142" s="68" t="e">
        <f>VLOOKUP($W142,#REF!,2,FALSE)</f>
        <v>#REF!</v>
      </c>
      <c r="S142" s="73" t="e">
        <f>VLOOKUP($W142,#REF!,7,FALSE)</f>
        <v>#REF!</v>
      </c>
      <c r="U142" s="48">
        <v>1</v>
      </c>
      <c r="V142" s="57" t="e">
        <f>IF(ISNUMBER(U142),HLOOKUP(U142,#REF!,2,FALSE)*E142,"")</f>
        <v>#REF!</v>
      </c>
      <c r="W142" s="48" t="s">
        <v>903</v>
      </c>
      <c r="AA142" s="45"/>
      <c r="AB142" s="45"/>
    </row>
    <row r="143" spans="1:28" x14ac:dyDescent="0.25">
      <c r="A143" s="48">
        <v>1139</v>
      </c>
      <c r="B143" s="64" t="s">
        <v>431</v>
      </c>
      <c r="C143" s="45" t="s">
        <v>170</v>
      </c>
      <c r="D143" s="62" t="s">
        <v>213</v>
      </c>
      <c r="E143" s="45">
        <v>0</v>
      </c>
      <c r="F143" s="46">
        <v>64</v>
      </c>
      <c r="G143" s="47" t="s">
        <v>169</v>
      </c>
      <c r="I143" s="45" t="s">
        <v>218</v>
      </c>
      <c r="L143" s="47" t="s">
        <v>213</v>
      </c>
      <c r="N143" s="45" t="s">
        <v>899</v>
      </c>
      <c r="O143" s="45" t="s">
        <v>895</v>
      </c>
      <c r="P143" s="68" t="e">
        <f>VLOOKUP(B143,#REF!,2,FALSE)</f>
        <v>#REF!</v>
      </c>
      <c r="Q143" s="68" t="e">
        <f>VLOOKUP(B143,#REF!,3,FALSE)</f>
        <v>#REF!</v>
      </c>
      <c r="R143" s="68" t="e">
        <f>VLOOKUP($W143,#REF!,2,FALSE)</f>
        <v>#REF!</v>
      </c>
      <c r="S143" s="73" t="e">
        <f>VLOOKUP($W143,#REF!,7,FALSE)</f>
        <v>#REF!</v>
      </c>
      <c r="U143" s="48">
        <v>0</v>
      </c>
      <c r="V143" s="57" t="e">
        <f>IF(ISNUMBER(U143),HLOOKUP(U143,#REF!,2,FALSE)*E143,"")</f>
        <v>#REF!</v>
      </c>
      <c r="W143" s="48" t="s">
        <v>904</v>
      </c>
      <c r="AA143" s="45"/>
      <c r="AB143" s="45"/>
    </row>
    <row r="144" spans="1:28" ht="87.6" customHeight="1" x14ac:dyDescent="0.25">
      <c r="A144" s="48">
        <v>1140</v>
      </c>
      <c r="B144" s="64" t="s">
        <v>435</v>
      </c>
      <c r="C144" s="45" t="s">
        <v>179</v>
      </c>
      <c r="D144" s="62" t="s">
        <v>436</v>
      </c>
      <c r="E144" s="45">
        <v>1</v>
      </c>
      <c r="F144" s="46">
        <v>74</v>
      </c>
      <c r="G144" s="47" t="s">
        <v>46</v>
      </c>
      <c r="I144" s="45" t="s">
        <v>219</v>
      </c>
      <c r="L144" s="47" t="s">
        <v>1111</v>
      </c>
      <c r="M144" s="60" t="s">
        <v>941</v>
      </c>
      <c r="N144" s="45" t="s">
        <v>887</v>
      </c>
      <c r="O144" s="45" t="s">
        <v>1057</v>
      </c>
      <c r="P144" s="68" t="e">
        <f>VLOOKUP(B144,#REF!,2,FALSE)</f>
        <v>#REF!</v>
      </c>
      <c r="Q144" s="68" t="e">
        <f>VLOOKUP(B144,#REF!,3,FALSE)</f>
        <v>#REF!</v>
      </c>
      <c r="R144" s="68" t="e">
        <f>VLOOKUP($W144,#REF!,2,FALSE)</f>
        <v>#REF!</v>
      </c>
      <c r="S144" s="73" t="e">
        <f>VLOOKUP($W144,#REF!,7,FALSE)</f>
        <v>#REF!</v>
      </c>
      <c r="T144" s="48">
        <v>5</v>
      </c>
      <c r="U144" s="48">
        <v>1</v>
      </c>
      <c r="V144" s="57" t="e">
        <f>IF(ISNUMBER(U144),HLOOKUP(U144,#REF!,2,FALSE)*E144,"")</f>
        <v>#REF!</v>
      </c>
      <c r="W144" s="48" t="s">
        <v>902</v>
      </c>
      <c r="X144" s="59">
        <v>45925</v>
      </c>
      <c r="AA144" s="45"/>
      <c r="AB144" s="45"/>
    </row>
    <row r="145" spans="1:28" ht="30" x14ac:dyDescent="0.25">
      <c r="A145" s="48">
        <v>1141</v>
      </c>
      <c r="B145" s="64" t="s">
        <v>435</v>
      </c>
      <c r="C145" s="45" t="s">
        <v>179</v>
      </c>
      <c r="D145" s="62" t="s">
        <v>437</v>
      </c>
      <c r="E145" s="45">
        <v>1</v>
      </c>
      <c r="F145" s="46">
        <v>74</v>
      </c>
      <c r="G145" s="47" t="s">
        <v>1055</v>
      </c>
      <c r="H145" s="47" t="s">
        <v>931</v>
      </c>
      <c r="I145" s="45" t="s">
        <v>219</v>
      </c>
      <c r="L145" s="47" t="s">
        <v>1052</v>
      </c>
      <c r="M145" s="60" t="s">
        <v>941</v>
      </c>
      <c r="N145" s="45" t="s">
        <v>887</v>
      </c>
      <c r="O145" s="45" t="s">
        <v>1057</v>
      </c>
      <c r="P145" s="68" t="e">
        <f>VLOOKUP(B145,#REF!,2,FALSE)</f>
        <v>#REF!</v>
      </c>
      <c r="Q145" s="68" t="e">
        <f>VLOOKUP(B145,#REF!,3,FALSE)</f>
        <v>#REF!</v>
      </c>
      <c r="R145" s="68" t="e">
        <f>VLOOKUP($W145,#REF!,2,FALSE)</f>
        <v>#REF!</v>
      </c>
      <c r="S145" s="73" t="e">
        <f>VLOOKUP($W145,#REF!,7,FALSE)</f>
        <v>#REF!</v>
      </c>
      <c r="T145" s="48">
        <v>5</v>
      </c>
      <c r="U145" s="48">
        <v>1</v>
      </c>
      <c r="V145" s="57" t="e">
        <f>IF(ISNUMBER(U145),HLOOKUP(U145,#REF!,2,FALSE)*E145,"")</f>
        <v>#REF!</v>
      </c>
      <c r="W145" s="48" t="s">
        <v>902</v>
      </c>
      <c r="X145" s="59">
        <v>45925</v>
      </c>
      <c r="AA145" s="45"/>
      <c r="AB145" s="45"/>
    </row>
    <row r="146" spans="1:28" ht="30" x14ac:dyDescent="0.25">
      <c r="A146" s="48">
        <v>1142</v>
      </c>
      <c r="B146" s="64" t="s">
        <v>435</v>
      </c>
      <c r="C146" s="45" t="s">
        <v>179</v>
      </c>
      <c r="D146" s="62" t="s">
        <v>438</v>
      </c>
      <c r="E146" s="45">
        <v>1</v>
      </c>
      <c r="F146" s="46">
        <v>74</v>
      </c>
      <c r="G146" s="47" t="s">
        <v>1022</v>
      </c>
      <c r="I146" s="45" t="s">
        <v>219</v>
      </c>
      <c r="M146" s="60" t="s">
        <v>941</v>
      </c>
      <c r="N146" s="45" t="s">
        <v>887</v>
      </c>
      <c r="O146" s="45" t="s">
        <v>1057</v>
      </c>
      <c r="P146" s="68" t="e">
        <f>VLOOKUP(B146,#REF!,2,FALSE)</f>
        <v>#REF!</v>
      </c>
      <c r="Q146" s="68" t="e">
        <f>VLOOKUP(B146,#REF!,3,FALSE)</f>
        <v>#REF!</v>
      </c>
      <c r="R146" s="68" t="e">
        <f>VLOOKUP($W146,#REF!,2,FALSE)</f>
        <v>#REF!</v>
      </c>
      <c r="S146" s="73" t="e">
        <f>VLOOKUP($W146,#REF!,7,FALSE)</f>
        <v>#REF!</v>
      </c>
      <c r="T146" s="48">
        <v>5</v>
      </c>
      <c r="U146" s="48">
        <v>1</v>
      </c>
      <c r="V146" s="57" t="e">
        <f>IF(ISNUMBER(U146),HLOOKUP(U146,#REF!,2,FALSE)*E146,"")</f>
        <v>#REF!</v>
      </c>
      <c r="W146" s="48" t="s">
        <v>902</v>
      </c>
      <c r="X146" s="59">
        <v>45925</v>
      </c>
      <c r="AA146" s="45"/>
      <c r="AB146" s="45"/>
    </row>
    <row r="147" spans="1:28" ht="30" x14ac:dyDescent="0.25">
      <c r="A147" s="48">
        <v>1143</v>
      </c>
      <c r="B147" s="64" t="s">
        <v>435</v>
      </c>
      <c r="C147" s="45" t="s">
        <v>179</v>
      </c>
      <c r="D147" s="62" t="s">
        <v>439</v>
      </c>
      <c r="E147" s="45">
        <v>0</v>
      </c>
      <c r="F147" s="46">
        <v>74</v>
      </c>
      <c r="G147" s="47" t="s">
        <v>1023</v>
      </c>
      <c r="I147" s="45" t="s">
        <v>219</v>
      </c>
      <c r="M147" s="60" t="s">
        <v>949</v>
      </c>
      <c r="N147" s="45" t="s">
        <v>887</v>
      </c>
      <c r="O147" s="45" t="s">
        <v>1057</v>
      </c>
      <c r="P147" s="68" t="e">
        <f>VLOOKUP(B147,#REF!,2,FALSE)</f>
        <v>#REF!</v>
      </c>
      <c r="Q147" s="68" t="e">
        <f>VLOOKUP(B147,#REF!,3,FALSE)</f>
        <v>#REF!</v>
      </c>
      <c r="R147" s="68" t="e">
        <f>VLOOKUP($W147,#REF!,2,FALSE)</f>
        <v>#REF!</v>
      </c>
      <c r="S147" s="73" t="e">
        <f>VLOOKUP($W147,#REF!,7,FALSE)</f>
        <v>#REF!</v>
      </c>
      <c r="T147" s="48">
        <v>5</v>
      </c>
      <c r="U147" s="48">
        <v>0</v>
      </c>
      <c r="V147" s="57" t="e">
        <f>IF(ISNUMBER(U147),HLOOKUP(U147,#REF!,2,FALSE)*E147,"")</f>
        <v>#REF!</v>
      </c>
      <c r="W147" s="48" t="s">
        <v>902</v>
      </c>
      <c r="X147" s="59">
        <v>45925</v>
      </c>
      <c r="AA147" s="45"/>
      <c r="AB147" s="45"/>
    </row>
    <row r="148" spans="1:28" ht="90" x14ac:dyDescent="0.25">
      <c r="A148" s="48">
        <v>1144</v>
      </c>
      <c r="B148" s="64" t="s">
        <v>435</v>
      </c>
      <c r="C148" s="45" t="s">
        <v>179</v>
      </c>
      <c r="D148" s="62" t="s">
        <v>440</v>
      </c>
      <c r="E148" s="45">
        <v>1</v>
      </c>
      <c r="F148" s="46">
        <v>74</v>
      </c>
      <c r="G148" s="47" t="s">
        <v>462</v>
      </c>
      <c r="I148" s="45" t="s">
        <v>219</v>
      </c>
      <c r="L148" s="47" t="s">
        <v>456</v>
      </c>
      <c r="M148" s="60" t="s">
        <v>983</v>
      </c>
      <c r="N148" s="71" t="s">
        <v>894</v>
      </c>
      <c r="O148" s="45" t="s">
        <v>1057</v>
      </c>
      <c r="P148" s="68" t="e">
        <f>VLOOKUP(B148,#REF!,2,FALSE)</f>
        <v>#REF!</v>
      </c>
      <c r="Q148" s="68" t="e">
        <f>VLOOKUP(B148,#REF!,3,FALSE)</f>
        <v>#REF!</v>
      </c>
      <c r="R148" s="68" t="e">
        <f>VLOOKUP($W148,#REF!,2,FALSE)</f>
        <v>#REF!</v>
      </c>
      <c r="S148" s="73" t="e">
        <f>VLOOKUP($W148,#REF!,7,FALSE)</f>
        <v>#REF!</v>
      </c>
      <c r="T148" s="48">
        <v>5</v>
      </c>
      <c r="U148" s="48">
        <v>1</v>
      </c>
      <c r="V148" s="57" t="e">
        <f>IF(ISNUMBER(U148),HLOOKUP(U148,#REF!,2,FALSE)*E148,"")</f>
        <v>#REF!</v>
      </c>
      <c r="W148" s="48" t="s">
        <v>902</v>
      </c>
      <c r="X148" s="59">
        <v>45925</v>
      </c>
      <c r="AA148" s="45"/>
      <c r="AB148" s="45"/>
    </row>
    <row r="149" spans="1:28" x14ac:dyDescent="0.25">
      <c r="A149" s="48">
        <v>1145</v>
      </c>
      <c r="B149" s="64" t="s">
        <v>435</v>
      </c>
      <c r="C149" s="45" t="s">
        <v>179</v>
      </c>
      <c r="D149" s="62" t="s">
        <v>441</v>
      </c>
      <c r="E149" s="45">
        <v>0</v>
      </c>
      <c r="F149" s="46">
        <v>74</v>
      </c>
      <c r="G149" s="47" t="s">
        <v>169</v>
      </c>
      <c r="I149" s="45" t="s">
        <v>219</v>
      </c>
      <c r="L149" s="47" t="s">
        <v>456</v>
      </c>
      <c r="M149" s="60" t="s">
        <v>950</v>
      </c>
      <c r="N149" s="45" t="s">
        <v>887</v>
      </c>
      <c r="O149" s="45" t="s">
        <v>1057</v>
      </c>
      <c r="P149" s="68" t="e">
        <f>VLOOKUP(B149,#REF!,2,FALSE)</f>
        <v>#REF!</v>
      </c>
      <c r="Q149" s="68" t="e">
        <f>VLOOKUP(B149,#REF!,3,FALSE)</f>
        <v>#REF!</v>
      </c>
      <c r="R149" s="68" t="e">
        <f>VLOOKUP($W149,#REF!,2,FALSE)</f>
        <v>#REF!</v>
      </c>
      <c r="S149" s="73" t="e">
        <f>VLOOKUP($W149,#REF!,7,FALSE)</f>
        <v>#REF!</v>
      </c>
      <c r="T149" s="48">
        <v>5</v>
      </c>
      <c r="U149" s="48">
        <v>0</v>
      </c>
      <c r="V149" s="57" t="e">
        <f>IF(ISNUMBER(U149),HLOOKUP(U149,#REF!,2,FALSE)*E149,"")</f>
        <v>#REF!</v>
      </c>
      <c r="W149" s="48" t="s">
        <v>902</v>
      </c>
      <c r="X149" s="59">
        <v>45925</v>
      </c>
      <c r="AA149" s="45"/>
      <c r="AB149" s="45"/>
    </row>
    <row r="150" spans="1:28" ht="135" x14ac:dyDescent="0.25">
      <c r="A150" s="48">
        <v>1146</v>
      </c>
      <c r="B150" s="64" t="s">
        <v>435</v>
      </c>
      <c r="C150" s="45" t="s">
        <v>179</v>
      </c>
      <c r="D150" s="62" t="s">
        <v>442</v>
      </c>
      <c r="E150" s="45">
        <v>1</v>
      </c>
      <c r="F150" s="46" t="s">
        <v>761</v>
      </c>
      <c r="G150" s="47" t="s">
        <v>462</v>
      </c>
      <c r="I150" s="45" t="s">
        <v>219</v>
      </c>
      <c r="J150" s="45" t="s">
        <v>218</v>
      </c>
      <c r="L150" s="24" t="s">
        <v>984</v>
      </c>
      <c r="M150" s="70" t="s">
        <v>1095</v>
      </c>
      <c r="N150" s="71" t="s">
        <v>894</v>
      </c>
      <c r="O150" s="45" t="s">
        <v>1057</v>
      </c>
      <c r="P150" s="68" t="e">
        <f>VLOOKUP(B150,#REF!,2,FALSE)</f>
        <v>#REF!</v>
      </c>
      <c r="Q150" s="68" t="e">
        <f>VLOOKUP(B150,#REF!,3,FALSE)</f>
        <v>#REF!</v>
      </c>
      <c r="R150" s="68" t="e">
        <f>VLOOKUP($W150,#REF!,2,FALSE)</f>
        <v>#REF!</v>
      </c>
      <c r="S150" s="73" t="e">
        <f>VLOOKUP($W150,#REF!,7,FALSE)</f>
        <v>#REF!</v>
      </c>
      <c r="T150" s="48">
        <v>5</v>
      </c>
      <c r="U150" s="48">
        <v>1</v>
      </c>
      <c r="V150" s="57" t="e">
        <f>IF(ISNUMBER(U150),HLOOKUP(U150,#REF!,2,FALSE)*E150,"")</f>
        <v>#REF!</v>
      </c>
      <c r="W150" s="48" t="s">
        <v>902</v>
      </c>
      <c r="X150" s="59">
        <v>45925</v>
      </c>
      <c r="AA150" s="45"/>
      <c r="AB150" s="45"/>
    </row>
    <row r="151" spans="1:28" x14ac:dyDescent="0.25">
      <c r="A151" s="48">
        <v>1147</v>
      </c>
      <c r="B151" s="64" t="s">
        <v>435</v>
      </c>
      <c r="C151" s="45" t="s">
        <v>179</v>
      </c>
      <c r="D151" s="62" t="s">
        <v>571</v>
      </c>
      <c r="E151" s="45">
        <v>0</v>
      </c>
      <c r="F151" s="46">
        <v>74</v>
      </c>
      <c r="G151" s="47" t="s">
        <v>169</v>
      </c>
      <c r="I151" s="45" t="s">
        <v>219</v>
      </c>
      <c r="M151" s="60" t="s">
        <v>953</v>
      </c>
      <c r="N151" s="45" t="s">
        <v>887</v>
      </c>
      <c r="O151" s="45" t="s">
        <v>1057</v>
      </c>
      <c r="P151" s="68" t="e">
        <f>VLOOKUP(B151,#REF!,2,FALSE)</f>
        <v>#REF!</v>
      </c>
      <c r="Q151" s="68" t="e">
        <f>VLOOKUP(B151,#REF!,3,FALSE)</f>
        <v>#REF!</v>
      </c>
      <c r="R151" s="68" t="e">
        <f>VLOOKUP($W151,#REF!,2,FALSE)</f>
        <v>#REF!</v>
      </c>
      <c r="S151" s="73" t="e">
        <f>VLOOKUP($W151,#REF!,7,FALSE)</f>
        <v>#REF!</v>
      </c>
      <c r="T151" s="48">
        <v>5</v>
      </c>
      <c r="U151" s="48">
        <v>0</v>
      </c>
      <c r="V151" s="57" t="e">
        <f>IF(ISNUMBER(U151),HLOOKUP(U151,#REF!,2,FALSE)*E151,"")</f>
        <v>#REF!</v>
      </c>
      <c r="W151" s="48" t="s">
        <v>902</v>
      </c>
      <c r="X151" s="59">
        <v>45925</v>
      </c>
      <c r="AA151" s="45"/>
      <c r="AB151" s="45"/>
    </row>
    <row r="152" spans="1:28" ht="30" x14ac:dyDescent="0.25">
      <c r="A152" s="48">
        <v>1148</v>
      </c>
      <c r="B152" s="64" t="s">
        <v>435</v>
      </c>
      <c r="C152" s="45" t="s">
        <v>179</v>
      </c>
      <c r="D152" s="62" t="s">
        <v>443</v>
      </c>
      <c r="E152" s="45">
        <v>1</v>
      </c>
      <c r="F152" s="46">
        <v>74</v>
      </c>
      <c r="G152" s="47" t="s">
        <v>1024</v>
      </c>
      <c r="I152" s="45" t="s">
        <v>219</v>
      </c>
      <c r="M152" s="60" t="s">
        <v>941</v>
      </c>
      <c r="N152" s="45" t="s">
        <v>887</v>
      </c>
      <c r="O152" s="45" t="s">
        <v>1057</v>
      </c>
      <c r="P152" s="68" t="e">
        <f>VLOOKUP(B152,#REF!,2,FALSE)</f>
        <v>#REF!</v>
      </c>
      <c r="Q152" s="68" t="e">
        <f>VLOOKUP(B152,#REF!,3,FALSE)</f>
        <v>#REF!</v>
      </c>
      <c r="R152" s="68" t="e">
        <f>VLOOKUP($W152,#REF!,2,FALSE)</f>
        <v>#REF!</v>
      </c>
      <c r="S152" s="73" t="e">
        <f>VLOOKUP($W152,#REF!,7,FALSE)</f>
        <v>#REF!</v>
      </c>
      <c r="T152" s="48">
        <v>5</v>
      </c>
      <c r="U152" s="48">
        <v>1</v>
      </c>
      <c r="V152" s="57" t="e">
        <f>IF(ISNUMBER(U152),HLOOKUP(U152,#REF!,2,FALSE)*E152,"")</f>
        <v>#REF!</v>
      </c>
      <c r="W152" s="48" t="s">
        <v>902</v>
      </c>
      <c r="X152" s="59">
        <v>45925</v>
      </c>
      <c r="AA152" s="45"/>
      <c r="AB152" s="45"/>
    </row>
    <row r="153" spans="1:28" x14ac:dyDescent="0.25">
      <c r="A153" s="48">
        <v>1149</v>
      </c>
      <c r="B153" s="64" t="s">
        <v>435</v>
      </c>
      <c r="C153" s="45" t="s">
        <v>179</v>
      </c>
      <c r="D153" s="62" t="s">
        <v>444</v>
      </c>
      <c r="E153" s="45">
        <v>0</v>
      </c>
      <c r="F153" s="46">
        <v>74</v>
      </c>
      <c r="G153" s="47" t="s">
        <v>169</v>
      </c>
      <c r="I153" s="45" t="s">
        <v>219</v>
      </c>
      <c r="M153" s="60" t="s">
        <v>979</v>
      </c>
      <c r="N153" s="71" t="s">
        <v>894</v>
      </c>
      <c r="O153" s="45" t="s">
        <v>1057</v>
      </c>
      <c r="P153" s="68" t="e">
        <f>VLOOKUP(B153,#REF!,2,FALSE)</f>
        <v>#REF!</v>
      </c>
      <c r="Q153" s="68" t="e">
        <f>VLOOKUP(B153,#REF!,3,FALSE)</f>
        <v>#REF!</v>
      </c>
      <c r="R153" s="68" t="e">
        <f>VLOOKUP($W153,#REF!,2,FALSE)</f>
        <v>#REF!</v>
      </c>
      <c r="S153" s="73" t="e">
        <f>VLOOKUP($W153,#REF!,7,FALSE)</f>
        <v>#REF!</v>
      </c>
      <c r="T153" s="48">
        <v>5</v>
      </c>
      <c r="U153" s="48">
        <v>0</v>
      </c>
      <c r="V153" s="57" t="e">
        <f>IF(ISNUMBER(U153),HLOOKUP(U153,#REF!,2,FALSE)*E153,"")</f>
        <v>#REF!</v>
      </c>
      <c r="W153" s="48" t="s">
        <v>902</v>
      </c>
      <c r="X153" s="59">
        <v>45925</v>
      </c>
      <c r="AA153" s="45"/>
      <c r="AB153" s="45"/>
    </row>
    <row r="154" spans="1:28" ht="60" x14ac:dyDescent="0.25">
      <c r="A154" s="48">
        <v>1150</v>
      </c>
      <c r="B154" s="64" t="s">
        <v>435</v>
      </c>
      <c r="C154" s="45" t="s">
        <v>179</v>
      </c>
      <c r="D154" s="62" t="s">
        <v>445</v>
      </c>
      <c r="E154" s="45">
        <v>1</v>
      </c>
      <c r="F154" s="46" t="s">
        <v>761</v>
      </c>
      <c r="G154" s="47" t="s">
        <v>1025</v>
      </c>
      <c r="I154" s="45" t="s">
        <v>219</v>
      </c>
      <c r="L154" s="70" t="s">
        <v>985</v>
      </c>
      <c r="M154" s="70" t="s">
        <v>952</v>
      </c>
      <c r="N154" s="71" t="s">
        <v>894</v>
      </c>
      <c r="O154" s="45" t="s">
        <v>1057</v>
      </c>
      <c r="P154" s="68" t="e">
        <f>VLOOKUP(B154,#REF!,2,FALSE)</f>
        <v>#REF!</v>
      </c>
      <c r="Q154" s="68" t="e">
        <f>VLOOKUP(B154,#REF!,3,FALSE)</f>
        <v>#REF!</v>
      </c>
      <c r="R154" s="68" t="e">
        <f>VLOOKUP($W154,#REF!,2,FALSE)</f>
        <v>#REF!</v>
      </c>
      <c r="S154" s="73" t="e">
        <f>VLOOKUP($W154,#REF!,7,FALSE)</f>
        <v>#REF!</v>
      </c>
      <c r="T154" s="48">
        <v>5</v>
      </c>
      <c r="U154" s="48">
        <v>1</v>
      </c>
      <c r="V154" s="57" t="e">
        <f>IF(ISNUMBER(U154),HLOOKUP(U154,#REF!,2,FALSE)*E154,"")</f>
        <v>#REF!</v>
      </c>
      <c r="W154" s="48" t="s">
        <v>902</v>
      </c>
      <c r="X154" s="59">
        <v>45925</v>
      </c>
      <c r="AA154" s="45"/>
      <c r="AB154" s="45"/>
    </row>
    <row r="155" spans="1:28" ht="317.45" customHeight="1" x14ac:dyDescent="0.25">
      <c r="A155" s="48">
        <v>1151</v>
      </c>
      <c r="B155" s="64" t="s">
        <v>435</v>
      </c>
      <c r="C155" s="45" t="s">
        <v>179</v>
      </c>
      <c r="D155" s="62" t="s">
        <v>446</v>
      </c>
      <c r="E155" s="45">
        <v>1</v>
      </c>
      <c r="F155" s="46">
        <v>74</v>
      </c>
      <c r="G155" s="47" t="s">
        <v>1026</v>
      </c>
      <c r="I155" s="45" t="s">
        <v>219</v>
      </c>
      <c r="L155" s="80" t="s">
        <v>986</v>
      </c>
      <c r="M155" s="70" t="s">
        <v>987</v>
      </c>
      <c r="N155" s="71" t="s">
        <v>894</v>
      </c>
      <c r="O155" s="45" t="s">
        <v>1057</v>
      </c>
      <c r="P155" s="68" t="e">
        <f>VLOOKUP(B155,#REF!,2,FALSE)</f>
        <v>#REF!</v>
      </c>
      <c r="Q155" s="68" t="e">
        <f>VLOOKUP(B155,#REF!,3,FALSE)</f>
        <v>#REF!</v>
      </c>
      <c r="R155" s="68" t="e">
        <f>VLOOKUP($W155,#REF!,2,FALSE)</f>
        <v>#REF!</v>
      </c>
      <c r="S155" s="73" t="e">
        <f>VLOOKUP($W155,#REF!,7,FALSE)</f>
        <v>#REF!</v>
      </c>
      <c r="T155" s="48">
        <v>5</v>
      </c>
      <c r="U155" s="48">
        <v>1</v>
      </c>
      <c r="V155" s="57" t="e">
        <f>IF(ISNUMBER(U155),HLOOKUP(U155,#REF!,2,FALSE)*E155,"")</f>
        <v>#REF!</v>
      </c>
      <c r="W155" s="48" t="s">
        <v>902</v>
      </c>
      <c r="X155" s="59">
        <v>45922</v>
      </c>
      <c r="AA155" s="45"/>
      <c r="AB155" s="45"/>
    </row>
    <row r="156" spans="1:28" ht="30" x14ac:dyDescent="0.25">
      <c r="A156" s="48">
        <v>1152</v>
      </c>
      <c r="B156" s="64" t="s">
        <v>435</v>
      </c>
      <c r="C156" s="45" t="s">
        <v>179</v>
      </c>
      <c r="D156" s="62" t="s">
        <v>447</v>
      </c>
      <c r="E156" s="45">
        <v>1</v>
      </c>
      <c r="F156" s="46">
        <v>74</v>
      </c>
      <c r="G156" s="47" t="s">
        <v>988</v>
      </c>
      <c r="I156" s="45" t="s">
        <v>219</v>
      </c>
      <c r="M156" s="70" t="s">
        <v>951</v>
      </c>
      <c r="N156" s="71" t="s">
        <v>894</v>
      </c>
      <c r="O156" s="45" t="s">
        <v>1057</v>
      </c>
      <c r="P156" s="68" t="e">
        <f>VLOOKUP(B156,#REF!,2,FALSE)</f>
        <v>#REF!</v>
      </c>
      <c r="Q156" s="68" t="e">
        <f>VLOOKUP(B156,#REF!,3,FALSE)</f>
        <v>#REF!</v>
      </c>
      <c r="R156" s="68" t="e">
        <f>VLOOKUP($W156,#REF!,2,FALSE)</f>
        <v>#REF!</v>
      </c>
      <c r="S156" s="73" t="e">
        <f>VLOOKUP($W156,#REF!,7,FALSE)</f>
        <v>#REF!</v>
      </c>
      <c r="T156" s="48">
        <v>5</v>
      </c>
      <c r="U156" s="48">
        <v>1</v>
      </c>
      <c r="V156" s="57" t="e">
        <f>IF(ISNUMBER(U156),HLOOKUP(U156,#REF!,2,FALSE)*E156,"")</f>
        <v>#REF!</v>
      </c>
      <c r="W156" s="48" t="s">
        <v>902</v>
      </c>
      <c r="X156" s="59">
        <v>45925</v>
      </c>
      <c r="AA156" s="45"/>
      <c r="AB156" s="45"/>
    </row>
    <row r="157" spans="1:28" ht="45" x14ac:dyDescent="0.25">
      <c r="A157" s="69">
        <v>1306</v>
      </c>
      <c r="B157" s="71" t="s">
        <v>435</v>
      </c>
      <c r="C157" s="71" t="s">
        <v>179</v>
      </c>
      <c r="D157" s="72" t="s">
        <v>954</v>
      </c>
      <c r="E157" s="45">
        <v>1</v>
      </c>
      <c r="F157" s="46">
        <v>0</v>
      </c>
      <c r="G157" s="47" t="s">
        <v>462</v>
      </c>
      <c r="H157" s="47" t="s">
        <v>931</v>
      </c>
      <c r="I157" s="45" t="s">
        <v>219</v>
      </c>
      <c r="L157" s="47" t="s">
        <v>967</v>
      </c>
      <c r="M157" s="70" t="s">
        <v>955</v>
      </c>
      <c r="N157" s="71" t="s">
        <v>894</v>
      </c>
      <c r="O157" s="45" t="s">
        <v>1057</v>
      </c>
      <c r="P157" s="68"/>
      <c r="Q157" s="68"/>
      <c r="R157" s="68"/>
      <c r="S157" s="73"/>
      <c r="U157" s="48">
        <v>2</v>
      </c>
      <c r="V157" s="57" t="e">
        <f>IF(ISNUMBER(U157),HLOOKUP(U157,#REF!,2,FALSE)*E157,"")</f>
        <v>#REF!</v>
      </c>
      <c r="W157" s="69" t="s">
        <v>902</v>
      </c>
      <c r="X157" s="59">
        <v>45925</v>
      </c>
      <c r="AA157" s="45"/>
      <c r="AB157" s="45"/>
    </row>
    <row r="158" spans="1:28" ht="29.45" customHeight="1" x14ac:dyDescent="0.25">
      <c r="A158" s="48">
        <v>1153</v>
      </c>
      <c r="B158" s="64" t="s">
        <v>435</v>
      </c>
      <c r="C158" s="45" t="s">
        <v>179</v>
      </c>
      <c r="D158" s="62" t="s">
        <v>448</v>
      </c>
      <c r="E158" s="45">
        <v>1</v>
      </c>
      <c r="F158" s="46">
        <v>74</v>
      </c>
      <c r="G158" s="47" t="s">
        <v>462</v>
      </c>
      <c r="I158" s="45" t="s">
        <v>219</v>
      </c>
      <c r="L158" s="47" t="s">
        <v>463</v>
      </c>
      <c r="M158" s="70" t="s">
        <v>957</v>
      </c>
      <c r="N158" s="71" t="s">
        <v>894</v>
      </c>
      <c r="O158" s="45" t="s">
        <v>1057</v>
      </c>
      <c r="P158" s="68" t="e">
        <f>VLOOKUP(B158,#REF!,2,FALSE)</f>
        <v>#REF!</v>
      </c>
      <c r="Q158" s="68" t="e">
        <f>VLOOKUP(B158,#REF!,3,FALSE)</f>
        <v>#REF!</v>
      </c>
      <c r="R158" s="68" t="e">
        <f>VLOOKUP($W158,#REF!,2,FALSE)</f>
        <v>#REF!</v>
      </c>
      <c r="S158" s="73" t="e">
        <f>VLOOKUP($W158,#REF!,7,FALSE)</f>
        <v>#REF!</v>
      </c>
      <c r="T158" s="48">
        <v>5</v>
      </c>
      <c r="U158" s="48">
        <v>1</v>
      </c>
      <c r="V158" s="57" t="e">
        <f>IF(ISNUMBER(U158),HLOOKUP(U158,#REF!,2,FALSE)*E158,"")</f>
        <v>#REF!</v>
      </c>
      <c r="W158" s="48" t="s">
        <v>902</v>
      </c>
      <c r="X158" s="59">
        <v>45925</v>
      </c>
      <c r="AA158" s="45"/>
      <c r="AB158" s="45"/>
    </row>
    <row r="159" spans="1:28" ht="30" x14ac:dyDescent="0.25">
      <c r="A159" s="48">
        <v>1154</v>
      </c>
      <c r="B159" s="64" t="s">
        <v>435</v>
      </c>
      <c r="C159" s="45" t="s">
        <v>179</v>
      </c>
      <c r="D159" s="62" t="s">
        <v>449</v>
      </c>
      <c r="E159" s="45">
        <v>0</v>
      </c>
      <c r="F159" s="46">
        <v>74</v>
      </c>
      <c r="G159" s="47" t="s">
        <v>169</v>
      </c>
      <c r="I159" s="45" t="s">
        <v>219</v>
      </c>
      <c r="M159" s="70" t="s">
        <v>956</v>
      </c>
      <c r="N159" s="71" t="s">
        <v>894</v>
      </c>
      <c r="O159" s="45" t="s">
        <v>1057</v>
      </c>
      <c r="P159" s="68" t="e">
        <f>VLOOKUP(B159,#REF!,2,FALSE)</f>
        <v>#REF!</v>
      </c>
      <c r="Q159" s="68" t="e">
        <f>VLOOKUP(B159,#REF!,3,FALSE)</f>
        <v>#REF!</v>
      </c>
      <c r="R159" s="68" t="e">
        <f>VLOOKUP($W159,#REF!,2,FALSE)</f>
        <v>#REF!</v>
      </c>
      <c r="S159" s="73" t="e">
        <f>VLOOKUP($W159,#REF!,7,FALSE)</f>
        <v>#REF!</v>
      </c>
      <c r="T159" s="48">
        <v>5</v>
      </c>
      <c r="U159" s="48">
        <v>0</v>
      </c>
      <c r="V159" s="57" t="e">
        <f>IF(ISNUMBER(U159),HLOOKUP(U159,#REF!,2,FALSE)*E159,"")</f>
        <v>#REF!</v>
      </c>
      <c r="W159" s="48" t="s">
        <v>902</v>
      </c>
      <c r="X159" s="59">
        <v>45925</v>
      </c>
      <c r="AA159" s="45"/>
      <c r="AB159" s="45"/>
    </row>
    <row r="160" spans="1:28" x14ac:dyDescent="0.25">
      <c r="A160" s="48">
        <v>1156</v>
      </c>
      <c r="B160" s="64" t="s">
        <v>435</v>
      </c>
      <c r="C160" s="45" t="s">
        <v>179</v>
      </c>
      <c r="D160" s="62" t="s">
        <v>1096</v>
      </c>
      <c r="E160" s="45">
        <v>1</v>
      </c>
      <c r="F160" s="46">
        <v>74</v>
      </c>
      <c r="G160" s="47" t="s">
        <v>259</v>
      </c>
      <c r="I160" s="45" t="s">
        <v>219</v>
      </c>
      <c r="M160" s="70" t="s">
        <v>958</v>
      </c>
      <c r="N160" s="71" t="s">
        <v>894</v>
      </c>
      <c r="O160" s="45" t="s">
        <v>1057</v>
      </c>
      <c r="P160" s="68" t="e">
        <f>VLOOKUP(B160,#REF!,2,FALSE)</f>
        <v>#REF!</v>
      </c>
      <c r="Q160" s="68" t="e">
        <f>VLOOKUP(B160,#REF!,3,FALSE)</f>
        <v>#REF!</v>
      </c>
      <c r="R160" s="68" t="e">
        <f>VLOOKUP($W160,#REF!,2,FALSE)</f>
        <v>#REF!</v>
      </c>
      <c r="S160" s="73" t="e">
        <f>VLOOKUP($W160,#REF!,7,FALSE)</f>
        <v>#REF!</v>
      </c>
      <c r="T160" s="48">
        <v>5</v>
      </c>
      <c r="U160" s="48">
        <v>1</v>
      </c>
      <c r="V160" s="57" t="e">
        <f>IF(ISNUMBER(U160),HLOOKUP(U160,#REF!,2,FALSE)*E160,"")</f>
        <v>#REF!</v>
      </c>
      <c r="W160" s="48" t="s">
        <v>902</v>
      </c>
      <c r="X160" s="59">
        <v>45925</v>
      </c>
      <c r="AA160" s="45"/>
      <c r="AB160" s="45"/>
    </row>
    <row r="161" spans="1:28" ht="30" x14ac:dyDescent="0.25">
      <c r="A161" s="48">
        <v>1157</v>
      </c>
      <c r="B161" s="64" t="s">
        <v>435</v>
      </c>
      <c r="C161" s="45" t="s">
        <v>179</v>
      </c>
      <c r="D161" s="62" t="s">
        <v>452</v>
      </c>
      <c r="E161" s="45">
        <v>1</v>
      </c>
      <c r="F161" s="46">
        <v>74</v>
      </c>
      <c r="G161" s="47" t="s">
        <v>46</v>
      </c>
      <c r="I161" s="45" t="s">
        <v>219</v>
      </c>
      <c r="L161" s="47" t="s">
        <v>459</v>
      </c>
      <c r="M161" s="60" t="s">
        <v>941</v>
      </c>
      <c r="N161" s="45" t="s">
        <v>887</v>
      </c>
      <c r="O161" s="45" t="s">
        <v>1057</v>
      </c>
      <c r="P161" s="68" t="e">
        <f>VLOOKUP(B161,#REF!,2,FALSE)</f>
        <v>#REF!</v>
      </c>
      <c r="Q161" s="68" t="e">
        <f>VLOOKUP(B161,#REF!,3,FALSE)</f>
        <v>#REF!</v>
      </c>
      <c r="R161" s="68" t="e">
        <f>VLOOKUP($W161,#REF!,2,FALSE)</f>
        <v>#REF!</v>
      </c>
      <c r="S161" s="73" t="e">
        <f>VLOOKUP($W161,#REF!,7,FALSE)</f>
        <v>#REF!</v>
      </c>
      <c r="T161" s="48">
        <v>5</v>
      </c>
      <c r="U161" s="48">
        <v>1</v>
      </c>
      <c r="V161" s="57" t="e">
        <f>IF(ISNUMBER(U161),HLOOKUP(U161,#REF!,2,FALSE)*E161,"")</f>
        <v>#REF!</v>
      </c>
      <c r="W161" s="48" t="s">
        <v>902</v>
      </c>
      <c r="X161" s="59">
        <v>45925</v>
      </c>
      <c r="AA161" s="45"/>
      <c r="AB161" s="45"/>
    </row>
    <row r="162" spans="1:28" ht="30" x14ac:dyDescent="0.25">
      <c r="A162" s="48">
        <v>1158</v>
      </c>
      <c r="B162" s="64" t="s">
        <v>435</v>
      </c>
      <c r="C162" s="45" t="s">
        <v>179</v>
      </c>
      <c r="D162" s="62" t="s">
        <v>453</v>
      </c>
      <c r="E162" s="45">
        <v>1</v>
      </c>
      <c r="F162" s="46">
        <v>74</v>
      </c>
      <c r="G162" s="47" t="s">
        <v>462</v>
      </c>
      <c r="I162" s="45" t="s">
        <v>219</v>
      </c>
      <c r="L162" s="47" t="s">
        <v>459</v>
      </c>
      <c r="M162" s="60" t="s">
        <v>941</v>
      </c>
      <c r="N162" s="45" t="s">
        <v>887</v>
      </c>
      <c r="O162" s="45" t="s">
        <v>1057</v>
      </c>
      <c r="P162" s="68" t="e">
        <f>VLOOKUP(B162,#REF!,2,FALSE)</f>
        <v>#REF!</v>
      </c>
      <c r="Q162" s="68" t="e">
        <f>VLOOKUP(B162,#REF!,3,FALSE)</f>
        <v>#REF!</v>
      </c>
      <c r="R162" s="68" t="e">
        <f>VLOOKUP($W162,#REF!,2,FALSE)</f>
        <v>#REF!</v>
      </c>
      <c r="S162" s="73" t="e">
        <f>VLOOKUP($W162,#REF!,7,FALSE)</f>
        <v>#REF!</v>
      </c>
      <c r="T162" s="48">
        <v>5</v>
      </c>
      <c r="U162" s="48">
        <v>1</v>
      </c>
      <c r="V162" s="57" t="e">
        <f>IF(ISNUMBER(U162),HLOOKUP(U162,#REF!,2,FALSE)*E162,"")</f>
        <v>#REF!</v>
      </c>
      <c r="W162" s="48" t="s">
        <v>902</v>
      </c>
      <c r="X162" s="59">
        <v>45925</v>
      </c>
      <c r="AA162" s="45"/>
      <c r="AB162" s="45"/>
    </row>
    <row r="163" spans="1:28" ht="30" x14ac:dyDescent="0.25">
      <c r="A163" s="48">
        <v>1159</v>
      </c>
      <c r="B163" s="64" t="s">
        <v>435</v>
      </c>
      <c r="C163" s="45" t="s">
        <v>179</v>
      </c>
      <c r="D163" s="62" t="s">
        <v>454</v>
      </c>
      <c r="E163" s="45">
        <v>1</v>
      </c>
      <c r="F163" s="46">
        <v>74</v>
      </c>
      <c r="G163" s="47" t="s">
        <v>1027</v>
      </c>
      <c r="I163" s="45" t="s">
        <v>219</v>
      </c>
      <c r="M163" s="60" t="s">
        <v>941</v>
      </c>
      <c r="N163" s="45" t="s">
        <v>887</v>
      </c>
      <c r="O163" s="45" t="s">
        <v>1057</v>
      </c>
      <c r="P163" s="68" t="e">
        <f>VLOOKUP(B163,#REF!,2,FALSE)</f>
        <v>#REF!</v>
      </c>
      <c r="Q163" s="68" t="e">
        <f>VLOOKUP(B163,#REF!,3,FALSE)</f>
        <v>#REF!</v>
      </c>
      <c r="R163" s="68" t="e">
        <f>VLOOKUP($W163,#REF!,2,FALSE)</f>
        <v>#REF!</v>
      </c>
      <c r="S163" s="73" t="e">
        <f>VLOOKUP($W163,#REF!,7,FALSE)</f>
        <v>#REF!</v>
      </c>
      <c r="T163" s="48">
        <v>5</v>
      </c>
      <c r="U163" s="48">
        <v>1</v>
      </c>
      <c r="V163" s="57" t="e">
        <f>IF(ISNUMBER(U163),HLOOKUP(U163,#REF!,2,FALSE)*E163,"")</f>
        <v>#REF!</v>
      </c>
      <c r="W163" s="48" t="s">
        <v>902</v>
      </c>
      <c r="X163" s="59">
        <v>45925</v>
      </c>
      <c r="AA163" s="45"/>
      <c r="AB163" s="45"/>
    </row>
    <row r="164" spans="1:28" ht="60" x14ac:dyDescent="0.25">
      <c r="A164" s="48">
        <v>1160</v>
      </c>
      <c r="B164" s="64" t="s">
        <v>435</v>
      </c>
      <c r="C164" s="45" t="s">
        <v>179</v>
      </c>
      <c r="D164" s="62" t="s">
        <v>79</v>
      </c>
      <c r="E164" s="45">
        <v>1</v>
      </c>
      <c r="F164" s="46">
        <v>74</v>
      </c>
      <c r="G164" s="47" t="s">
        <v>259</v>
      </c>
      <c r="I164" s="45" t="s">
        <v>219</v>
      </c>
      <c r="M164" s="60" t="s">
        <v>959</v>
      </c>
      <c r="N164" s="45" t="s">
        <v>887</v>
      </c>
      <c r="O164" s="45" t="s">
        <v>1057</v>
      </c>
      <c r="P164" s="68" t="e">
        <f>VLOOKUP(B164,#REF!,2,FALSE)</f>
        <v>#REF!</v>
      </c>
      <c r="Q164" s="68" t="e">
        <f>VLOOKUP(B164,#REF!,3,FALSE)</f>
        <v>#REF!</v>
      </c>
      <c r="R164" s="68" t="e">
        <f>VLOOKUP($W164,#REF!,2,FALSE)</f>
        <v>#REF!</v>
      </c>
      <c r="S164" s="73" t="e">
        <f>VLOOKUP($W164,#REF!,7,FALSE)</f>
        <v>#REF!</v>
      </c>
      <c r="T164" s="48">
        <v>5</v>
      </c>
      <c r="U164" s="48">
        <v>1</v>
      </c>
      <c r="V164" s="57" t="e">
        <f>IF(ISNUMBER(U164),HLOOKUP(U164,#REF!,2,FALSE)*E164,"")</f>
        <v>#REF!</v>
      </c>
      <c r="W164" s="48" t="s">
        <v>902</v>
      </c>
      <c r="X164" s="59">
        <v>45925</v>
      </c>
      <c r="AA164" s="45"/>
      <c r="AB164" s="45"/>
    </row>
    <row r="165" spans="1:28" ht="60" x14ac:dyDescent="0.25">
      <c r="A165" s="69">
        <v>1307</v>
      </c>
      <c r="B165" s="71" t="s">
        <v>435</v>
      </c>
      <c r="C165" s="71" t="s">
        <v>179</v>
      </c>
      <c r="D165" s="72" t="s">
        <v>960</v>
      </c>
      <c r="E165" s="45">
        <v>1</v>
      </c>
      <c r="F165" s="46">
        <v>0</v>
      </c>
      <c r="G165" s="47" t="s">
        <v>1028</v>
      </c>
      <c r="I165" s="45" t="s">
        <v>219</v>
      </c>
      <c r="L165" s="47" t="s">
        <v>967</v>
      </c>
      <c r="M165" s="70" t="s">
        <v>961</v>
      </c>
      <c r="N165" s="71" t="s">
        <v>894</v>
      </c>
      <c r="O165" s="45" t="s">
        <v>1057</v>
      </c>
      <c r="P165" s="68"/>
      <c r="Q165" s="68"/>
      <c r="R165" s="68"/>
      <c r="S165" s="73"/>
      <c r="U165" s="48">
        <v>2</v>
      </c>
      <c r="V165" s="57" t="e">
        <f>IF(ISNUMBER(U165),HLOOKUP(U165,#REF!,2,FALSE)*E165,"")</f>
        <v>#REF!</v>
      </c>
      <c r="W165" s="69" t="s">
        <v>902</v>
      </c>
      <c r="X165" s="59">
        <v>45925</v>
      </c>
      <c r="AA165" s="45"/>
      <c r="AB165" s="45"/>
    </row>
    <row r="166" spans="1:28" ht="75" x14ac:dyDescent="0.25">
      <c r="A166" s="48">
        <v>1161</v>
      </c>
      <c r="B166" s="64" t="s">
        <v>435</v>
      </c>
      <c r="C166" s="45" t="s">
        <v>179</v>
      </c>
      <c r="D166" s="62" t="s">
        <v>455</v>
      </c>
      <c r="E166" s="45">
        <v>1</v>
      </c>
      <c r="F166" s="46" t="s">
        <v>227</v>
      </c>
      <c r="G166" s="47" t="s">
        <v>46</v>
      </c>
      <c r="I166" s="45" t="s">
        <v>219</v>
      </c>
      <c r="J166" s="45" t="s">
        <v>191</v>
      </c>
      <c r="M166" s="70" t="s">
        <v>963</v>
      </c>
      <c r="N166" s="71" t="s">
        <v>894</v>
      </c>
      <c r="O166" s="45" t="s">
        <v>1057</v>
      </c>
      <c r="P166" s="68" t="e">
        <f>VLOOKUP(B166,#REF!,2,FALSE)</f>
        <v>#REF!</v>
      </c>
      <c r="Q166" s="68" t="e">
        <f>VLOOKUP(B166,#REF!,3,FALSE)</f>
        <v>#REF!</v>
      </c>
      <c r="R166" s="68" t="e">
        <f>VLOOKUP($W166,#REF!,2,FALSE)</f>
        <v>#REF!</v>
      </c>
      <c r="S166" s="73" t="e">
        <f>VLOOKUP($W166,#REF!,7,FALSE)</f>
        <v>#REF!</v>
      </c>
      <c r="T166" s="48">
        <v>5</v>
      </c>
      <c r="U166" s="48">
        <v>1</v>
      </c>
      <c r="V166" s="57" t="e">
        <f>IF(ISNUMBER(U166),HLOOKUP(U166,#REF!,2,FALSE)*E166,"")</f>
        <v>#REF!</v>
      </c>
      <c r="W166" s="48" t="s">
        <v>902</v>
      </c>
      <c r="X166" s="59">
        <v>45925</v>
      </c>
      <c r="AA166" s="45"/>
      <c r="AB166" s="45"/>
    </row>
    <row r="167" spans="1:28" ht="23.25" x14ac:dyDescent="0.25">
      <c r="A167" s="48">
        <v>1162</v>
      </c>
      <c r="B167" s="64" t="s">
        <v>435</v>
      </c>
      <c r="C167" s="45" t="s">
        <v>397</v>
      </c>
      <c r="D167" s="62" t="s">
        <v>1097</v>
      </c>
      <c r="E167" s="45">
        <v>1</v>
      </c>
      <c r="F167" s="46" t="s">
        <v>835</v>
      </c>
      <c r="G167" s="47" t="s">
        <v>259</v>
      </c>
      <c r="I167" s="45" t="s">
        <v>219</v>
      </c>
      <c r="J167" s="45" t="s">
        <v>221</v>
      </c>
      <c r="M167" s="47" t="s">
        <v>916</v>
      </c>
      <c r="N167" s="45" t="s">
        <v>899</v>
      </c>
      <c r="O167" s="45" t="s">
        <v>897</v>
      </c>
      <c r="P167" s="68" t="e">
        <f>VLOOKUP(B167,#REF!,2,FALSE)</f>
        <v>#REF!</v>
      </c>
      <c r="Q167" s="68" t="e">
        <f>VLOOKUP(B167,#REF!,3,FALSE)</f>
        <v>#REF!</v>
      </c>
      <c r="R167" s="68" t="e">
        <f>VLOOKUP($W167,#REF!,2,FALSE)</f>
        <v>#REF!</v>
      </c>
      <c r="S167" s="73" t="e">
        <f>VLOOKUP($W167,#REF!,7,FALSE)</f>
        <v>#REF!</v>
      </c>
      <c r="T167" s="48">
        <v>5</v>
      </c>
      <c r="U167" s="48">
        <v>2</v>
      </c>
      <c r="V167" s="57" t="e">
        <f>IF(ISNUMBER(U167),HLOOKUP(U167,#REF!,2,FALSE)*E167,"")</f>
        <v>#REF!</v>
      </c>
      <c r="W167" s="48" t="s">
        <v>903</v>
      </c>
      <c r="X167" s="59">
        <v>45923</v>
      </c>
      <c r="AA167" s="45"/>
      <c r="AB167" s="45"/>
    </row>
    <row r="168" spans="1:28" x14ac:dyDescent="0.25">
      <c r="A168" s="48">
        <v>1163</v>
      </c>
      <c r="B168" s="64" t="s">
        <v>435</v>
      </c>
      <c r="C168" s="45" t="s">
        <v>177</v>
      </c>
      <c r="D168" s="62" t="s">
        <v>465</v>
      </c>
      <c r="E168" s="45">
        <v>0</v>
      </c>
      <c r="F168" s="46" t="s">
        <v>234</v>
      </c>
      <c r="G168" s="47" t="s">
        <v>169</v>
      </c>
      <c r="I168" s="45" t="s">
        <v>219</v>
      </c>
      <c r="N168" s="45" t="s">
        <v>899</v>
      </c>
      <c r="O168" s="45" t="s">
        <v>897</v>
      </c>
      <c r="P168" s="68" t="e">
        <f>VLOOKUP(B168,#REF!,2,FALSE)</f>
        <v>#REF!</v>
      </c>
      <c r="Q168" s="68" t="e">
        <f>VLOOKUP(B168,#REF!,3,FALSE)</f>
        <v>#REF!</v>
      </c>
      <c r="R168" s="68" t="e">
        <f>VLOOKUP($W168,#REF!,2,FALSE)</f>
        <v>#REF!</v>
      </c>
      <c r="S168" s="73" t="e">
        <f>VLOOKUP($W168,#REF!,7,FALSE)</f>
        <v>#REF!</v>
      </c>
      <c r="T168" s="48">
        <v>5</v>
      </c>
      <c r="U168" s="48">
        <v>0</v>
      </c>
      <c r="V168" s="57" t="e">
        <f>IF(ISNUMBER(U168),HLOOKUP(U168,#REF!,2,FALSE)*E168,"")</f>
        <v>#REF!</v>
      </c>
      <c r="W168" s="48" t="s">
        <v>903</v>
      </c>
      <c r="AA168" s="45"/>
      <c r="AB168" s="45"/>
    </row>
    <row r="169" spans="1:28" x14ac:dyDescent="0.25">
      <c r="A169" s="48">
        <v>1164</v>
      </c>
      <c r="B169" s="64" t="s">
        <v>435</v>
      </c>
      <c r="C169" s="45" t="s">
        <v>177</v>
      </c>
      <c r="D169" s="62" t="s">
        <v>466</v>
      </c>
      <c r="E169" s="45">
        <v>0</v>
      </c>
      <c r="F169" s="46" t="s">
        <v>234</v>
      </c>
      <c r="G169" s="47" t="s">
        <v>169</v>
      </c>
      <c r="I169" s="45" t="s">
        <v>219</v>
      </c>
      <c r="N169" s="45" t="s">
        <v>899</v>
      </c>
      <c r="O169" s="45" t="s">
        <v>897</v>
      </c>
      <c r="P169" s="68" t="e">
        <f>VLOOKUP(B169,#REF!,2,FALSE)</f>
        <v>#REF!</v>
      </c>
      <c r="Q169" s="68" t="e">
        <f>VLOOKUP(B169,#REF!,3,FALSE)</f>
        <v>#REF!</v>
      </c>
      <c r="R169" s="68" t="e">
        <f>VLOOKUP($W169,#REF!,2,FALSE)</f>
        <v>#REF!</v>
      </c>
      <c r="S169" s="73" t="e">
        <f>VLOOKUP($W169,#REF!,7,FALSE)</f>
        <v>#REF!</v>
      </c>
      <c r="T169" s="48">
        <v>5</v>
      </c>
      <c r="U169" s="48">
        <v>0</v>
      </c>
      <c r="V169" s="57" t="e">
        <f>IF(ISNUMBER(U169),HLOOKUP(U169,#REF!,2,FALSE)*E169,"")</f>
        <v>#REF!</v>
      </c>
      <c r="W169" s="48" t="s">
        <v>903</v>
      </c>
      <c r="AA169" s="45"/>
      <c r="AB169" s="45"/>
    </row>
    <row r="170" spans="1:28" x14ac:dyDescent="0.25">
      <c r="A170" s="48">
        <v>1165</v>
      </c>
      <c r="B170" s="64" t="s">
        <v>435</v>
      </c>
      <c r="C170" s="45" t="s">
        <v>177</v>
      </c>
      <c r="D170" s="62" t="s">
        <v>467</v>
      </c>
      <c r="E170" s="45">
        <v>0</v>
      </c>
      <c r="F170" s="46" t="s">
        <v>234</v>
      </c>
      <c r="G170" s="47" t="s">
        <v>169</v>
      </c>
      <c r="I170" s="45" t="s">
        <v>219</v>
      </c>
      <c r="N170" s="45" t="s">
        <v>899</v>
      </c>
      <c r="O170" s="45" t="s">
        <v>897</v>
      </c>
      <c r="P170" s="68" t="e">
        <f>VLOOKUP(B170,#REF!,2,FALSE)</f>
        <v>#REF!</v>
      </c>
      <c r="Q170" s="68" t="e">
        <f>VLOOKUP(B170,#REF!,3,FALSE)</f>
        <v>#REF!</v>
      </c>
      <c r="R170" s="68" t="e">
        <f>VLOOKUP($W170,#REF!,2,FALSE)</f>
        <v>#REF!</v>
      </c>
      <c r="S170" s="73" t="e">
        <f>VLOOKUP($W170,#REF!,7,FALSE)</f>
        <v>#REF!</v>
      </c>
      <c r="T170" s="48">
        <v>5</v>
      </c>
      <c r="U170" s="48">
        <v>0</v>
      </c>
      <c r="V170" s="57" t="e">
        <f>IF(ISNUMBER(U170),HLOOKUP(U170,#REF!,2,FALSE)*E170,"")</f>
        <v>#REF!</v>
      </c>
      <c r="W170" s="48" t="s">
        <v>903</v>
      </c>
      <c r="AA170" s="45"/>
      <c r="AB170" s="45"/>
    </row>
    <row r="171" spans="1:28" ht="30" x14ac:dyDescent="0.25">
      <c r="A171" s="48">
        <v>1166</v>
      </c>
      <c r="B171" s="64" t="s">
        <v>435</v>
      </c>
      <c r="C171" s="45" t="s">
        <v>180</v>
      </c>
      <c r="D171" s="62" t="s">
        <v>468</v>
      </c>
      <c r="E171" s="45">
        <v>1</v>
      </c>
      <c r="F171" s="46">
        <v>76</v>
      </c>
      <c r="G171" s="47" t="s">
        <v>1029</v>
      </c>
      <c r="I171" s="45" t="s">
        <v>219</v>
      </c>
      <c r="M171" s="47" t="s">
        <v>893</v>
      </c>
      <c r="N171" s="45" t="s">
        <v>894</v>
      </c>
      <c r="O171" s="45" t="s">
        <v>897</v>
      </c>
      <c r="P171" s="68" t="e">
        <f>VLOOKUP(B171,#REF!,2,FALSE)</f>
        <v>#REF!</v>
      </c>
      <c r="Q171" s="68" t="e">
        <f>VLOOKUP(B171,#REF!,3,FALSE)</f>
        <v>#REF!</v>
      </c>
      <c r="R171" s="68" t="e">
        <f>VLOOKUP($W171,#REF!,2,FALSE)</f>
        <v>#REF!</v>
      </c>
      <c r="S171" s="73" t="e">
        <f>VLOOKUP($W171,#REF!,7,FALSE)</f>
        <v>#REF!</v>
      </c>
      <c r="T171" s="48">
        <v>6</v>
      </c>
      <c r="U171" s="48">
        <v>2</v>
      </c>
      <c r="V171" s="57" t="e">
        <f>IF(ISNUMBER(U171),HLOOKUP(U171,#REF!,2,FALSE)*E171,"")</f>
        <v>#REF!</v>
      </c>
      <c r="W171" s="48" t="s">
        <v>903</v>
      </c>
      <c r="X171" s="59">
        <v>45922</v>
      </c>
      <c r="AA171" s="45"/>
      <c r="AB171" s="45"/>
    </row>
    <row r="172" spans="1:28" ht="30" x14ac:dyDescent="0.25">
      <c r="A172" s="48">
        <v>1167</v>
      </c>
      <c r="B172" s="64" t="s">
        <v>435</v>
      </c>
      <c r="C172" s="45" t="s">
        <v>181</v>
      </c>
      <c r="D172" s="62" t="s">
        <v>469</v>
      </c>
      <c r="E172" s="45">
        <v>1</v>
      </c>
      <c r="F172" s="46">
        <v>76</v>
      </c>
      <c r="G172" s="47" t="s">
        <v>1030</v>
      </c>
      <c r="I172" s="45" t="s">
        <v>219</v>
      </c>
      <c r="N172" s="45" t="s">
        <v>899</v>
      </c>
      <c r="O172" s="45" t="s">
        <v>897</v>
      </c>
      <c r="P172" s="68" t="e">
        <f>VLOOKUP(B172,#REF!,2,FALSE)</f>
        <v>#REF!</v>
      </c>
      <c r="Q172" s="68" t="e">
        <f>VLOOKUP(B172,#REF!,3,FALSE)</f>
        <v>#REF!</v>
      </c>
      <c r="R172" s="68" t="e">
        <f>VLOOKUP($W172,#REF!,2,FALSE)</f>
        <v>#REF!</v>
      </c>
      <c r="S172" s="73" t="e">
        <f>VLOOKUP($W172,#REF!,7,FALSE)</f>
        <v>#REF!</v>
      </c>
      <c r="T172" s="48">
        <v>6</v>
      </c>
      <c r="U172" s="48">
        <v>1</v>
      </c>
      <c r="V172" s="57" t="e">
        <f>IF(ISNUMBER(U172),HLOOKUP(U172,#REF!,2,FALSE)*E172,"")</f>
        <v>#REF!</v>
      </c>
      <c r="W172" s="48" t="s">
        <v>903</v>
      </c>
      <c r="AA172" s="45"/>
      <c r="AB172" s="45"/>
    </row>
    <row r="173" spans="1:28" ht="30" x14ac:dyDescent="0.25">
      <c r="A173" s="48">
        <v>1168</v>
      </c>
      <c r="B173" s="64" t="s">
        <v>435</v>
      </c>
      <c r="C173" s="45" t="s">
        <v>181</v>
      </c>
      <c r="D173" s="62" t="s">
        <v>471</v>
      </c>
      <c r="E173" s="45">
        <v>0</v>
      </c>
      <c r="F173" s="46">
        <v>76</v>
      </c>
      <c r="G173" s="47" t="s">
        <v>1030</v>
      </c>
      <c r="I173" s="45" t="s">
        <v>219</v>
      </c>
      <c r="N173" s="45" t="s">
        <v>899</v>
      </c>
      <c r="O173" s="45" t="s">
        <v>897</v>
      </c>
      <c r="P173" s="68" t="e">
        <f>VLOOKUP(B173,#REF!,2,FALSE)</f>
        <v>#REF!</v>
      </c>
      <c r="Q173" s="68" t="e">
        <f>VLOOKUP(B173,#REF!,3,FALSE)</f>
        <v>#REF!</v>
      </c>
      <c r="R173" s="68" t="e">
        <f>VLOOKUP($W173,#REF!,2,FALSE)</f>
        <v>#REF!</v>
      </c>
      <c r="S173" s="73" t="e">
        <f>VLOOKUP($W173,#REF!,7,FALSE)</f>
        <v>#REF!</v>
      </c>
      <c r="T173" s="48">
        <v>6</v>
      </c>
      <c r="U173" s="48">
        <v>0</v>
      </c>
      <c r="V173" s="57" t="e">
        <f>IF(ISNUMBER(U173),HLOOKUP(U173,#REF!,2,FALSE)*E173,"")</f>
        <v>#REF!</v>
      </c>
      <c r="W173" s="48" t="s">
        <v>903</v>
      </c>
      <c r="AA173" s="45"/>
      <c r="AB173" s="45"/>
    </row>
    <row r="174" spans="1:28" ht="30" x14ac:dyDescent="0.25">
      <c r="A174" s="48">
        <v>1169</v>
      </c>
      <c r="B174" s="64" t="s">
        <v>435</v>
      </c>
      <c r="C174" s="45" t="s">
        <v>181</v>
      </c>
      <c r="D174" s="62" t="s">
        <v>472</v>
      </c>
      <c r="E174" s="45">
        <v>0</v>
      </c>
      <c r="F174" s="46">
        <v>76</v>
      </c>
      <c r="G174" s="47" t="s">
        <v>1031</v>
      </c>
      <c r="I174" s="45" t="s">
        <v>219</v>
      </c>
      <c r="N174" s="45" t="s">
        <v>899</v>
      </c>
      <c r="O174" s="45" t="s">
        <v>897</v>
      </c>
      <c r="P174" s="68" t="e">
        <f>VLOOKUP(B174,#REF!,2,FALSE)</f>
        <v>#REF!</v>
      </c>
      <c r="Q174" s="68" t="e">
        <f>VLOOKUP(B174,#REF!,3,FALSE)</f>
        <v>#REF!</v>
      </c>
      <c r="R174" s="68" t="e">
        <f>VLOOKUP($W174,#REF!,2,FALSE)</f>
        <v>#REF!</v>
      </c>
      <c r="S174" s="73" t="e">
        <f>VLOOKUP($W174,#REF!,7,FALSE)</f>
        <v>#REF!</v>
      </c>
      <c r="T174" s="48">
        <v>6</v>
      </c>
      <c r="U174" s="48">
        <v>0</v>
      </c>
      <c r="V174" s="57" t="e">
        <f>IF(ISNUMBER(U174),HLOOKUP(U174,#REF!,2,FALSE)*E174,"")</f>
        <v>#REF!</v>
      </c>
      <c r="W174" s="48" t="s">
        <v>903</v>
      </c>
      <c r="AA174" s="45"/>
      <c r="AB174" s="45"/>
    </row>
    <row r="175" spans="1:28" ht="30" x14ac:dyDescent="0.25">
      <c r="A175" s="48">
        <v>1170</v>
      </c>
      <c r="B175" s="64" t="s">
        <v>435</v>
      </c>
      <c r="C175" s="45" t="s">
        <v>181</v>
      </c>
      <c r="D175" s="62" t="s">
        <v>470</v>
      </c>
      <c r="E175" s="45">
        <v>1</v>
      </c>
      <c r="F175" s="46">
        <v>76</v>
      </c>
      <c r="G175" s="47" t="s">
        <v>1032</v>
      </c>
      <c r="I175" s="45" t="s">
        <v>219</v>
      </c>
      <c r="N175" s="45" t="s">
        <v>899</v>
      </c>
      <c r="O175" s="45" t="s">
        <v>897</v>
      </c>
      <c r="P175" s="68" t="e">
        <f>VLOOKUP(B175,#REF!,2,FALSE)</f>
        <v>#REF!</v>
      </c>
      <c r="Q175" s="68" t="e">
        <f>VLOOKUP(B175,#REF!,3,FALSE)</f>
        <v>#REF!</v>
      </c>
      <c r="R175" s="68" t="e">
        <f>VLOOKUP($W175,#REF!,2,FALSE)</f>
        <v>#REF!</v>
      </c>
      <c r="S175" s="73" t="e">
        <f>VLOOKUP($W175,#REF!,7,FALSE)</f>
        <v>#REF!</v>
      </c>
      <c r="T175" s="48">
        <v>6</v>
      </c>
      <c r="U175" s="48">
        <v>1</v>
      </c>
      <c r="V175" s="57" t="e">
        <f>IF(ISNUMBER(U175),HLOOKUP(U175,#REF!,2,FALSE)*E175,"")</f>
        <v>#REF!</v>
      </c>
      <c r="W175" s="48" t="s">
        <v>903</v>
      </c>
      <c r="AA175" s="45"/>
      <c r="AB175" s="45"/>
    </row>
    <row r="176" spans="1:28" ht="30" x14ac:dyDescent="0.25">
      <c r="A176" s="48">
        <v>1171</v>
      </c>
      <c r="B176" s="64" t="s">
        <v>435</v>
      </c>
      <c r="C176" s="45" t="s">
        <v>181</v>
      </c>
      <c r="D176" s="62" t="s">
        <v>473</v>
      </c>
      <c r="E176" s="45">
        <v>0</v>
      </c>
      <c r="F176" s="46">
        <v>76</v>
      </c>
      <c r="G176" s="47" t="s">
        <v>1033</v>
      </c>
      <c r="I176" s="45" t="s">
        <v>219</v>
      </c>
      <c r="N176" s="45" t="s">
        <v>899</v>
      </c>
      <c r="O176" s="45" t="s">
        <v>897</v>
      </c>
      <c r="P176" s="68" t="e">
        <f>VLOOKUP(B176,#REF!,2,FALSE)</f>
        <v>#REF!</v>
      </c>
      <c r="Q176" s="68" t="e">
        <f>VLOOKUP(B176,#REF!,3,FALSE)</f>
        <v>#REF!</v>
      </c>
      <c r="R176" s="68" t="e">
        <f>VLOOKUP($W176,#REF!,2,FALSE)</f>
        <v>#REF!</v>
      </c>
      <c r="S176" s="73" t="e">
        <f>VLOOKUP($W176,#REF!,7,FALSE)</f>
        <v>#REF!</v>
      </c>
      <c r="T176" s="48">
        <v>6</v>
      </c>
      <c r="U176" s="48">
        <v>0</v>
      </c>
      <c r="V176" s="57" t="e">
        <f>IF(ISNUMBER(U176),HLOOKUP(U176,#REF!,2,FALSE)*E176,"")</f>
        <v>#REF!</v>
      </c>
      <c r="W176" s="48" t="s">
        <v>903</v>
      </c>
      <c r="AA176" s="45"/>
      <c r="AB176" s="45"/>
    </row>
    <row r="177" spans="1:28" ht="30" x14ac:dyDescent="0.25">
      <c r="A177" s="48">
        <v>1172</v>
      </c>
      <c r="B177" s="64" t="s">
        <v>435</v>
      </c>
      <c r="C177" s="45" t="s">
        <v>181</v>
      </c>
      <c r="D177" s="62" t="s">
        <v>474</v>
      </c>
      <c r="E177" s="45">
        <v>0</v>
      </c>
      <c r="F177" s="46">
        <v>76</v>
      </c>
      <c r="G177" s="47" t="s">
        <v>1033</v>
      </c>
      <c r="I177" s="45" t="s">
        <v>219</v>
      </c>
      <c r="N177" s="45" t="s">
        <v>899</v>
      </c>
      <c r="O177" s="45" t="s">
        <v>897</v>
      </c>
      <c r="P177" s="68" t="e">
        <f>VLOOKUP(B177,#REF!,2,FALSE)</f>
        <v>#REF!</v>
      </c>
      <c r="Q177" s="68" t="e">
        <f>VLOOKUP(B177,#REF!,3,FALSE)</f>
        <v>#REF!</v>
      </c>
      <c r="R177" s="68" t="e">
        <f>VLOOKUP($W177,#REF!,2,FALSE)</f>
        <v>#REF!</v>
      </c>
      <c r="S177" s="73" t="e">
        <f>VLOOKUP($W177,#REF!,7,FALSE)</f>
        <v>#REF!</v>
      </c>
      <c r="T177" s="48">
        <v>6</v>
      </c>
      <c r="U177" s="48">
        <v>0</v>
      </c>
      <c r="V177" s="57" t="e">
        <f>IF(ISNUMBER(U177),HLOOKUP(U177,#REF!,2,FALSE)*E177,"")</f>
        <v>#REF!</v>
      </c>
      <c r="W177" s="48" t="s">
        <v>903</v>
      </c>
      <c r="AA177" s="45"/>
      <c r="AB177" s="45"/>
    </row>
    <row r="178" spans="1:28" ht="23.25" x14ac:dyDescent="0.25">
      <c r="A178" s="48">
        <v>1173</v>
      </c>
      <c r="B178" s="64" t="s">
        <v>435</v>
      </c>
      <c r="C178" s="45" t="s">
        <v>197</v>
      </c>
      <c r="D178" s="62" t="s">
        <v>476</v>
      </c>
      <c r="E178" s="45">
        <v>1</v>
      </c>
      <c r="F178" s="46" t="s">
        <v>569</v>
      </c>
      <c r="G178" s="47" t="s">
        <v>46</v>
      </c>
      <c r="I178" s="45" t="s">
        <v>219</v>
      </c>
      <c r="M178" s="60" t="s">
        <v>997</v>
      </c>
      <c r="N178" s="45" t="s">
        <v>899</v>
      </c>
      <c r="O178" s="45" t="s">
        <v>897</v>
      </c>
      <c r="P178" s="68" t="e">
        <f>VLOOKUP(B178,#REF!,2,FALSE)</f>
        <v>#REF!</v>
      </c>
      <c r="Q178" s="68" t="e">
        <f>VLOOKUP(B178,#REF!,3,FALSE)</f>
        <v>#REF!</v>
      </c>
      <c r="R178" s="68" t="e">
        <f>VLOOKUP($W178,#REF!,2,FALSE)</f>
        <v>#REF!</v>
      </c>
      <c r="S178" s="73" t="e">
        <f>VLOOKUP($W178,#REF!,7,FALSE)</f>
        <v>#REF!</v>
      </c>
      <c r="T178" s="48">
        <v>6</v>
      </c>
      <c r="U178" s="48">
        <v>1</v>
      </c>
      <c r="V178" s="57" t="e">
        <f>IF(ISNUMBER(U178),HLOOKUP(U178,#REF!,2,FALSE)*E178,"")</f>
        <v>#REF!</v>
      </c>
      <c r="W178" s="48" t="s">
        <v>903</v>
      </c>
      <c r="AA178" s="45"/>
      <c r="AB178" s="45"/>
    </row>
    <row r="179" spans="1:28" ht="30" x14ac:dyDescent="0.25">
      <c r="A179" s="48">
        <v>1174</v>
      </c>
      <c r="B179" s="64" t="s">
        <v>435</v>
      </c>
      <c r="C179" s="45" t="s">
        <v>197</v>
      </c>
      <c r="D179" s="62" t="s">
        <v>477</v>
      </c>
      <c r="E179" s="45">
        <v>1</v>
      </c>
      <c r="F179" s="46" t="s">
        <v>569</v>
      </c>
      <c r="G179" s="47" t="s">
        <v>1034</v>
      </c>
      <c r="I179" s="45" t="s">
        <v>219</v>
      </c>
      <c r="N179" s="45" t="s">
        <v>899</v>
      </c>
      <c r="O179" s="45" t="s">
        <v>897</v>
      </c>
      <c r="P179" s="68" t="e">
        <f>VLOOKUP(B179,#REF!,2,FALSE)</f>
        <v>#REF!</v>
      </c>
      <c r="Q179" s="68" t="e">
        <f>VLOOKUP(B179,#REF!,3,FALSE)</f>
        <v>#REF!</v>
      </c>
      <c r="R179" s="68" t="e">
        <f>VLOOKUP($W179,#REF!,2,FALSE)</f>
        <v>#REF!</v>
      </c>
      <c r="S179" s="73" t="e">
        <f>VLOOKUP($W179,#REF!,7,FALSE)</f>
        <v>#REF!</v>
      </c>
      <c r="T179" s="48">
        <v>6</v>
      </c>
      <c r="U179" s="48">
        <v>1</v>
      </c>
      <c r="V179" s="57" t="e">
        <f>IF(ISNUMBER(U179),HLOOKUP(U179,#REF!,2,FALSE)*E179,"")</f>
        <v>#REF!</v>
      </c>
      <c r="W179" s="48" t="s">
        <v>903</v>
      </c>
      <c r="AA179" s="45"/>
      <c r="AB179" s="45"/>
    </row>
    <row r="180" spans="1:28" ht="45" x14ac:dyDescent="0.25">
      <c r="A180" s="48">
        <v>1175</v>
      </c>
      <c r="B180" s="64" t="s">
        <v>435</v>
      </c>
      <c r="C180" s="45" t="s">
        <v>197</v>
      </c>
      <c r="D180" s="62" t="s">
        <v>478</v>
      </c>
      <c r="E180" s="45">
        <v>1</v>
      </c>
      <c r="F180" s="46" t="s">
        <v>569</v>
      </c>
      <c r="G180" s="47" t="s">
        <v>46</v>
      </c>
      <c r="I180" s="45" t="s">
        <v>219</v>
      </c>
      <c r="M180" s="47" t="s">
        <v>891</v>
      </c>
      <c r="N180" s="45" t="s">
        <v>894</v>
      </c>
      <c r="O180" s="45" t="s">
        <v>897</v>
      </c>
      <c r="P180" s="68" t="e">
        <f>VLOOKUP(B180,#REF!,2,FALSE)</f>
        <v>#REF!</v>
      </c>
      <c r="Q180" s="68" t="e">
        <f>VLOOKUP(B180,#REF!,3,FALSE)</f>
        <v>#REF!</v>
      </c>
      <c r="R180" s="68" t="e">
        <f>VLOOKUP($W180,#REF!,2,FALSE)</f>
        <v>#REF!</v>
      </c>
      <c r="S180" s="73" t="e">
        <f>VLOOKUP($W180,#REF!,7,FALSE)</f>
        <v>#REF!</v>
      </c>
      <c r="T180" s="48">
        <v>6</v>
      </c>
      <c r="U180" s="48">
        <v>1</v>
      </c>
      <c r="V180" s="57" t="e">
        <f>IF(ISNUMBER(U180),HLOOKUP(U180,#REF!,2,FALSE)*E180,"")</f>
        <v>#REF!</v>
      </c>
      <c r="W180" s="48" t="s">
        <v>903</v>
      </c>
      <c r="X180" s="59">
        <v>45919</v>
      </c>
      <c r="AA180" s="45"/>
      <c r="AB180" s="45"/>
    </row>
    <row r="181" spans="1:28" x14ac:dyDescent="0.25">
      <c r="A181" s="48">
        <v>1176</v>
      </c>
      <c r="B181" s="64" t="s">
        <v>435</v>
      </c>
      <c r="C181" s="45" t="s">
        <v>871</v>
      </c>
      <c r="D181" s="62" t="s">
        <v>789</v>
      </c>
      <c r="E181" s="45">
        <v>1</v>
      </c>
      <c r="F181" s="46" t="s">
        <v>721</v>
      </c>
      <c r="G181" s="47" t="s">
        <v>46</v>
      </c>
      <c r="I181" s="45" t="s">
        <v>219</v>
      </c>
      <c r="J181" s="45" t="s">
        <v>221</v>
      </c>
      <c r="M181" s="47" t="s">
        <v>922</v>
      </c>
      <c r="N181" s="45" t="s">
        <v>894</v>
      </c>
      <c r="O181" s="45" t="s">
        <v>897</v>
      </c>
      <c r="P181" s="68" t="e">
        <f>VLOOKUP(B181,#REF!,2,FALSE)</f>
        <v>#REF!</v>
      </c>
      <c r="Q181" s="68" t="e">
        <f>VLOOKUP(B181,#REF!,3,FALSE)</f>
        <v>#REF!</v>
      </c>
      <c r="R181" s="68" t="e">
        <f>VLOOKUP($W181,#REF!,2,FALSE)</f>
        <v>#REF!</v>
      </c>
      <c r="S181" s="73" t="e">
        <f>VLOOKUP($W181,#REF!,7,FALSE)</f>
        <v>#REF!</v>
      </c>
      <c r="T181" s="48">
        <v>7</v>
      </c>
      <c r="U181" s="48">
        <v>1</v>
      </c>
      <c r="V181" s="57" t="e">
        <f>IF(ISNUMBER(U181),HLOOKUP(U181,#REF!,2,FALSE)*E181,"")</f>
        <v>#REF!</v>
      </c>
      <c r="W181" s="48" t="s">
        <v>903</v>
      </c>
      <c r="X181" s="59">
        <v>45922</v>
      </c>
      <c r="AA181" s="45"/>
      <c r="AB181" s="45"/>
    </row>
    <row r="182" spans="1:28" x14ac:dyDescent="0.25">
      <c r="A182" s="48">
        <v>1177</v>
      </c>
      <c r="B182" s="64" t="s">
        <v>435</v>
      </c>
      <c r="C182" s="45" t="s">
        <v>871</v>
      </c>
      <c r="D182" s="65" t="s">
        <v>832</v>
      </c>
      <c r="E182" s="45">
        <v>0</v>
      </c>
      <c r="F182" s="46" t="s">
        <v>721</v>
      </c>
      <c r="G182" s="47" t="s">
        <v>169</v>
      </c>
      <c r="I182" s="45" t="s">
        <v>218</v>
      </c>
      <c r="J182" s="45" t="s">
        <v>787</v>
      </c>
      <c r="M182" s="47" t="s">
        <v>922</v>
      </c>
      <c r="N182" s="45" t="s">
        <v>894</v>
      </c>
      <c r="O182" s="45" t="s">
        <v>897</v>
      </c>
      <c r="P182" s="68" t="e">
        <f>VLOOKUP(B182,#REF!,2,FALSE)</f>
        <v>#REF!</v>
      </c>
      <c r="Q182" s="68" t="e">
        <f>VLOOKUP(B182,#REF!,3,FALSE)</f>
        <v>#REF!</v>
      </c>
      <c r="R182" s="68" t="e">
        <f>VLOOKUP($W182,#REF!,2,FALSE)</f>
        <v>#REF!</v>
      </c>
      <c r="S182" s="73" t="e">
        <f>VLOOKUP($W182,#REF!,7,FALSE)</f>
        <v>#REF!</v>
      </c>
      <c r="T182" s="48">
        <v>7</v>
      </c>
      <c r="U182" s="48">
        <v>0</v>
      </c>
      <c r="V182" s="57" t="e">
        <f>IF(ISNUMBER(U182),HLOOKUP(U182,#REF!,2,FALSE)*E182,"")</f>
        <v>#REF!</v>
      </c>
      <c r="W182" s="48" t="s">
        <v>903</v>
      </c>
      <c r="X182" s="59">
        <v>45922</v>
      </c>
      <c r="AA182" s="45"/>
      <c r="AB182" s="45"/>
    </row>
    <row r="183" spans="1:28" x14ac:dyDescent="0.25">
      <c r="A183" s="48">
        <v>1178</v>
      </c>
      <c r="B183" s="64" t="s">
        <v>435</v>
      </c>
      <c r="C183" s="45" t="s">
        <v>871</v>
      </c>
      <c r="D183" s="62" t="s">
        <v>479</v>
      </c>
      <c r="E183" s="45">
        <v>1</v>
      </c>
      <c r="F183" s="46" t="s">
        <v>721</v>
      </c>
      <c r="G183" s="47" t="s">
        <v>46</v>
      </c>
      <c r="I183" s="45" t="s">
        <v>219</v>
      </c>
      <c r="J183" s="45" t="s">
        <v>221</v>
      </c>
      <c r="M183" s="47" t="s">
        <v>922</v>
      </c>
      <c r="N183" s="45" t="s">
        <v>894</v>
      </c>
      <c r="O183" s="45" t="s">
        <v>897</v>
      </c>
      <c r="P183" s="68" t="e">
        <f>VLOOKUP(B183,#REF!,2,FALSE)</f>
        <v>#REF!</v>
      </c>
      <c r="Q183" s="68" t="e">
        <f>VLOOKUP(B183,#REF!,3,FALSE)</f>
        <v>#REF!</v>
      </c>
      <c r="R183" s="68" t="e">
        <f>VLOOKUP($W183,#REF!,2,FALSE)</f>
        <v>#REF!</v>
      </c>
      <c r="S183" s="73" t="e">
        <f>VLOOKUP($W183,#REF!,7,FALSE)</f>
        <v>#REF!</v>
      </c>
      <c r="T183" s="48">
        <v>7</v>
      </c>
      <c r="U183" s="48">
        <v>1</v>
      </c>
      <c r="V183" s="57" t="e">
        <f>IF(ISNUMBER(U183),HLOOKUP(U183,#REF!,2,FALSE)*E183,"")</f>
        <v>#REF!</v>
      </c>
      <c r="W183" s="48" t="s">
        <v>903</v>
      </c>
      <c r="X183" s="59">
        <v>45922</v>
      </c>
      <c r="AA183" s="45"/>
      <c r="AB183" s="45"/>
    </row>
    <row r="184" spans="1:28" x14ac:dyDescent="0.25">
      <c r="A184" s="48">
        <v>1179</v>
      </c>
      <c r="B184" s="64" t="s">
        <v>435</v>
      </c>
      <c r="C184" s="45" t="s">
        <v>871</v>
      </c>
      <c r="D184" s="62" t="s">
        <v>480</v>
      </c>
      <c r="E184" s="45">
        <v>1</v>
      </c>
      <c r="F184" s="46" t="s">
        <v>721</v>
      </c>
      <c r="G184" s="47" t="s">
        <v>46</v>
      </c>
      <c r="I184" s="45" t="s">
        <v>219</v>
      </c>
      <c r="J184" s="45" t="s">
        <v>221</v>
      </c>
      <c r="M184" s="47" t="s">
        <v>922</v>
      </c>
      <c r="N184" s="45" t="s">
        <v>894</v>
      </c>
      <c r="O184" s="45" t="s">
        <v>897</v>
      </c>
      <c r="P184" s="68" t="e">
        <f>VLOOKUP(B184,#REF!,2,FALSE)</f>
        <v>#REF!</v>
      </c>
      <c r="Q184" s="68" t="e">
        <f>VLOOKUP(B184,#REF!,3,FALSE)</f>
        <v>#REF!</v>
      </c>
      <c r="R184" s="68" t="e">
        <f>VLOOKUP($W184,#REF!,2,FALSE)</f>
        <v>#REF!</v>
      </c>
      <c r="S184" s="73" t="e">
        <f>VLOOKUP($W184,#REF!,7,FALSE)</f>
        <v>#REF!</v>
      </c>
      <c r="T184" s="48">
        <v>7</v>
      </c>
      <c r="U184" s="48">
        <v>1</v>
      </c>
      <c r="V184" s="57" t="e">
        <f>IF(ISNUMBER(U184),HLOOKUP(U184,#REF!,2,FALSE)*E184,"")</f>
        <v>#REF!</v>
      </c>
      <c r="W184" s="48" t="s">
        <v>903</v>
      </c>
      <c r="X184" s="59">
        <v>45922</v>
      </c>
      <c r="AA184" s="45"/>
      <c r="AB184" s="45"/>
    </row>
    <row r="185" spans="1:28" x14ac:dyDescent="0.25">
      <c r="A185" s="48">
        <v>1180</v>
      </c>
      <c r="B185" s="64" t="s">
        <v>435</v>
      </c>
      <c r="C185" s="45" t="s">
        <v>871</v>
      </c>
      <c r="D185" s="62" t="s">
        <v>481</v>
      </c>
      <c r="E185" s="45">
        <v>1</v>
      </c>
      <c r="F185" s="46" t="s">
        <v>721</v>
      </c>
      <c r="G185" s="47" t="s">
        <v>46</v>
      </c>
      <c r="I185" s="45" t="s">
        <v>219</v>
      </c>
      <c r="J185" s="45" t="s">
        <v>221</v>
      </c>
      <c r="M185" s="47" t="s">
        <v>922</v>
      </c>
      <c r="N185" s="45" t="s">
        <v>894</v>
      </c>
      <c r="O185" s="45" t="s">
        <v>897</v>
      </c>
      <c r="P185" s="68" t="e">
        <f>VLOOKUP(B185,#REF!,2,FALSE)</f>
        <v>#REF!</v>
      </c>
      <c r="Q185" s="68" t="e">
        <f>VLOOKUP(B185,#REF!,3,FALSE)</f>
        <v>#REF!</v>
      </c>
      <c r="R185" s="68" t="e">
        <f>VLOOKUP($W185,#REF!,2,FALSE)</f>
        <v>#REF!</v>
      </c>
      <c r="S185" s="73" t="e">
        <f>VLOOKUP($W185,#REF!,7,FALSE)</f>
        <v>#REF!</v>
      </c>
      <c r="T185" s="48">
        <v>7</v>
      </c>
      <c r="U185" s="48">
        <v>1</v>
      </c>
      <c r="V185" s="57" t="e">
        <f>IF(ISNUMBER(U185),HLOOKUP(U185,#REF!,2,FALSE)*E185,"")</f>
        <v>#REF!</v>
      </c>
      <c r="W185" s="48" t="s">
        <v>903</v>
      </c>
      <c r="X185" s="59">
        <v>45922</v>
      </c>
      <c r="AA185" s="45"/>
      <c r="AB185" s="45"/>
    </row>
    <row r="186" spans="1:28" x14ac:dyDescent="0.25">
      <c r="A186" s="48">
        <v>1181</v>
      </c>
      <c r="B186" s="64" t="s">
        <v>435</v>
      </c>
      <c r="C186" s="45" t="s">
        <v>871</v>
      </c>
      <c r="D186" s="62" t="s">
        <v>482</v>
      </c>
      <c r="E186" s="45">
        <v>1</v>
      </c>
      <c r="F186" s="46" t="s">
        <v>721</v>
      </c>
      <c r="G186" s="47" t="s">
        <v>1053</v>
      </c>
      <c r="I186" s="45" t="s">
        <v>219</v>
      </c>
      <c r="J186" s="45" t="s">
        <v>221</v>
      </c>
      <c r="M186" s="47" t="s">
        <v>922</v>
      </c>
      <c r="N186" s="45" t="s">
        <v>894</v>
      </c>
      <c r="O186" s="45" t="s">
        <v>897</v>
      </c>
      <c r="P186" s="68" t="e">
        <f>VLOOKUP(B186,#REF!,2,FALSE)</f>
        <v>#REF!</v>
      </c>
      <c r="Q186" s="68" t="e">
        <f>VLOOKUP(B186,#REF!,3,FALSE)</f>
        <v>#REF!</v>
      </c>
      <c r="R186" s="68" t="e">
        <f>VLOOKUP($W186,#REF!,2,FALSE)</f>
        <v>#REF!</v>
      </c>
      <c r="S186" s="73" t="e">
        <f>VLOOKUP($W186,#REF!,7,FALSE)</f>
        <v>#REF!</v>
      </c>
      <c r="T186" s="48">
        <v>7</v>
      </c>
      <c r="U186" s="48">
        <v>1</v>
      </c>
      <c r="V186" s="57" t="e">
        <f>IF(ISNUMBER(U186),HLOOKUP(U186,#REF!,2,FALSE)*E186,"")</f>
        <v>#REF!</v>
      </c>
      <c r="W186" s="48" t="s">
        <v>903</v>
      </c>
      <c r="X186" s="59">
        <v>45922</v>
      </c>
      <c r="AA186" s="45"/>
      <c r="AB186" s="45"/>
    </row>
    <row r="187" spans="1:28" x14ac:dyDescent="0.25">
      <c r="A187" s="48">
        <v>1182</v>
      </c>
      <c r="B187" s="64" t="s">
        <v>435</v>
      </c>
      <c r="C187" s="45" t="s">
        <v>871</v>
      </c>
      <c r="D187" s="62" t="s">
        <v>483</v>
      </c>
      <c r="E187" s="45">
        <v>1</v>
      </c>
      <c r="F187" s="46" t="s">
        <v>721</v>
      </c>
      <c r="G187" s="47" t="s">
        <v>46</v>
      </c>
      <c r="I187" s="45" t="s">
        <v>219</v>
      </c>
      <c r="J187" s="45" t="s">
        <v>221</v>
      </c>
      <c r="M187" s="47" t="s">
        <v>922</v>
      </c>
      <c r="N187" s="45" t="s">
        <v>894</v>
      </c>
      <c r="O187" s="45" t="s">
        <v>897</v>
      </c>
      <c r="P187" s="68" t="e">
        <f>VLOOKUP(B187,#REF!,2,FALSE)</f>
        <v>#REF!</v>
      </c>
      <c r="Q187" s="68" t="e">
        <f>VLOOKUP(B187,#REF!,3,FALSE)</f>
        <v>#REF!</v>
      </c>
      <c r="R187" s="68" t="e">
        <f>VLOOKUP($W187,#REF!,2,FALSE)</f>
        <v>#REF!</v>
      </c>
      <c r="S187" s="73" t="e">
        <f>VLOOKUP($W187,#REF!,7,FALSE)</f>
        <v>#REF!</v>
      </c>
      <c r="T187" s="48">
        <v>7</v>
      </c>
      <c r="U187" s="48">
        <v>1</v>
      </c>
      <c r="V187" s="57" t="e">
        <f>IF(ISNUMBER(U187),HLOOKUP(U187,#REF!,2,FALSE)*E187,"")</f>
        <v>#REF!</v>
      </c>
      <c r="W187" s="48" t="s">
        <v>903</v>
      </c>
      <c r="X187" s="59">
        <v>45922</v>
      </c>
      <c r="AA187" s="45"/>
      <c r="AB187" s="45"/>
    </row>
    <row r="188" spans="1:28" x14ac:dyDescent="0.25">
      <c r="A188" s="48">
        <v>1183</v>
      </c>
      <c r="B188" s="64" t="s">
        <v>435</v>
      </c>
      <c r="C188" s="45" t="s">
        <v>871</v>
      </c>
      <c r="D188" s="62" t="s">
        <v>484</v>
      </c>
      <c r="E188" s="45">
        <v>1</v>
      </c>
      <c r="F188" s="46" t="s">
        <v>721</v>
      </c>
      <c r="G188" s="47" t="s">
        <v>1053</v>
      </c>
      <c r="I188" s="45" t="s">
        <v>219</v>
      </c>
      <c r="J188" s="45" t="s">
        <v>221</v>
      </c>
      <c r="M188" s="47" t="s">
        <v>922</v>
      </c>
      <c r="N188" s="45" t="s">
        <v>894</v>
      </c>
      <c r="O188" s="45" t="s">
        <v>897</v>
      </c>
      <c r="P188" s="68" t="e">
        <f>VLOOKUP(B188,#REF!,2,FALSE)</f>
        <v>#REF!</v>
      </c>
      <c r="Q188" s="68" t="e">
        <f>VLOOKUP(B188,#REF!,3,FALSE)</f>
        <v>#REF!</v>
      </c>
      <c r="R188" s="68" t="e">
        <f>VLOOKUP($W188,#REF!,2,FALSE)</f>
        <v>#REF!</v>
      </c>
      <c r="S188" s="73" t="e">
        <f>VLOOKUP($W188,#REF!,7,FALSE)</f>
        <v>#REF!</v>
      </c>
      <c r="T188" s="48">
        <v>7</v>
      </c>
      <c r="U188" s="48">
        <v>1</v>
      </c>
      <c r="V188" s="57" t="e">
        <f>IF(ISNUMBER(U188),HLOOKUP(U188,#REF!,2,FALSE)*E188,"")</f>
        <v>#REF!</v>
      </c>
      <c r="W188" s="48" t="s">
        <v>903</v>
      </c>
      <c r="X188" s="59">
        <v>45922</v>
      </c>
      <c r="AA188" s="45"/>
      <c r="AB188" s="45"/>
    </row>
    <row r="189" spans="1:28" x14ac:dyDescent="0.25">
      <c r="A189" s="48">
        <v>1184</v>
      </c>
      <c r="B189" s="64" t="s">
        <v>435</v>
      </c>
      <c r="C189" s="45" t="s">
        <v>871</v>
      </c>
      <c r="D189" s="62" t="s">
        <v>485</v>
      </c>
      <c r="E189" s="45">
        <v>1</v>
      </c>
      <c r="F189" s="46" t="s">
        <v>721</v>
      </c>
      <c r="G189" s="47" t="s">
        <v>46</v>
      </c>
      <c r="I189" s="45" t="s">
        <v>219</v>
      </c>
      <c r="J189" s="45" t="s">
        <v>221</v>
      </c>
      <c r="M189" s="47" t="s">
        <v>922</v>
      </c>
      <c r="N189" s="45" t="s">
        <v>894</v>
      </c>
      <c r="O189" s="45" t="s">
        <v>897</v>
      </c>
      <c r="P189" s="68" t="e">
        <f>VLOOKUP(B189,#REF!,2,FALSE)</f>
        <v>#REF!</v>
      </c>
      <c r="Q189" s="68" t="e">
        <f>VLOOKUP(B189,#REF!,3,FALSE)</f>
        <v>#REF!</v>
      </c>
      <c r="R189" s="68" t="e">
        <f>VLOOKUP($W189,#REF!,2,FALSE)</f>
        <v>#REF!</v>
      </c>
      <c r="S189" s="73" t="e">
        <f>VLOOKUP($W189,#REF!,7,FALSE)</f>
        <v>#REF!</v>
      </c>
      <c r="T189" s="48">
        <v>7</v>
      </c>
      <c r="U189" s="48">
        <v>1</v>
      </c>
      <c r="V189" s="57" t="e">
        <f>IF(ISNUMBER(U189),HLOOKUP(U189,#REF!,2,FALSE)*E189,"")</f>
        <v>#REF!</v>
      </c>
      <c r="W189" s="48" t="s">
        <v>903</v>
      </c>
      <c r="X189" s="59">
        <v>45922</v>
      </c>
      <c r="AA189" s="45"/>
      <c r="AB189" s="45"/>
    </row>
    <row r="190" spans="1:28" x14ac:dyDescent="0.25">
      <c r="A190" s="48">
        <v>1185</v>
      </c>
      <c r="B190" s="64" t="s">
        <v>435</v>
      </c>
      <c r="C190" s="45" t="s">
        <v>871</v>
      </c>
      <c r="D190" s="62" t="s">
        <v>486</v>
      </c>
      <c r="E190" s="45">
        <v>1</v>
      </c>
      <c r="F190" s="46" t="s">
        <v>721</v>
      </c>
      <c r="G190" s="47" t="s">
        <v>46</v>
      </c>
      <c r="I190" s="45" t="s">
        <v>219</v>
      </c>
      <c r="J190" s="45" t="s">
        <v>221</v>
      </c>
      <c r="M190" s="47" t="s">
        <v>922</v>
      </c>
      <c r="N190" s="45" t="s">
        <v>894</v>
      </c>
      <c r="O190" s="45" t="s">
        <v>897</v>
      </c>
      <c r="P190" s="68" t="e">
        <f>VLOOKUP(B190,#REF!,2,FALSE)</f>
        <v>#REF!</v>
      </c>
      <c r="Q190" s="68" t="e">
        <f>VLOOKUP(B190,#REF!,3,FALSE)</f>
        <v>#REF!</v>
      </c>
      <c r="R190" s="68" t="e">
        <f>VLOOKUP($W190,#REF!,2,FALSE)</f>
        <v>#REF!</v>
      </c>
      <c r="S190" s="73" t="e">
        <f>VLOOKUP($W190,#REF!,7,FALSE)</f>
        <v>#REF!</v>
      </c>
      <c r="T190" s="48">
        <v>7</v>
      </c>
      <c r="U190" s="48">
        <v>1</v>
      </c>
      <c r="V190" s="57" t="e">
        <f>IF(ISNUMBER(U190),HLOOKUP(U190,#REF!,2,FALSE)*E190,"")</f>
        <v>#REF!</v>
      </c>
      <c r="W190" s="48" t="s">
        <v>903</v>
      </c>
      <c r="X190" s="59">
        <v>45922</v>
      </c>
      <c r="AA190" s="45"/>
      <c r="AB190" s="45"/>
    </row>
    <row r="191" spans="1:28" x14ac:dyDescent="0.25">
      <c r="A191" s="48">
        <v>1186</v>
      </c>
      <c r="B191" s="64" t="s">
        <v>435</v>
      </c>
      <c r="C191" s="45" t="s">
        <v>871</v>
      </c>
      <c r="D191" s="62" t="s">
        <v>487</v>
      </c>
      <c r="E191" s="45">
        <v>1</v>
      </c>
      <c r="F191" s="46" t="s">
        <v>721</v>
      </c>
      <c r="G191" s="47" t="s">
        <v>46</v>
      </c>
      <c r="I191" s="45" t="s">
        <v>219</v>
      </c>
      <c r="J191" s="45" t="s">
        <v>221</v>
      </c>
      <c r="M191" s="47" t="s">
        <v>922</v>
      </c>
      <c r="N191" s="45" t="s">
        <v>894</v>
      </c>
      <c r="O191" s="45" t="s">
        <v>897</v>
      </c>
      <c r="P191" s="68" t="e">
        <f>VLOOKUP(B191,#REF!,2,FALSE)</f>
        <v>#REF!</v>
      </c>
      <c r="Q191" s="68" t="e">
        <f>VLOOKUP(B191,#REF!,3,FALSE)</f>
        <v>#REF!</v>
      </c>
      <c r="R191" s="68" t="e">
        <f>VLOOKUP($W191,#REF!,2,FALSE)</f>
        <v>#REF!</v>
      </c>
      <c r="S191" s="73" t="e">
        <f>VLOOKUP($W191,#REF!,7,FALSE)</f>
        <v>#REF!</v>
      </c>
      <c r="T191" s="48">
        <v>7</v>
      </c>
      <c r="U191" s="48">
        <v>1</v>
      </c>
      <c r="V191" s="57" t="e">
        <f>IF(ISNUMBER(U191),HLOOKUP(U191,#REF!,2,FALSE)*E191,"")</f>
        <v>#REF!</v>
      </c>
      <c r="W191" s="48" t="s">
        <v>903</v>
      </c>
      <c r="X191" s="59">
        <v>45922</v>
      </c>
      <c r="AA191" s="45"/>
      <c r="AB191" s="45"/>
    </row>
    <row r="192" spans="1:28" x14ac:dyDescent="0.25">
      <c r="A192" s="48">
        <v>1187</v>
      </c>
      <c r="B192" s="64" t="s">
        <v>435</v>
      </c>
      <c r="C192" s="45" t="s">
        <v>871</v>
      </c>
      <c r="D192" s="62" t="s">
        <v>1098</v>
      </c>
      <c r="E192" s="45">
        <v>1</v>
      </c>
      <c r="F192" s="46" t="s">
        <v>721</v>
      </c>
      <c r="G192" s="47" t="s">
        <v>259</v>
      </c>
      <c r="I192" s="45" t="s">
        <v>219</v>
      </c>
      <c r="J192" s="45" t="s">
        <v>221</v>
      </c>
      <c r="L192" s="47" t="s">
        <v>831</v>
      </c>
      <c r="M192" s="47" t="s">
        <v>922</v>
      </c>
      <c r="N192" s="45" t="s">
        <v>894</v>
      </c>
      <c r="O192" s="45" t="s">
        <v>897</v>
      </c>
      <c r="P192" s="68" t="e">
        <f>VLOOKUP(B192,#REF!,2,FALSE)</f>
        <v>#REF!</v>
      </c>
      <c r="Q192" s="68" t="e">
        <f>VLOOKUP(B192,#REF!,3,FALSE)</f>
        <v>#REF!</v>
      </c>
      <c r="R192" s="68" t="e">
        <f>VLOOKUP($W192,#REF!,2,FALSE)</f>
        <v>#REF!</v>
      </c>
      <c r="S192" s="73" t="e">
        <f>VLOOKUP($W192,#REF!,7,FALSE)</f>
        <v>#REF!</v>
      </c>
      <c r="T192" s="48">
        <v>7</v>
      </c>
      <c r="U192" s="48">
        <v>1</v>
      </c>
      <c r="V192" s="57" t="e">
        <f>IF(ISNUMBER(U192),HLOOKUP(U192,#REF!,2,FALSE)*E192,"")</f>
        <v>#REF!</v>
      </c>
      <c r="W192" s="48" t="s">
        <v>903</v>
      </c>
      <c r="X192" s="59">
        <v>45922</v>
      </c>
      <c r="AA192" s="45"/>
      <c r="AB192" s="45"/>
    </row>
    <row r="193" spans="1:28" x14ac:dyDescent="0.25">
      <c r="A193" s="48">
        <v>1188</v>
      </c>
      <c r="B193" s="64" t="s">
        <v>435</v>
      </c>
      <c r="C193" s="45" t="s">
        <v>183</v>
      </c>
      <c r="D193" s="62" t="s">
        <v>489</v>
      </c>
      <c r="E193" s="45">
        <v>1</v>
      </c>
      <c r="F193" s="46" t="s">
        <v>721</v>
      </c>
      <c r="G193" s="47" t="s">
        <v>46</v>
      </c>
      <c r="I193" s="45" t="s">
        <v>219</v>
      </c>
      <c r="J193" s="45" t="s">
        <v>221</v>
      </c>
      <c r="M193" s="47" t="s">
        <v>921</v>
      </c>
      <c r="N193" s="45" t="s">
        <v>894</v>
      </c>
      <c r="O193" s="45" t="s">
        <v>897</v>
      </c>
      <c r="P193" s="68" t="e">
        <f>VLOOKUP(B193,#REF!,2,FALSE)</f>
        <v>#REF!</v>
      </c>
      <c r="Q193" s="68" t="e">
        <f>VLOOKUP(B193,#REF!,3,FALSE)</f>
        <v>#REF!</v>
      </c>
      <c r="R193" s="68" t="e">
        <f>VLOOKUP($W193,#REF!,2,FALSE)</f>
        <v>#REF!</v>
      </c>
      <c r="S193" s="73" t="e">
        <f>VLOOKUP($W193,#REF!,7,FALSE)</f>
        <v>#REF!</v>
      </c>
      <c r="T193" s="48">
        <v>7</v>
      </c>
      <c r="U193" s="48">
        <v>1</v>
      </c>
      <c r="V193" s="57" t="e">
        <f>IF(ISNUMBER(U193),HLOOKUP(U193,#REF!,2,FALSE)*E193,"")</f>
        <v>#REF!</v>
      </c>
      <c r="W193" s="48" t="s">
        <v>903</v>
      </c>
      <c r="X193" s="59">
        <v>45922</v>
      </c>
      <c r="Y193" s="59">
        <v>45923</v>
      </c>
      <c r="AA193" s="45"/>
      <c r="AB193" s="45"/>
    </row>
    <row r="194" spans="1:28" x14ac:dyDescent="0.25">
      <c r="A194" s="48">
        <v>1189</v>
      </c>
      <c r="B194" s="64" t="s">
        <v>435</v>
      </c>
      <c r="C194" s="45" t="s">
        <v>183</v>
      </c>
      <c r="D194" s="62" t="s">
        <v>490</v>
      </c>
      <c r="E194" s="45">
        <v>1</v>
      </c>
      <c r="F194" s="46" t="s">
        <v>721</v>
      </c>
      <c r="G194" s="47" t="s">
        <v>46</v>
      </c>
      <c r="I194" s="45" t="s">
        <v>219</v>
      </c>
      <c r="J194" s="45" t="s">
        <v>221</v>
      </c>
      <c r="M194" s="47" t="s">
        <v>921</v>
      </c>
      <c r="N194" s="45" t="s">
        <v>894</v>
      </c>
      <c r="O194" s="45" t="s">
        <v>897</v>
      </c>
      <c r="P194" s="68" t="e">
        <f>VLOOKUP(B194,#REF!,2,FALSE)</f>
        <v>#REF!</v>
      </c>
      <c r="Q194" s="68" t="e">
        <f>VLOOKUP(B194,#REF!,3,FALSE)</f>
        <v>#REF!</v>
      </c>
      <c r="R194" s="68" t="e">
        <f>VLOOKUP($W194,#REF!,2,FALSE)</f>
        <v>#REF!</v>
      </c>
      <c r="S194" s="73" t="e">
        <f>VLOOKUP($W194,#REF!,7,FALSE)</f>
        <v>#REF!</v>
      </c>
      <c r="T194" s="48">
        <v>7</v>
      </c>
      <c r="U194" s="48">
        <v>1</v>
      </c>
      <c r="V194" s="57" t="e">
        <f>IF(ISNUMBER(U194),HLOOKUP(U194,#REF!,2,FALSE)*E194,"")</f>
        <v>#REF!</v>
      </c>
      <c r="W194" s="48" t="s">
        <v>903</v>
      </c>
      <c r="X194" s="59">
        <v>45922</v>
      </c>
      <c r="Y194" s="59">
        <v>45923</v>
      </c>
      <c r="AA194" s="45"/>
      <c r="AB194" s="45"/>
    </row>
    <row r="195" spans="1:28" x14ac:dyDescent="0.25">
      <c r="A195" s="48">
        <v>1190</v>
      </c>
      <c r="B195" s="64" t="s">
        <v>435</v>
      </c>
      <c r="C195" s="45" t="s">
        <v>183</v>
      </c>
      <c r="D195" s="62" t="s">
        <v>491</v>
      </c>
      <c r="E195" s="45">
        <v>1</v>
      </c>
      <c r="F195" s="46" t="s">
        <v>721</v>
      </c>
      <c r="G195" s="47" t="s">
        <v>46</v>
      </c>
      <c r="I195" s="45" t="s">
        <v>219</v>
      </c>
      <c r="J195" s="45" t="s">
        <v>221</v>
      </c>
      <c r="M195" s="47" t="s">
        <v>921</v>
      </c>
      <c r="N195" s="45" t="s">
        <v>894</v>
      </c>
      <c r="O195" s="45" t="s">
        <v>897</v>
      </c>
      <c r="P195" s="68" t="e">
        <f>VLOOKUP(B195,#REF!,2,FALSE)</f>
        <v>#REF!</v>
      </c>
      <c r="Q195" s="68" t="e">
        <f>VLOOKUP(B195,#REF!,3,FALSE)</f>
        <v>#REF!</v>
      </c>
      <c r="R195" s="68" t="e">
        <f>VLOOKUP($W195,#REF!,2,FALSE)</f>
        <v>#REF!</v>
      </c>
      <c r="S195" s="73" t="e">
        <f>VLOOKUP($W195,#REF!,7,FALSE)</f>
        <v>#REF!</v>
      </c>
      <c r="T195" s="48">
        <v>7</v>
      </c>
      <c r="U195" s="48">
        <v>1</v>
      </c>
      <c r="V195" s="57" t="e">
        <f>IF(ISNUMBER(U195),HLOOKUP(U195,#REF!,2,FALSE)*E195,"")</f>
        <v>#REF!</v>
      </c>
      <c r="W195" s="48" t="s">
        <v>903</v>
      </c>
      <c r="X195" s="59">
        <v>45922</v>
      </c>
      <c r="Y195" s="59">
        <v>45923</v>
      </c>
      <c r="AA195" s="45"/>
      <c r="AB195" s="45"/>
    </row>
    <row r="196" spans="1:28" x14ac:dyDescent="0.25">
      <c r="A196" s="48">
        <v>1191</v>
      </c>
      <c r="B196" s="64" t="s">
        <v>435</v>
      </c>
      <c r="C196" s="45" t="s">
        <v>183</v>
      </c>
      <c r="D196" s="62" t="s">
        <v>492</v>
      </c>
      <c r="E196" s="45">
        <v>1</v>
      </c>
      <c r="F196" s="46" t="s">
        <v>721</v>
      </c>
      <c r="G196" s="47" t="s">
        <v>46</v>
      </c>
      <c r="I196" s="45" t="s">
        <v>219</v>
      </c>
      <c r="J196" s="45" t="s">
        <v>221</v>
      </c>
      <c r="M196" s="47" t="s">
        <v>921</v>
      </c>
      <c r="N196" s="45" t="s">
        <v>894</v>
      </c>
      <c r="O196" s="45" t="s">
        <v>897</v>
      </c>
      <c r="P196" s="68" t="e">
        <f>VLOOKUP(B196,#REF!,2,FALSE)</f>
        <v>#REF!</v>
      </c>
      <c r="Q196" s="68" t="e">
        <f>VLOOKUP(B196,#REF!,3,FALSE)</f>
        <v>#REF!</v>
      </c>
      <c r="R196" s="68" t="e">
        <f>VLOOKUP($W196,#REF!,2,FALSE)</f>
        <v>#REF!</v>
      </c>
      <c r="S196" s="73" t="e">
        <f>VLOOKUP($W196,#REF!,7,FALSE)</f>
        <v>#REF!</v>
      </c>
      <c r="T196" s="48">
        <v>7</v>
      </c>
      <c r="U196" s="48">
        <v>1</v>
      </c>
      <c r="V196" s="57" t="e">
        <f>IF(ISNUMBER(U196),HLOOKUP(U196,#REF!,2,FALSE)*E196,"")</f>
        <v>#REF!</v>
      </c>
      <c r="W196" s="48" t="s">
        <v>903</v>
      </c>
      <c r="X196" s="59">
        <v>45922</v>
      </c>
      <c r="Y196" s="59">
        <v>45923</v>
      </c>
      <c r="AA196" s="45"/>
      <c r="AB196" s="45"/>
    </row>
    <row r="197" spans="1:28" x14ac:dyDescent="0.25">
      <c r="A197" s="48">
        <v>1192</v>
      </c>
      <c r="B197" s="64" t="s">
        <v>435</v>
      </c>
      <c r="C197" s="45" t="s">
        <v>183</v>
      </c>
      <c r="D197" s="62" t="s">
        <v>493</v>
      </c>
      <c r="E197" s="45">
        <v>1</v>
      </c>
      <c r="F197" s="46" t="s">
        <v>721</v>
      </c>
      <c r="G197" s="47" t="s">
        <v>46</v>
      </c>
      <c r="I197" s="45" t="s">
        <v>219</v>
      </c>
      <c r="J197" s="45" t="s">
        <v>221</v>
      </c>
      <c r="M197" s="47" t="s">
        <v>921</v>
      </c>
      <c r="N197" s="45" t="s">
        <v>894</v>
      </c>
      <c r="O197" s="45" t="s">
        <v>897</v>
      </c>
      <c r="P197" s="68" t="e">
        <f>VLOOKUP(B197,#REF!,2,FALSE)</f>
        <v>#REF!</v>
      </c>
      <c r="Q197" s="68" t="e">
        <f>VLOOKUP(B197,#REF!,3,FALSE)</f>
        <v>#REF!</v>
      </c>
      <c r="R197" s="68" t="e">
        <f>VLOOKUP($W197,#REF!,2,FALSE)</f>
        <v>#REF!</v>
      </c>
      <c r="S197" s="73" t="e">
        <f>VLOOKUP($W197,#REF!,7,FALSE)</f>
        <v>#REF!</v>
      </c>
      <c r="T197" s="48">
        <v>7</v>
      </c>
      <c r="U197" s="48">
        <v>1</v>
      </c>
      <c r="V197" s="57" t="e">
        <f>IF(ISNUMBER(U197),HLOOKUP(U197,#REF!,2,FALSE)*E197,"")</f>
        <v>#REF!</v>
      </c>
      <c r="W197" s="48" t="s">
        <v>903</v>
      </c>
      <c r="X197" s="59">
        <v>45922</v>
      </c>
      <c r="Y197" s="59">
        <v>45923</v>
      </c>
      <c r="AA197" s="45"/>
      <c r="AB197" s="45"/>
    </row>
    <row r="198" spans="1:28" ht="43.15" customHeight="1" x14ac:dyDescent="0.25">
      <c r="A198" s="48">
        <v>1193</v>
      </c>
      <c r="B198" s="64" t="s">
        <v>494</v>
      </c>
      <c r="C198" s="45" t="s">
        <v>212</v>
      </c>
      <c r="D198" s="62" t="s">
        <v>495</v>
      </c>
      <c r="E198" s="45">
        <v>1</v>
      </c>
      <c r="F198" s="46">
        <v>80</v>
      </c>
      <c r="G198" s="47" t="s">
        <v>1035</v>
      </c>
      <c r="I198" s="45" t="s">
        <v>218</v>
      </c>
      <c r="L198" s="70" t="s">
        <v>962</v>
      </c>
      <c r="M198" s="70" t="s">
        <v>951</v>
      </c>
      <c r="N198" s="71" t="s">
        <v>894</v>
      </c>
      <c r="O198" s="45" t="s">
        <v>897</v>
      </c>
      <c r="P198" s="68" t="e">
        <f>VLOOKUP(B198,#REF!,2,FALSE)</f>
        <v>#REF!</v>
      </c>
      <c r="Q198" s="68" t="e">
        <f>VLOOKUP(B198,#REF!,3,FALSE)</f>
        <v>#REF!</v>
      </c>
      <c r="R198" s="68" t="e">
        <f>VLOOKUP($W198,#REF!,2,FALSE)</f>
        <v>#REF!</v>
      </c>
      <c r="S198" s="73" t="e">
        <f>VLOOKUP($W198,#REF!,7,FALSE)</f>
        <v>#REF!</v>
      </c>
      <c r="U198" s="48">
        <v>1</v>
      </c>
      <c r="V198" s="57" t="e">
        <f>IF(ISNUMBER(U198),HLOOKUP(U198,#REF!,2,FALSE)*E198,"")</f>
        <v>#REF!</v>
      </c>
      <c r="W198" s="48" t="s">
        <v>903</v>
      </c>
      <c r="AA198" s="45"/>
      <c r="AB198" s="45"/>
    </row>
    <row r="199" spans="1:28" ht="30" x14ac:dyDescent="0.25">
      <c r="A199" s="48">
        <v>1194</v>
      </c>
      <c r="B199" s="64" t="s">
        <v>494</v>
      </c>
      <c r="C199" s="45" t="s">
        <v>212</v>
      </c>
      <c r="D199" s="62" t="s">
        <v>496</v>
      </c>
      <c r="E199" s="45">
        <v>1</v>
      </c>
      <c r="F199" s="46">
        <v>80</v>
      </c>
      <c r="G199" s="47" t="s">
        <v>1036</v>
      </c>
      <c r="I199" s="45" t="s">
        <v>218</v>
      </c>
      <c r="N199" s="45" t="s">
        <v>899</v>
      </c>
      <c r="O199" s="45" t="s">
        <v>897</v>
      </c>
      <c r="P199" s="68" t="e">
        <f>VLOOKUP(B199,#REF!,2,FALSE)</f>
        <v>#REF!</v>
      </c>
      <c r="Q199" s="68" t="e">
        <f>VLOOKUP(B199,#REF!,3,FALSE)</f>
        <v>#REF!</v>
      </c>
      <c r="R199" s="68" t="e">
        <f>VLOOKUP($W199,#REF!,2,FALSE)</f>
        <v>#REF!</v>
      </c>
      <c r="S199" s="73" t="e">
        <f>VLOOKUP($W199,#REF!,7,FALSE)</f>
        <v>#REF!</v>
      </c>
      <c r="U199" s="48">
        <v>1</v>
      </c>
      <c r="V199" s="57" t="e">
        <f>IF(ISNUMBER(U199),HLOOKUP(U199,#REF!,2,FALSE)*E199,"")</f>
        <v>#REF!</v>
      </c>
      <c r="W199" s="48" t="s">
        <v>903</v>
      </c>
      <c r="AA199" s="45"/>
      <c r="AB199" s="45"/>
    </row>
    <row r="200" spans="1:28" x14ac:dyDescent="0.25">
      <c r="A200" s="48">
        <v>1195</v>
      </c>
      <c r="B200" s="64" t="s">
        <v>494</v>
      </c>
      <c r="C200" s="45" t="s">
        <v>212</v>
      </c>
      <c r="D200" s="62" t="s">
        <v>497</v>
      </c>
      <c r="E200" s="45">
        <v>1</v>
      </c>
      <c r="F200" s="46">
        <v>80</v>
      </c>
      <c r="G200" s="47" t="s">
        <v>259</v>
      </c>
      <c r="I200" s="45" t="s">
        <v>218</v>
      </c>
      <c r="N200" s="45" t="s">
        <v>899</v>
      </c>
      <c r="O200" s="45" t="s">
        <v>897</v>
      </c>
      <c r="P200" s="68" t="e">
        <f>VLOOKUP(B200,#REF!,2,FALSE)</f>
        <v>#REF!</v>
      </c>
      <c r="Q200" s="68" t="e">
        <f>VLOOKUP(B200,#REF!,3,FALSE)</f>
        <v>#REF!</v>
      </c>
      <c r="R200" s="68" t="e">
        <f>VLOOKUP($W200,#REF!,2,FALSE)</f>
        <v>#REF!</v>
      </c>
      <c r="S200" s="73" t="e">
        <f>VLOOKUP($W200,#REF!,7,FALSE)</f>
        <v>#REF!</v>
      </c>
      <c r="U200" s="48">
        <v>1</v>
      </c>
      <c r="V200" s="57" t="e">
        <f>IF(ISNUMBER(U200),HLOOKUP(U200,#REF!,2,FALSE)*E200,"")</f>
        <v>#REF!</v>
      </c>
      <c r="W200" s="48" t="s">
        <v>903</v>
      </c>
      <c r="AA200" s="45"/>
      <c r="AB200" s="45"/>
    </row>
    <row r="201" spans="1:28" x14ac:dyDescent="0.25">
      <c r="A201" s="48">
        <v>1196</v>
      </c>
      <c r="B201" s="64" t="s">
        <v>494</v>
      </c>
      <c r="C201" s="45" t="s">
        <v>212</v>
      </c>
      <c r="D201" s="62" t="s">
        <v>499</v>
      </c>
      <c r="E201" s="45">
        <v>0</v>
      </c>
      <c r="F201" s="46">
        <v>80</v>
      </c>
      <c r="G201" s="47" t="s">
        <v>169</v>
      </c>
      <c r="I201" s="45" t="s">
        <v>218</v>
      </c>
      <c r="N201" s="45" t="s">
        <v>899</v>
      </c>
      <c r="O201" s="45" t="s">
        <v>897</v>
      </c>
      <c r="P201" s="68" t="e">
        <f>VLOOKUP(B201,#REF!,2,FALSE)</f>
        <v>#REF!</v>
      </c>
      <c r="Q201" s="68" t="e">
        <f>VLOOKUP(B201,#REF!,3,FALSE)</f>
        <v>#REF!</v>
      </c>
      <c r="R201" s="68" t="e">
        <f>VLOOKUP($W201,#REF!,2,FALSE)</f>
        <v>#REF!</v>
      </c>
      <c r="S201" s="73" t="e">
        <f>VLOOKUP($W201,#REF!,7,FALSE)</f>
        <v>#REF!</v>
      </c>
      <c r="U201" s="48">
        <v>0</v>
      </c>
      <c r="V201" s="57" t="e">
        <f>IF(ISNUMBER(U201),HLOOKUP(U201,#REF!,2,FALSE)*E201,"")</f>
        <v>#REF!</v>
      </c>
      <c r="W201" s="48" t="s">
        <v>903</v>
      </c>
      <c r="AA201" s="45"/>
      <c r="AB201" s="45"/>
    </row>
    <row r="202" spans="1:28" x14ac:dyDescent="0.25">
      <c r="A202" s="48">
        <v>1197</v>
      </c>
      <c r="B202" s="64" t="s">
        <v>494</v>
      </c>
      <c r="C202" s="45" t="s">
        <v>212</v>
      </c>
      <c r="D202" s="62" t="s">
        <v>500</v>
      </c>
      <c r="E202" s="45">
        <v>0</v>
      </c>
      <c r="F202" s="46">
        <v>80</v>
      </c>
      <c r="G202" s="47" t="s">
        <v>169</v>
      </c>
      <c r="I202" s="45" t="s">
        <v>218</v>
      </c>
      <c r="N202" s="45" t="s">
        <v>899</v>
      </c>
      <c r="O202" s="45" t="s">
        <v>897</v>
      </c>
      <c r="P202" s="68" t="e">
        <f>VLOOKUP(B202,#REF!,2,FALSE)</f>
        <v>#REF!</v>
      </c>
      <c r="Q202" s="68" t="e">
        <f>VLOOKUP(B202,#REF!,3,FALSE)</f>
        <v>#REF!</v>
      </c>
      <c r="R202" s="68" t="e">
        <f>VLOOKUP($W202,#REF!,2,FALSE)</f>
        <v>#REF!</v>
      </c>
      <c r="S202" s="73" t="e">
        <f>VLOOKUP($W202,#REF!,7,FALSE)</f>
        <v>#REF!</v>
      </c>
      <c r="U202" s="48">
        <v>0</v>
      </c>
      <c r="V202" s="57" t="e">
        <f>IF(ISNUMBER(U202),HLOOKUP(U202,#REF!,2,FALSE)*E202,"")</f>
        <v>#REF!</v>
      </c>
      <c r="W202" s="48" t="s">
        <v>903</v>
      </c>
      <c r="AA202" s="45"/>
      <c r="AB202" s="45"/>
    </row>
    <row r="203" spans="1:28" x14ac:dyDescent="0.25">
      <c r="A203" s="48">
        <v>1198</v>
      </c>
      <c r="B203" s="64" t="s">
        <v>494</v>
      </c>
      <c r="C203" s="45" t="s">
        <v>212</v>
      </c>
      <c r="D203" s="62" t="s">
        <v>501</v>
      </c>
      <c r="E203" s="45">
        <v>0</v>
      </c>
      <c r="F203" s="46">
        <v>80</v>
      </c>
      <c r="G203" s="47" t="s">
        <v>169</v>
      </c>
      <c r="I203" s="45" t="s">
        <v>218</v>
      </c>
      <c r="N203" s="45" t="s">
        <v>899</v>
      </c>
      <c r="O203" s="45" t="s">
        <v>897</v>
      </c>
      <c r="P203" s="68" t="e">
        <f>VLOOKUP(B203,#REF!,2,FALSE)</f>
        <v>#REF!</v>
      </c>
      <c r="Q203" s="68" t="e">
        <f>VLOOKUP(B203,#REF!,3,FALSE)</f>
        <v>#REF!</v>
      </c>
      <c r="R203" s="68" t="e">
        <f>VLOOKUP($W203,#REF!,2,FALSE)</f>
        <v>#REF!</v>
      </c>
      <c r="S203" s="73" t="e">
        <f>VLOOKUP($W203,#REF!,7,FALSE)</f>
        <v>#REF!</v>
      </c>
      <c r="U203" s="48">
        <v>0</v>
      </c>
      <c r="V203" s="57" t="e">
        <f>IF(ISNUMBER(U203),HLOOKUP(U203,#REF!,2,FALSE)*E203,"")</f>
        <v>#REF!</v>
      </c>
      <c r="W203" s="48" t="s">
        <v>903</v>
      </c>
      <c r="AA203" s="45"/>
      <c r="AB203" s="45"/>
    </row>
    <row r="204" spans="1:28" x14ac:dyDescent="0.25">
      <c r="A204" s="48">
        <v>1199</v>
      </c>
      <c r="B204" s="64" t="s">
        <v>494</v>
      </c>
      <c r="C204" s="45" t="s">
        <v>212</v>
      </c>
      <c r="D204" s="62" t="s">
        <v>502</v>
      </c>
      <c r="E204" s="45">
        <v>0</v>
      </c>
      <c r="F204" s="46">
        <v>80</v>
      </c>
      <c r="G204" s="47" t="s">
        <v>169</v>
      </c>
      <c r="I204" s="45" t="s">
        <v>218</v>
      </c>
      <c r="N204" s="45" t="s">
        <v>899</v>
      </c>
      <c r="O204" s="45" t="s">
        <v>897</v>
      </c>
      <c r="P204" s="68" t="e">
        <f>VLOOKUP(B204,#REF!,2,FALSE)</f>
        <v>#REF!</v>
      </c>
      <c r="Q204" s="68" t="e">
        <f>VLOOKUP(B204,#REF!,3,FALSE)</f>
        <v>#REF!</v>
      </c>
      <c r="R204" s="68" t="e">
        <f>VLOOKUP($W204,#REF!,2,FALSE)</f>
        <v>#REF!</v>
      </c>
      <c r="S204" s="73" t="e">
        <f>VLOOKUP($W204,#REF!,7,FALSE)</f>
        <v>#REF!</v>
      </c>
      <c r="U204" s="48">
        <v>0</v>
      </c>
      <c r="V204" s="57" t="e">
        <f>IF(ISNUMBER(U204),HLOOKUP(U204,#REF!,2,FALSE)*E204,"")</f>
        <v>#REF!</v>
      </c>
      <c r="W204" s="48" t="s">
        <v>903</v>
      </c>
      <c r="AA204" s="45"/>
      <c r="AB204" s="45"/>
    </row>
    <row r="205" spans="1:28" ht="30" x14ac:dyDescent="0.25">
      <c r="A205" s="48">
        <v>1200</v>
      </c>
      <c r="B205" s="64" t="s">
        <v>494</v>
      </c>
      <c r="C205" s="45" t="s">
        <v>212</v>
      </c>
      <c r="D205" s="62" t="s">
        <v>503</v>
      </c>
      <c r="E205" s="45">
        <v>1</v>
      </c>
      <c r="F205" s="46">
        <v>80</v>
      </c>
      <c r="G205" s="47" t="s">
        <v>1037</v>
      </c>
      <c r="I205" s="45" t="s">
        <v>218</v>
      </c>
      <c r="N205" s="45" t="s">
        <v>899</v>
      </c>
      <c r="O205" s="45" t="s">
        <v>897</v>
      </c>
      <c r="P205" s="68" t="e">
        <f>VLOOKUP(B205,#REF!,2,FALSE)</f>
        <v>#REF!</v>
      </c>
      <c r="Q205" s="68" t="e">
        <f>VLOOKUP(B205,#REF!,3,FALSE)</f>
        <v>#REF!</v>
      </c>
      <c r="R205" s="68" t="e">
        <f>VLOOKUP($W205,#REF!,2,FALSE)</f>
        <v>#REF!</v>
      </c>
      <c r="S205" s="73" t="e">
        <f>VLOOKUP($W205,#REF!,7,FALSE)</f>
        <v>#REF!</v>
      </c>
      <c r="U205" s="48">
        <v>1</v>
      </c>
      <c r="V205" s="57" t="e">
        <f>IF(ISNUMBER(U205),HLOOKUP(U205,#REF!,2,FALSE)*E205,"")</f>
        <v>#REF!</v>
      </c>
      <c r="W205" s="48" t="s">
        <v>903</v>
      </c>
      <c r="AA205" s="45"/>
      <c r="AB205" s="45"/>
    </row>
    <row r="206" spans="1:28" ht="23.25" x14ac:dyDescent="0.25">
      <c r="A206" s="48">
        <v>1201</v>
      </c>
      <c r="B206" s="64" t="s">
        <v>494</v>
      </c>
      <c r="C206" s="45" t="s">
        <v>198</v>
      </c>
      <c r="D206" s="62" t="s">
        <v>1099</v>
      </c>
      <c r="E206" s="45">
        <v>1</v>
      </c>
      <c r="F206" s="46" t="s">
        <v>783</v>
      </c>
      <c r="G206" s="47" t="s">
        <v>259</v>
      </c>
      <c r="I206" s="45" t="s">
        <v>218</v>
      </c>
      <c r="N206" s="45" t="s">
        <v>899</v>
      </c>
      <c r="O206" s="45" t="s">
        <v>897</v>
      </c>
      <c r="P206" s="68" t="e">
        <f>VLOOKUP(B206,#REF!,2,FALSE)</f>
        <v>#REF!</v>
      </c>
      <c r="Q206" s="68" t="e">
        <f>VLOOKUP(B206,#REF!,3,FALSE)</f>
        <v>#REF!</v>
      </c>
      <c r="R206" s="68" t="e">
        <f>VLOOKUP($W206,#REF!,2,FALSE)</f>
        <v>#REF!</v>
      </c>
      <c r="S206" s="73" t="e">
        <f>VLOOKUP($W206,#REF!,7,FALSE)</f>
        <v>#REF!</v>
      </c>
      <c r="U206" s="48">
        <v>1</v>
      </c>
      <c r="V206" s="57" t="e">
        <f>IF(ISNUMBER(U206),HLOOKUP(U206,#REF!,2,FALSE)*E206,"")</f>
        <v>#REF!</v>
      </c>
      <c r="W206" s="48" t="s">
        <v>903</v>
      </c>
      <c r="AA206" s="45"/>
      <c r="AB206" s="45"/>
    </row>
    <row r="207" spans="1:28" x14ac:dyDescent="0.25">
      <c r="A207" s="48">
        <v>1202</v>
      </c>
      <c r="B207" s="64" t="s">
        <v>494</v>
      </c>
      <c r="C207" s="45" t="s">
        <v>836</v>
      </c>
      <c r="D207" s="62" t="s">
        <v>808</v>
      </c>
      <c r="E207" s="45">
        <v>1</v>
      </c>
      <c r="F207" s="46">
        <v>81</v>
      </c>
      <c r="G207" s="47" t="s">
        <v>46</v>
      </c>
      <c r="I207" s="45" t="s">
        <v>218</v>
      </c>
      <c r="N207" s="45" t="s">
        <v>899</v>
      </c>
      <c r="O207" s="45" t="s">
        <v>897</v>
      </c>
      <c r="P207" s="68" t="e">
        <f>VLOOKUP(B207,#REF!,2,FALSE)</f>
        <v>#REF!</v>
      </c>
      <c r="Q207" s="68" t="e">
        <f>VLOOKUP(B207,#REF!,3,FALSE)</f>
        <v>#REF!</v>
      </c>
      <c r="R207" s="68" t="e">
        <f>VLOOKUP($W207,#REF!,2,FALSE)</f>
        <v>#REF!</v>
      </c>
      <c r="S207" s="73" t="e">
        <f>VLOOKUP($W207,#REF!,7,FALSE)</f>
        <v>#REF!</v>
      </c>
      <c r="U207" s="48">
        <v>1</v>
      </c>
      <c r="V207" s="57" t="e">
        <f>IF(ISNUMBER(U207),HLOOKUP(U207,#REF!,2,FALSE)*E207,"")</f>
        <v>#REF!</v>
      </c>
      <c r="W207" s="48" t="s">
        <v>903</v>
      </c>
      <c r="AA207" s="45"/>
      <c r="AB207" s="45"/>
    </row>
    <row r="208" spans="1:28" ht="30" x14ac:dyDescent="0.25">
      <c r="A208" s="48">
        <v>1203</v>
      </c>
      <c r="B208" s="64" t="s">
        <v>494</v>
      </c>
      <c r="C208" s="45" t="s">
        <v>198</v>
      </c>
      <c r="D208" s="62" t="s">
        <v>506</v>
      </c>
      <c r="E208" s="45">
        <v>1</v>
      </c>
      <c r="F208" s="46">
        <v>82</v>
      </c>
      <c r="G208" s="47" t="s">
        <v>1040</v>
      </c>
      <c r="I208" s="45" t="s">
        <v>218</v>
      </c>
      <c r="L208" s="47" t="s">
        <v>507</v>
      </c>
      <c r="N208" s="45" t="s">
        <v>899</v>
      </c>
      <c r="O208" s="45" t="s">
        <v>897</v>
      </c>
      <c r="P208" s="68" t="e">
        <f>VLOOKUP(B208,#REF!,2,FALSE)</f>
        <v>#REF!</v>
      </c>
      <c r="Q208" s="68" t="e">
        <f>VLOOKUP(B208,#REF!,3,FALSE)</f>
        <v>#REF!</v>
      </c>
      <c r="R208" s="68" t="e">
        <f>VLOOKUP($W208,#REF!,2,FALSE)</f>
        <v>#REF!</v>
      </c>
      <c r="S208" s="73" t="e">
        <f>VLOOKUP($W208,#REF!,7,FALSE)</f>
        <v>#REF!</v>
      </c>
      <c r="U208" s="48">
        <v>2</v>
      </c>
      <c r="V208" s="57" t="e">
        <f>IF(ISNUMBER(U208),HLOOKUP(U208,#REF!,2,FALSE)*E208,"")</f>
        <v>#REF!</v>
      </c>
      <c r="W208" s="48" t="s">
        <v>903</v>
      </c>
      <c r="AA208" s="45"/>
      <c r="AB208" s="45"/>
    </row>
    <row r="209" spans="1:28" ht="30" x14ac:dyDescent="0.25">
      <c r="A209" s="48">
        <v>1204</v>
      </c>
      <c r="B209" s="64" t="s">
        <v>509</v>
      </c>
      <c r="C209" s="45" t="s">
        <v>185</v>
      </c>
      <c r="D209" s="62" t="s">
        <v>508</v>
      </c>
      <c r="E209" s="45">
        <v>1</v>
      </c>
      <c r="F209" s="46">
        <v>84</v>
      </c>
      <c r="G209" s="47" t="s">
        <v>1039</v>
      </c>
      <c r="I209" s="45" t="s">
        <v>184</v>
      </c>
      <c r="N209" s="45" t="s">
        <v>899</v>
      </c>
      <c r="O209" s="45" t="s">
        <v>895</v>
      </c>
      <c r="P209" s="68" t="e">
        <f>VLOOKUP(B209,#REF!,2,FALSE)</f>
        <v>#REF!</v>
      </c>
      <c r="Q209" s="68" t="e">
        <f>VLOOKUP(B209,#REF!,3,FALSE)</f>
        <v>#REF!</v>
      </c>
      <c r="R209" s="68" t="e">
        <f>VLOOKUP($W209,#REF!,2,FALSE)</f>
        <v>#REF!</v>
      </c>
      <c r="S209" s="73" t="e">
        <f>VLOOKUP($W209,#REF!,7,FALSE)</f>
        <v>#REF!</v>
      </c>
      <c r="U209" s="48">
        <v>1</v>
      </c>
      <c r="V209" s="57" t="e">
        <f>IF(ISNUMBER(U209),HLOOKUP(U209,#REF!,2,FALSE)*E209,"")</f>
        <v>#REF!</v>
      </c>
      <c r="W209" s="48" t="s">
        <v>904</v>
      </c>
      <c r="AA209" s="45"/>
      <c r="AB209" s="45"/>
    </row>
    <row r="210" spans="1:28" x14ac:dyDescent="0.25">
      <c r="A210" s="48">
        <v>1205</v>
      </c>
      <c r="B210" s="64" t="s">
        <v>509</v>
      </c>
      <c r="C210" s="45" t="s">
        <v>836</v>
      </c>
      <c r="D210" s="62" t="s">
        <v>809</v>
      </c>
      <c r="E210" s="45">
        <v>1</v>
      </c>
      <c r="F210" s="46">
        <v>84</v>
      </c>
      <c r="G210" s="47" t="s">
        <v>46</v>
      </c>
      <c r="I210" s="45" t="s">
        <v>184</v>
      </c>
      <c r="N210" s="45" t="s">
        <v>899</v>
      </c>
      <c r="O210" s="45" t="s">
        <v>895</v>
      </c>
      <c r="P210" s="68" t="e">
        <f>VLOOKUP(B210,#REF!,2,FALSE)</f>
        <v>#REF!</v>
      </c>
      <c r="Q210" s="68" t="e">
        <f>VLOOKUP(B210,#REF!,3,FALSE)</f>
        <v>#REF!</v>
      </c>
      <c r="R210" s="68" t="e">
        <f>VLOOKUP($W210,#REF!,2,FALSE)</f>
        <v>#REF!</v>
      </c>
      <c r="S210" s="73" t="e">
        <f>VLOOKUP($W210,#REF!,7,FALSE)</f>
        <v>#REF!</v>
      </c>
      <c r="U210" s="48">
        <v>1</v>
      </c>
      <c r="V210" s="57" t="e">
        <f>IF(ISNUMBER(U210),HLOOKUP(U210,#REF!,2,FALSE)*E210,"")</f>
        <v>#REF!</v>
      </c>
      <c r="W210" s="48" t="s">
        <v>904</v>
      </c>
      <c r="AA210" s="45"/>
      <c r="AB210" s="45"/>
    </row>
    <row r="211" spans="1:28" x14ac:dyDescent="0.25">
      <c r="A211" s="48">
        <v>1206</v>
      </c>
      <c r="B211" s="64" t="s">
        <v>510</v>
      </c>
      <c r="C211" s="45" t="s">
        <v>178</v>
      </c>
      <c r="D211" s="62" t="s">
        <v>803</v>
      </c>
      <c r="E211" s="45">
        <v>1</v>
      </c>
      <c r="F211" s="46">
        <v>86</v>
      </c>
      <c r="G211" s="47" t="s">
        <v>46</v>
      </c>
      <c r="I211" s="45" t="s">
        <v>235</v>
      </c>
      <c r="N211" s="45" t="s">
        <v>899</v>
      </c>
      <c r="O211" s="45" t="s">
        <v>895</v>
      </c>
      <c r="P211" s="68" t="e">
        <f>VLOOKUP(B211,#REF!,2,FALSE)</f>
        <v>#REF!</v>
      </c>
      <c r="Q211" s="68" t="e">
        <f>VLOOKUP(B211,#REF!,3,FALSE)</f>
        <v>#REF!</v>
      </c>
      <c r="R211" s="68" t="e">
        <f>VLOOKUP($W211,#REF!,2,FALSE)</f>
        <v>#REF!</v>
      </c>
      <c r="S211" s="73" t="e">
        <f>VLOOKUP($W211,#REF!,7,FALSE)</f>
        <v>#REF!</v>
      </c>
      <c r="U211" s="48">
        <v>1</v>
      </c>
      <c r="V211" s="57" t="e">
        <f>IF(ISNUMBER(U211),HLOOKUP(U211,#REF!,2,FALSE)*E211,"")</f>
        <v>#REF!</v>
      </c>
      <c r="W211" s="48" t="s">
        <v>904</v>
      </c>
      <c r="AA211" s="45"/>
      <c r="AB211" s="45"/>
    </row>
    <row r="212" spans="1:28" x14ac:dyDescent="0.25">
      <c r="A212" s="48">
        <v>1207</v>
      </c>
      <c r="B212" s="64" t="s">
        <v>461</v>
      </c>
      <c r="C212" s="45" t="s">
        <v>179</v>
      </c>
      <c r="D212" s="62" t="s">
        <v>460</v>
      </c>
      <c r="E212" s="45">
        <v>1</v>
      </c>
      <c r="F212" s="46">
        <v>88</v>
      </c>
      <c r="G212" s="47" t="s">
        <v>46</v>
      </c>
      <c r="I212" s="45" t="s">
        <v>191</v>
      </c>
      <c r="M212" s="70" t="s">
        <v>952</v>
      </c>
      <c r="N212" s="71" t="s">
        <v>894</v>
      </c>
      <c r="O212" s="45" t="s">
        <v>895</v>
      </c>
      <c r="P212" s="68" t="e">
        <f>VLOOKUP(B212,#REF!,2,FALSE)</f>
        <v>#REF!</v>
      </c>
      <c r="Q212" s="68" t="e">
        <f>VLOOKUP(B212,#REF!,3,FALSE)</f>
        <v>#REF!</v>
      </c>
      <c r="R212" s="68" t="e">
        <f>VLOOKUP($W212,#REF!,2,FALSE)</f>
        <v>#REF!</v>
      </c>
      <c r="S212" s="73" t="e">
        <f>VLOOKUP($W212,#REF!,7,FALSE)</f>
        <v>#REF!</v>
      </c>
      <c r="U212" s="48">
        <v>1</v>
      </c>
      <c r="V212" s="57" t="e">
        <f>IF(ISNUMBER(U212),HLOOKUP(U212,#REF!,2,FALSE)*E212,"")</f>
        <v>#REF!</v>
      </c>
      <c r="W212" s="48" t="s">
        <v>904</v>
      </c>
      <c r="X212" s="59">
        <v>45925</v>
      </c>
      <c r="AA212" s="45"/>
      <c r="AB212" s="45"/>
    </row>
    <row r="213" spans="1:28" x14ac:dyDescent="0.25">
      <c r="A213" s="48">
        <v>1208</v>
      </c>
      <c r="B213" s="64" t="s">
        <v>461</v>
      </c>
      <c r="C213" s="45" t="s">
        <v>192</v>
      </c>
      <c r="D213" s="62" t="s">
        <v>512</v>
      </c>
      <c r="E213" s="45">
        <v>1</v>
      </c>
      <c r="F213" s="46">
        <v>89</v>
      </c>
      <c r="G213" s="47" t="s">
        <v>259</v>
      </c>
      <c r="I213" s="45" t="s">
        <v>191</v>
      </c>
      <c r="N213" s="45" t="s">
        <v>899</v>
      </c>
      <c r="O213" s="45" t="s">
        <v>895</v>
      </c>
      <c r="P213" s="68" t="e">
        <f>VLOOKUP(B213,#REF!,2,FALSE)</f>
        <v>#REF!</v>
      </c>
      <c r="Q213" s="68" t="e">
        <f>VLOOKUP(B213,#REF!,3,FALSE)</f>
        <v>#REF!</v>
      </c>
      <c r="R213" s="68" t="e">
        <f>VLOOKUP($W213,#REF!,2,FALSE)</f>
        <v>#REF!</v>
      </c>
      <c r="S213" s="73" t="e">
        <f>VLOOKUP($W213,#REF!,7,FALSE)</f>
        <v>#REF!</v>
      </c>
      <c r="U213" s="48">
        <v>1</v>
      </c>
      <c r="V213" s="57" t="e">
        <f>IF(ISNUMBER(U213),HLOOKUP(U213,#REF!,2,FALSE)*E213,"")</f>
        <v>#REF!</v>
      </c>
      <c r="W213" s="48" t="s">
        <v>904</v>
      </c>
      <c r="AA213" s="45"/>
      <c r="AB213" s="45"/>
    </row>
    <row r="214" spans="1:28" ht="30" x14ac:dyDescent="0.25">
      <c r="A214" s="48">
        <v>1209</v>
      </c>
      <c r="B214" s="64" t="s">
        <v>461</v>
      </c>
      <c r="C214" s="45" t="s">
        <v>192</v>
      </c>
      <c r="D214" s="62" t="s">
        <v>513</v>
      </c>
      <c r="E214" s="45">
        <v>1</v>
      </c>
      <c r="F214" s="46">
        <v>89</v>
      </c>
      <c r="G214" s="47" t="s">
        <v>1038</v>
      </c>
      <c r="I214" s="45" t="s">
        <v>191</v>
      </c>
      <c r="N214" s="45" t="s">
        <v>899</v>
      </c>
      <c r="O214" s="45" t="s">
        <v>895</v>
      </c>
      <c r="P214" s="68" t="e">
        <f>VLOOKUP(B214,#REF!,2,FALSE)</f>
        <v>#REF!</v>
      </c>
      <c r="Q214" s="68" t="e">
        <f>VLOOKUP(B214,#REF!,3,FALSE)</f>
        <v>#REF!</v>
      </c>
      <c r="R214" s="68" t="e">
        <f>VLOOKUP($W214,#REF!,2,FALSE)</f>
        <v>#REF!</v>
      </c>
      <c r="S214" s="73" t="e">
        <f>VLOOKUP($W214,#REF!,7,FALSE)</f>
        <v>#REF!</v>
      </c>
      <c r="U214" s="48">
        <v>1</v>
      </c>
      <c r="V214" s="57" t="e">
        <f>IF(ISNUMBER(U214),HLOOKUP(U214,#REF!,2,FALSE)*E214,"")</f>
        <v>#REF!</v>
      </c>
      <c r="W214" s="48" t="s">
        <v>904</v>
      </c>
      <c r="AA214" s="45"/>
      <c r="AB214" s="45"/>
    </row>
    <row r="215" spans="1:28" x14ac:dyDescent="0.25">
      <c r="A215" s="48">
        <v>1210</v>
      </c>
      <c r="B215" s="64" t="s">
        <v>461</v>
      </c>
      <c r="C215" s="45" t="s">
        <v>192</v>
      </c>
      <c r="D215" s="62" t="s">
        <v>514</v>
      </c>
      <c r="E215" s="45">
        <v>1</v>
      </c>
      <c r="F215" s="46">
        <v>89</v>
      </c>
      <c r="G215" s="47" t="s">
        <v>259</v>
      </c>
      <c r="I215" s="45" t="s">
        <v>191</v>
      </c>
      <c r="N215" s="45" t="s">
        <v>899</v>
      </c>
      <c r="O215" s="45" t="s">
        <v>895</v>
      </c>
      <c r="P215" s="68" t="e">
        <f>VLOOKUP(B215,#REF!,2,FALSE)</f>
        <v>#REF!</v>
      </c>
      <c r="Q215" s="68" t="e">
        <f>VLOOKUP(B215,#REF!,3,FALSE)</f>
        <v>#REF!</v>
      </c>
      <c r="R215" s="68" t="e">
        <f>VLOOKUP($W215,#REF!,2,FALSE)</f>
        <v>#REF!</v>
      </c>
      <c r="S215" s="73" t="e">
        <f>VLOOKUP($W215,#REF!,7,FALSE)</f>
        <v>#REF!</v>
      </c>
      <c r="U215" s="48">
        <v>1</v>
      </c>
      <c r="V215" s="57" t="e">
        <f>IF(ISNUMBER(U215),HLOOKUP(U215,#REF!,2,FALSE)*E215,"")</f>
        <v>#REF!</v>
      </c>
      <c r="W215" s="48" t="s">
        <v>904</v>
      </c>
      <c r="AA215" s="45"/>
      <c r="AB215" s="45"/>
    </row>
    <row r="216" spans="1:28" x14ac:dyDescent="0.25">
      <c r="A216" s="48">
        <v>1211</v>
      </c>
      <c r="B216" s="64" t="s">
        <v>515</v>
      </c>
      <c r="C216" s="45" t="s">
        <v>187</v>
      </c>
      <c r="D216" s="62" t="s">
        <v>516</v>
      </c>
      <c r="E216" s="45">
        <v>1</v>
      </c>
      <c r="F216" s="46">
        <v>94</v>
      </c>
      <c r="G216" s="47" t="s">
        <v>46</v>
      </c>
      <c r="I216" s="45" t="s">
        <v>186</v>
      </c>
      <c r="N216" s="45" t="s">
        <v>899</v>
      </c>
      <c r="O216" s="45" t="s">
        <v>895</v>
      </c>
      <c r="P216" s="68" t="e">
        <f>VLOOKUP(B216,#REF!,2,FALSE)</f>
        <v>#REF!</v>
      </c>
      <c r="Q216" s="68" t="e">
        <f>VLOOKUP(B216,#REF!,3,FALSE)</f>
        <v>#REF!</v>
      </c>
      <c r="R216" s="68" t="e">
        <f>VLOOKUP($W216,#REF!,2,FALSE)</f>
        <v>#REF!</v>
      </c>
      <c r="S216" s="73" t="e">
        <f>VLOOKUP($W216,#REF!,7,FALSE)</f>
        <v>#REF!</v>
      </c>
      <c r="U216" s="48">
        <v>1</v>
      </c>
      <c r="V216" s="57" t="e">
        <f>IF(ISNUMBER(U216),HLOOKUP(U216,#REF!,2,FALSE)*E216,"")</f>
        <v>#REF!</v>
      </c>
      <c r="W216" s="48" t="s">
        <v>106</v>
      </c>
      <c r="AA216" s="45"/>
      <c r="AB216" s="45"/>
    </row>
    <row r="217" spans="1:28" ht="30" x14ac:dyDescent="0.25">
      <c r="A217" s="48">
        <v>1212</v>
      </c>
      <c r="B217" s="64" t="s">
        <v>515</v>
      </c>
      <c r="C217" s="45" t="s">
        <v>187</v>
      </c>
      <c r="D217" s="62" t="s">
        <v>517</v>
      </c>
      <c r="E217" s="45">
        <v>1</v>
      </c>
      <c r="F217" s="46">
        <v>94</v>
      </c>
      <c r="G217" s="47" t="s">
        <v>527</v>
      </c>
      <c r="I217" s="45" t="s">
        <v>186</v>
      </c>
      <c r="N217" s="45" t="s">
        <v>899</v>
      </c>
      <c r="O217" s="45" t="s">
        <v>895</v>
      </c>
      <c r="P217" s="68" t="e">
        <f>VLOOKUP(B217,#REF!,2,FALSE)</f>
        <v>#REF!</v>
      </c>
      <c r="Q217" s="68" t="e">
        <f>VLOOKUP(B217,#REF!,3,FALSE)</f>
        <v>#REF!</v>
      </c>
      <c r="R217" s="68" t="e">
        <f>VLOOKUP($W217,#REF!,2,FALSE)</f>
        <v>#REF!</v>
      </c>
      <c r="S217" s="73" t="e">
        <f>VLOOKUP($W217,#REF!,7,FALSE)</f>
        <v>#REF!</v>
      </c>
      <c r="U217" s="48">
        <v>1</v>
      </c>
      <c r="V217" s="57" t="e">
        <f>IF(ISNUMBER(U217),HLOOKUP(U217,#REF!,2,FALSE)*E217,"")</f>
        <v>#REF!</v>
      </c>
      <c r="W217" s="48" t="s">
        <v>106</v>
      </c>
      <c r="AA217" s="45"/>
      <c r="AB217" s="45"/>
    </row>
    <row r="218" spans="1:28" x14ac:dyDescent="0.25">
      <c r="A218" s="48">
        <v>1213</v>
      </c>
      <c r="B218" s="64" t="s">
        <v>515</v>
      </c>
      <c r="C218" s="45" t="s">
        <v>187</v>
      </c>
      <c r="D218" s="62" t="s">
        <v>518</v>
      </c>
      <c r="E218" s="45">
        <v>1</v>
      </c>
      <c r="F218" s="46">
        <v>94</v>
      </c>
      <c r="G218" s="47" t="s">
        <v>46</v>
      </c>
      <c r="I218" s="45" t="s">
        <v>186</v>
      </c>
      <c r="L218" s="47" t="s">
        <v>528</v>
      </c>
      <c r="N218" s="45" t="s">
        <v>899</v>
      </c>
      <c r="O218" s="45" t="s">
        <v>895</v>
      </c>
      <c r="P218" s="68" t="e">
        <f>VLOOKUP(B218,#REF!,2,FALSE)</f>
        <v>#REF!</v>
      </c>
      <c r="Q218" s="68" t="e">
        <f>VLOOKUP(B218,#REF!,3,FALSE)</f>
        <v>#REF!</v>
      </c>
      <c r="R218" s="68" t="e">
        <f>VLOOKUP($W218,#REF!,2,FALSE)</f>
        <v>#REF!</v>
      </c>
      <c r="S218" s="73" t="e">
        <f>VLOOKUP($W218,#REF!,7,FALSE)</f>
        <v>#REF!</v>
      </c>
      <c r="U218" s="48">
        <v>1</v>
      </c>
      <c r="V218" s="57" t="e">
        <f>IF(ISNUMBER(U218),HLOOKUP(U218,#REF!,2,FALSE)*E218,"")</f>
        <v>#REF!</v>
      </c>
      <c r="W218" s="48" t="s">
        <v>106</v>
      </c>
      <c r="AA218" s="45"/>
      <c r="AB218" s="45"/>
    </row>
    <row r="219" spans="1:28" x14ac:dyDescent="0.25">
      <c r="A219" s="48">
        <v>1214</v>
      </c>
      <c r="B219" s="64" t="s">
        <v>515</v>
      </c>
      <c r="C219" s="45" t="s">
        <v>187</v>
      </c>
      <c r="D219" s="62" t="s">
        <v>519</v>
      </c>
      <c r="E219" s="45">
        <v>0</v>
      </c>
      <c r="F219" s="46">
        <v>94</v>
      </c>
      <c r="G219" s="47" t="s">
        <v>169</v>
      </c>
      <c r="I219" s="45" t="s">
        <v>186</v>
      </c>
      <c r="L219" s="47" t="s">
        <v>528</v>
      </c>
      <c r="N219" s="45" t="s">
        <v>899</v>
      </c>
      <c r="O219" s="45" t="s">
        <v>895</v>
      </c>
      <c r="P219" s="68" t="e">
        <f>VLOOKUP(B219,#REF!,2,FALSE)</f>
        <v>#REF!</v>
      </c>
      <c r="Q219" s="68" t="e">
        <f>VLOOKUP(B219,#REF!,3,FALSE)</f>
        <v>#REF!</v>
      </c>
      <c r="R219" s="68" t="e">
        <f>VLOOKUP($W219,#REF!,2,FALSE)</f>
        <v>#REF!</v>
      </c>
      <c r="S219" s="73" t="e">
        <f>VLOOKUP($W219,#REF!,7,FALSE)</f>
        <v>#REF!</v>
      </c>
      <c r="U219" s="48">
        <v>1</v>
      </c>
      <c r="V219" s="57" t="e">
        <f>IF(ISNUMBER(U219),HLOOKUP(U219,#REF!,2,FALSE)*E219,"")</f>
        <v>#REF!</v>
      </c>
      <c r="W219" s="48" t="s">
        <v>106</v>
      </c>
      <c r="AA219" s="45"/>
      <c r="AB219" s="45"/>
    </row>
    <row r="220" spans="1:28" x14ac:dyDescent="0.25">
      <c r="A220" s="48">
        <v>1215</v>
      </c>
      <c r="B220" s="64" t="s">
        <v>515</v>
      </c>
      <c r="C220" s="45" t="s">
        <v>187</v>
      </c>
      <c r="D220" s="62" t="s">
        <v>520</v>
      </c>
      <c r="E220" s="45">
        <v>1</v>
      </c>
      <c r="F220" s="46">
        <v>94</v>
      </c>
      <c r="G220" s="47" t="s">
        <v>46</v>
      </c>
      <c r="I220" s="45" t="s">
        <v>186</v>
      </c>
      <c r="L220" s="47" t="s">
        <v>528</v>
      </c>
      <c r="N220" s="45" t="s">
        <v>899</v>
      </c>
      <c r="O220" s="45" t="s">
        <v>895</v>
      </c>
      <c r="P220" s="68" t="e">
        <f>VLOOKUP(B220,#REF!,2,FALSE)</f>
        <v>#REF!</v>
      </c>
      <c r="Q220" s="68" t="e">
        <f>VLOOKUP(B220,#REF!,3,FALSE)</f>
        <v>#REF!</v>
      </c>
      <c r="R220" s="68" t="e">
        <f>VLOOKUP($W220,#REF!,2,FALSE)</f>
        <v>#REF!</v>
      </c>
      <c r="S220" s="73" t="e">
        <f>VLOOKUP($W220,#REF!,7,FALSE)</f>
        <v>#REF!</v>
      </c>
      <c r="U220" s="48">
        <v>1</v>
      </c>
      <c r="V220" s="57" t="e">
        <f>IF(ISNUMBER(U220),HLOOKUP(U220,#REF!,2,FALSE)*E220,"")</f>
        <v>#REF!</v>
      </c>
      <c r="W220" s="48" t="s">
        <v>106</v>
      </c>
      <c r="AA220" s="45"/>
      <c r="AB220" s="45"/>
    </row>
    <row r="221" spans="1:28" x14ac:dyDescent="0.25">
      <c r="A221" s="48">
        <v>1216</v>
      </c>
      <c r="B221" s="64" t="s">
        <v>515</v>
      </c>
      <c r="C221" s="45" t="s">
        <v>187</v>
      </c>
      <c r="D221" s="62" t="s">
        <v>521</v>
      </c>
      <c r="E221" s="45">
        <v>0</v>
      </c>
      <c r="F221" s="46">
        <v>94</v>
      </c>
      <c r="G221" s="47" t="s">
        <v>169</v>
      </c>
      <c r="I221" s="45" t="s">
        <v>186</v>
      </c>
      <c r="L221" s="47" t="s">
        <v>528</v>
      </c>
      <c r="N221" s="45" t="s">
        <v>899</v>
      </c>
      <c r="O221" s="45" t="s">
        <v>895</v>
      </c>
      <c r="P221" s="68" t="e">
        <f>VLOOKUP(B221,#REF!,2,FALSE)</f>
        <v>#REF!</v>
      </c>
      <c r="Q221" s="68" t="e">
        <f>VLOOKUP(B221,#REF!,3,FALSE)</f>
        <v>#REF!</v>
      </c>
      <c r="R221" s="68" t="e">
        <f>VLOOKUP($W221,#REF!,2,FALSE)</f>
        <v>#REF!</v>
      </c>
      <c r="S221" s="73" t="e">
        <f>VLOOKUP($W221,#REF!,7,FALSE)</f>
        <v>#REF!</v>
      </c>
      <c r="U221" s="48">
        <v>1</v>
      </c>
      <c r="V221" s="57" t="e">
        <f>IF(ISNUMBER(U221),HLOOKUP(U221,#REF!,2,FALSE)*E221,"")</f>
        <v>#REF!</v>
      </c>
      <c r="W221" s="48" t="s">
        <v>106</v>
      </c>
      <c r="AA221" s="45"/>
      <c r="AB221" s="45"/>
    </row>
    <row r="222" spans="1:28" x14ac:dyDescent="0.25">
      <c r="A222" s="48">
        <v>1217</v>
      </c>
      <c r="B222" s="64" t="s">
        <v>515</v>
      </c>
      <c r="C222" s="45" t="s">
        <v>187</v>
      </c>
      <c r="D222" s="62" t="s">
        <v>792</v>
      </c>
      <c r="E222" s="45">
        <v>1</v>
      </c>
      <c r="F222" s="46">
        <v>94</v>
      </c>
      <c r="G222" s="47" t="s">
        <v>46</v>
      </c>
      <c r="I222" s="45" t="s">
        <v>186</v>
      </c>
      <c r="L222" s="47" t="s">
        <v>528</v>
      </c>
      <c r="N222" s="45" t="s">
        <v>899</v>
      </c>
      <c r="O222" s="45" t="s">
        <v>895</v>
      </c>
      <c r="P222" s="68" t="e">
        <f>VLOOKUP(B222,#REF!,2,FALSE)</f>
        <v>#REF!</v>
      </c>
      <c r="Q222" s="68" t="e">
        <f>VLOOKUP(B222,#REF!,3,FALSE)</f>
        <v>#REF!</v>
      </c>
      <c r="R222" s="68" t="e">
        <f>VLOOKUP($W222,#REF!,2,FALSE)</f>
        <v>#REF!</v>
      </c>
      <c r="S222" s="73" t="e">
        <f>VLOOKUP($W222,#REF!,7,FALSE)</f>
        <v>#REF!</v>
      </c>
      <c r="U222" s="48">
        <v>1</v>
      </c>
      <c r="V222" s="57" t="e">
        <f>IF(ISNUMBER(U222),HLOOKUP(U222,#REF!,2,FALSE)*E222,"")</f>
        <v>#REF!</v>
      </c>
      <c r="W222" s="48" t="s">
        <v>106</v>
      </c>
      <c r="AA222" s="45"/>
      <c r="AB222" s="45"/>
    </row>
    <row r="223" spans="1:28" x14ac:dyDescent="0.25">
      <c r="A223" s="48">
        <v>1218</v>
      </c>
      <c r="B223" s="64" t="s">
        <v>515</v>
      </c>
      <c r="C223" s="45" t="s">
        <v>187</v>
      </c>
      <c r="D223" s="62" t="s">
        <v>523</v>
      </c>
      <c r="E223" s="45">
        <v>1</v>
      </c>
      <c r="F223" s="46">
        <v>94</v>
      </c>
      <c r="G223" s="47" t="s">
        <v>46</v>
      </c>
      <c r="I223" s="45" t="s">
        <v>186</v>
      </c>
      <c r="L223" s="47" t="s">
        <v>529</v>
      </c>
      <c r="N223" s="45" t="s">
        <v>899</v>
      </c>
      <c r="O223" s="45" t="s">
        <v>895</v>
      </c>
      <c r="P223" s="68" t="e">
        <f>VLOOKUP(B223,#REF!,2,FALSE)</f>
        <v>#REF!</v>
      </c>
      <c r="Q223" s="68" t="e">
        <f>VLOOKUP(B223,#REF!,3,FALSE)</f>
        <v>#REF!</v>
      </c>
      <c r="R223" s="68" t="e">
        <f>VLOOKUP($W223,#REF!,2,FALSE)</f>
        <v>#REF!</v>
      </c>
      <c r="S223" s="73" t="e">
        <f>VLOOKUP($W223,#REF!,7,FALSE)</f>
        <v>#REF!</v>
      </c>
      <c r="U223" s="48">
        <v>1</v>
      </c>
      <c r="V223" s="57" t="e">
        <f>IF(ISNUMBER(U223),HLOOKUP(U223,#REF!,2,FALSE)*E223,"")</f>
        <v>#REF!</v>
      </c>
      <c r="W223" s="48" t="s">
        <v>106</v>
      </c>
      <c r="AA223" s="45"/>
      <c r="AB223" s="45"/>
    </row>
    <row r="224" spans="1:28" x14ac:dyDescent="0.25">
      <c r="A224" s="48">
        <v>1219</v>
      </c>
      <c r="B224" s="64" t="s">
        <v>515</v>
      </c>
      <c r="C224" s="45" t="s">
        <v>187</v>
      </c>
      <c r="D224" s="62" t="s">
        <v>524</v>
      </c>
      <c r="E224" s="45">
        <v>0</v>
      </c>
      <c r="F224" s="46">
        <v>94</v>
      </c>
      <c r="G224" s="47" t="s">
        <v>169</v>
      </c>
      <c r="I224" s="45" t="s">
        <v>186</v>
      </c>
      <c r="L224" s="47" t="s">
        <v>529</v>
      </c>
      <c r="N224" s="45" t="s">
        <v>899</v>
      </c>
      <c r="O224" s="45" t="s">
        <v>895</v>
      </c>
      <c r="P224" s="68" t="e">
        <f>VLOOKUP(B224,#REF!,2,FALSE)</f>
        <v>#REF!</v>
      </c>
      <c r="Q224" s="68" t="e">
        <f>VLOOKUP(B224,#REF!,3,FALSE)</f>
        <v>#REF!</v>
      </c>
      <c r="R224" s="68" t="e">
        <f>VLOOKUP($W224,#REF!,2,FALSE)</f>
        <v>#REF!</v>
      </c>
      <c r="S224" s="73" t="e">
        <f>VLOOKUP($W224,#REF!,7,FALSE)</f>
        <v>#REF!</v>
      </c>
      <c r="U224" s="48">
        <v>1</v>
      </c>
      <c r="V224" s="57" t="e">
        <f>IF(ISNUMBER(U224),HLOOKUP(U224,#REF!,2,FALSE)*E224,"")</f>
        <v>#REF!</v>
      </c>
      <c r="W224" s="48" t="s">
        <v>106</v>
      </c>
      <c r="AA224" s="45"/>
      <c r="AB224" s="45"/>
    </row>
    <row r="225" spans="1:28" x14ac:dyDescent="0.25">
      <c r="A225" s="48">
        <v>1220</v>
      </c>
      <c r="B225" s="64" t="s">
        <v>515</v>
      </c>
      <c r="C225" s="45" t="s">
        <v>187</v>
      </c>
      <c r="D225" s="62" t="s">
        <v>841</v>
      </c>
      <c r="E225" s="45">
        <v>1</v>
      </c>
      <c r="F225" s="46">
        <v>94</v>
      </c>
      <c r="G225" s="47" t="s">
        <v>46</v>
      </c>
      <c r="I225" s="45" t="s">
        <v>186</v>
      </c>
      <c r="L225" s="47" t="s">
        <v>529</v>
      </c>
      <c r="N225" s="45" t="s">
        <v>899</v>
      </c>
      <c r="O225" s="45" t="s">
        <v>895</v>
      </c>
      <c r="P225" s="68" t="e">
        <f>VLOOKUP(B225,#REF!,2,FALSE)</f>
        <v>#REF!</v>
      </c>
      <c r="Q225" s="68" t="e">
        <f>VLOOKUP(B225,#REF!,3,FALSE)</f>
        <v>#REF!</v>
      </c>
      <c r="R225" s="68" t="e">
        <f>VLOOKUP($W225,#REF!,2,FALSE)</f>
        <v>#REF!</v>
      </c>
      <c r="S225" s="73" t="e">
        <f>VLOOKUP($W225,#REF!,7,FALSE)</f>
        <v>#REF!</v>
      </c>
      <c r="U225" s="48">
        <v>1</v>
      </c>
      <c r="V225" s="57" t="e">
        <f>IF(ISNUMBER(U225),HLOOKUP(U225,#REF!,2,FALSE)*E225,"")</f>
        <v>#REF!</v>
      </c>
      <c r="W225" s="48" t="s">
        <v>106</v>
      </c>
      <c r="AA225" s="45"/>
      <c r="AB225" s="45"/>
    </row>
    <row r="226" spans="1:28" x14ac:dyDescent="0.25">
      <c r="A226" s="48">
        <v>1221</v>
      </c>
      <c r="B226" s="64" t="s">
        <v>515</v>
      </c>
      <c r="C226" s="45" t="s">
        <v>187</v>
      </c>
      <c r="D226" s="62" t="s">
        <v>526</v>
      </c>
      <c r="E226" s="45">
        <v>1</v>
      </c>
      <c r="F226" s="46">
        <v>94</v>
      </c>
      <c r="G226" s="47" t="s">
        <v>1054</v>
      </c>
      <c r="I226" s="45" t="s">
        <v>186</v>
      </c>
      <c r="L226" s="47" t="s">
        <v>529</v>
      </c>
      <c r="N226" s="45" t="s">
        <v>899</v>
      </c>
      <c r="O226" s="45" t="s">
        <v>895</v>
      </c>
      <c r="P226" s="68" t="e">
        <f>VLOOKUP(B226,#REF!,2,FALSE)</f>
        <v>#REF!</v>
      </c>
      <c r="Q226" s="68" t="e">
        <f>VLOOKUP(B226,#REF!,3,FALSE)</f>
        <v>#REF!</v>
      </c>
      <c r="R226" s="68" t="e">
        <f>VLOOKUP($W226,#REF!,2,FALSE)</f>
        <v>#REF!</v>
      </c>
      <c r="S226" s="73" t="e">
        <f>VLOOKUP($W226,#REF!,7,FALSE)</f>
        <v>#REF!</v>
      </c>
      <c r="U226" s="48">
        <v>1</v>
      </c>
      <c r="V226" s="57" t="e">
        <f>IF(ISNUMBER(U226),HLOOKUP(U226,#REF!,2,FALSE)*E226,"")</f>
        <v>#REF!</v>
      </c>
      <c r="W226" s="48" t="s">
        <v>106</v>
      </c>
      <c r="AA226" s="45"/>
      <c r="AB226" s="45"/>
    </row>
    <row r="227" spans="1:28" x14ac:dyDescent="0.25">
      <c r="A227" s="48">
        <v>1222</v>
      </c>
      <c r="B227" s="64" t="s">
        <v>515</v>
      </c>
      <c r="C227" s="45" t="s">
        <v>187</v>
      </c>
      <c r="D227" s="62" t="s">
        <v>793</v>
      </c>
      <c r="E227" s="45">
        <v>1</v>
      </c>
      <c r="F227" s="46">
        <v>94</v>
      </c>
      <c r="G227" s="47" t="s">
        <v>46</v>
      </c>
      <c r="I227" s="45" t="s">
        <v>186</v>
      </c>
      <c r="L227" s="47" t="s">
        <v>529</v>
      </c>
      <c r="N227" s="45" t="s">
        <v>899</v>
      </c>
      <c r="O227" s="45" t="s">
        <v>895</v>
      </c>
      <c r="P227" s="68" t="e">
        <f>VLOOKUP(B227,#REF!,2,FALSE)</f>
        <v>#REF!</v>
      </c>
      <c r="Q227" s="68" t="e">
        <f>VLOOKUP(B227,#REF!,3,FALSE)</f>
        <v>#REF!</v>
      </c>
      <c r="R227" s="68" t="e">
        <f>VLOOKUP($W227,#REF!,2,FALSE)</f>
        <v>#REF!</v>
      </c>
      <c r="S227" s="73" t="e">
        <f>VLOOKUP($W227,#REF!,7,FALSE)</f>
        <v>#REF!</v>
      </c>
      <c r="U227" s="48">
        <v>1</v>
      </c>
      <c r="V227" s="57" t="e">
        <f>IF(ISNUMBER(U227),HLOOKUP(U227,#REF!,2,FALSE)*E227,"")</f>
        <v>#REF!</v>
      </c>
      <c r="W227" s="48" t="s">
        <v>106</v>
      </c>
      <c r="AA227" s="45"/>
      <c r="AB227" s="45"/>
    </row>
    <row r="228" spans="1:28" x14ac:dyDescent="0.25">
      <c r="A228" s="48">
        <v>1223</v>
      </c>
      <c r="B228" s="64" t="s">
        <v>515</v>
      </c>
      <c r="C228" s="45" t="s">
        <v>188</v>
      </c>
      <c r="D228" s="62" t="s">
        <v>531</v>
      </c>
      <c r="E228" s="45">
        <v>1</v>
      </c>
      <c r="F228" s="46">
        <v>94</v>
      </c>
      <c r="G228" s="47" t="s">
        <v>539</v>
      </c>
      <c r="I228" s="45" t="s">
        <v>186</v>
      </c>
      <c r="L228" s="47" t="s">
        <v>530</v>
      </c>
      <c r="N228" s="45" t="s">
        <v>899</v>
      </c>
      <c r="O228" s="45" t="s">
        <v>895</v>
      </c>
      <c r="P228" s="68" t="e">
        <f>VLOOKUP(B228,#REF!,2,FALSE)</f>
        <v>#REF!</v>
      </c>
      <c r="Q228" s="68" t="e">
        <f>VLOOKUP(B228,#REF!,3,FALSE)</f>
        <v>#REF!</v>
      </c>
      <c r="R228" s="68" t="e">
        <f>VLOOKUP($W228,#REF!,2,FALSE)</f>
        <v>#REF!</v>
      </c>
      <c r="S228" s="73" t="e">
        <f>VLOOKUP($W228,#REF!,7,FALSE)</f>
        <v>#REF!</v>
      </c>
      <c r="U228" s="48">
        <v>3</v>
      </c>
      <c r="V228" s="57" t="e">
        <f>IF(ISNUMBER(U228),HLOOKUP(U228,#REF!,2,FALSE)*E228,"")</f>
        <v>#REF!</v>
      </c>
      <c r="W228" s="48" t="s">
        <v>106</v>
      </c>
      <c r="AA228" s="45"/>
      <c r="AB228" s="45"/>
    </row>
    <row r="229" spans="1:28" x14ac:dyDescent="0.25">
      <c r="A229" s="48">
        <v>1224</v>
      </c>
      <c r="B229" s="64" t="s">
        <v>515</v>
      </c>
      <c r="C229" s="45" t="s">
        <v>188</v>
      </c>
      <c r="D229" s="62" t="s">
        <v>532</v>
      </c>
      <c r="E229" s="45">
        <v>1</v>
      </c>
      <c r="F229" s="46">
        <v>94</v>
      </c>
      <c r="G229" s="47" t="s">
        <v>539</v>
      </c>
      <c r="I229" s="45" t="s">
        <v>186</v>
      </c>
      <c r="L229" s="47" t="s">
        <v>530</v>
      </c>
      <c r="N229" s="45" t="s">
        <v>899</v>
      </c>
      <c r="O229" s="45" t="s">
        <v>895</v>
      </c>
      <c r="P229" s="68" t="e">
        <f>VLOOKUP(B229,#REF!,2,FALSE)</f>
        <v>#REF!</v>
      </c>
      <c r="Q229" s="68" t="e">
        <f>VLOOKUP(B229,#REF!,3,FALSE)</f>
        <v>#REF!</v>
      </c>
      <c r="R229" s="68" t="e">
        <f>VLOOKUP($W229,#REF!,2,FALSE)</f>
        <v>#REF!</v>
      </c>
      <c r="S229" s="73" t="e">
        <f>VLOOKUP($W229,#REF!,7,FALSE)</f>
        <v>#REF!</v>
      </c>
      <c r="U229" s="48">
        <v>3</v>
      </c>
      <c r="V229" s="57" t="e">
        <f>IF(ISNUMBER(U229),HLOOKUP(U229,#REF!,2,FALSE)*E229,"")</f>
        <v>#REF!</v>
      </c>
      <c r="W229" s="48" t="s">
        <v>106</v>
      </c>
      <c r="AA229" s="45"/>
      <c r="AB229" s="45"/>
    </row>
    <row r="230" spans="1:28" x14ac:dyDescent="0.25">
      <c r="A230" s="48">
        <v>1225</v>
      </c>
      <c r="B230" s="64" t="s">
        <v>515</v>
      </c>
      <c r="C230" s="45" t="s">
        <v>188</v>
      </c>
      <c r="D230" s="62" t="s">
        <v>533</v>
      </c>
      <c r="E230" s="45">
        <v>1</v>
      </c>
      <c r="F230" s="46">
        <v>94</v>
      </c>
      <c r="G230" s="47" t="s">
        <v>539</v>
      </c>
      <c r="I230" s="45" t="s">
        <v>186</v>
      </c>
      <c r="L230" s="47" t="s">
        <v>530</v>
      </c>
      <c r="N230" s="45" t="s">
        <v>899</v>
      </c>
      <c r="O230" s="45" t="s">
        <v>895</v>
      </c>
      <c r="P230" s="68" t="e">
        <f>VLOOKUP(B230,#REF!,2,FALSE)</f>
        <v>#REF!</v>
      </c>
      <c r="Q230" s="68" t="e">
        <f>VLOOKUP(B230,#REF!,3,FALSE)</f>
        <v>#REF!</v>
      </c>
      <c r="R230" s="68" t="e">
        <f>VLOOKUP($W230,#REF!,2,FALSE)</f>
        <v>#REF!</v>
      </c>
      <c r="S230" s="73" t="e">
        <f>VLOOKUP($W230,#REF!,7,FALSE)</f>
        <v>#REF!</v>
      </c>
      <c r="U230" s="48">
        <v>3</v>
      </c>
      <c r="V230" s="57" t="e">
        <f>IF(ISNUMBER(U230),HLOOKUP(U230,#REF!,2,FALSE)*E230,"")</f>
        <v>#REF!</v>
      </c>
      <c r="W230" s="48" t="s">
        <v>106</v>
      </c>
      <c r="AA230" s="45"/>
      <c r="AB230" s="45"/>
    </row>
    <row r="231" spans="1:28" x14ac:dyDescent="0.25">
      <c r="A231" s="48">
        <v>1226</v>
      </c>
      <c r="B231" s="64" t="s">
        <v>515</v>
      </c>
      <c r="C231" s="45" t="s">
        <v>188</v>
      </c>
      <c r="D231" s="62" t="s">
        <v>534</v>
      </c>
      <c r="E231" s="45">
        <v>1</v>
      </c>
      <c r="F231" s="46">
        <v>94</v>
      </c>
      <c r="G231" s="47" t="s">
        <v>539</v>
      </c>
      <c r="I231" s="45" t="s">
        <v>186</v>
      </c>
      <c r="L231" s="47" t="s">
        <v>530</v>
      </c>
      <c r="N231" s="45" t="s">
        <v>899</v>
      </c>
      <c r="O231" s="45" t="s">
        <v>895</v>
      </c>
      <c r="P231" s="68" t="e">
        <f>VLOOKUP(B231,#REF!,2,FALSE)</f>
        <v>#REF!</v>
      </c>
      <c r="Q231" s="68" t="e">
        <f>VLOOKUP(B231,#REF!,3,FALSE)</f>
        <v>#REF!</v>
      </c>
      <c r="R231" s="68" t="e">
        <f>VLOOKUP($W231,#REF!,2,FALSE)</f>
        <v>#REF!</v>
      </c>
      <c r="S231" s="73" t="e">
        <f>VLOOKUP($W231,#REF!,7,FALSE)</f>
        <v>#REF!</v>
      </c>
      <c r="U231" s="48">
        <v>3</v>
      </c>
      <c r="V231" s="57" t="e">
        <f>IF(ISNUMBER(U231),HLOOKUP(U231,#REF!,2,FALSE)*E231,"")</f>
        <v>#REF!</v>
      </c>
      <c r="W231" s="48" t="s">
        <v>106</v>
      </c>
      <c r="AA231" s="45"/>
      <c r="AB231" s="45"/>
    </row>
    <row r="232" spans="1:28" x14ac:dyDescent="0.25">
      <c r="A232" s="48">
        <v>1227</v>
      </c>
      <c r="B232" s="64" t="s">
        <v>515</v>
      </c>
      <c r="C232" s="45" t="s">
        <v>189</v>
      </c>
      <c r="D232" s="62" t="s">
        <v>535</v>
      </c>
      <c r="E232" s="45">
        <v>1</v>
      </c>
      <c r="F232" s="46">
        <v>94</v>
      </c>
      <c r="G232" s="47" t="s">
        <v>46</v>
      </c>
      <c r="I232" s="45" t="s">
        <v>186</v>
      </c>
      <c r="L232" s="47" t="s">
        <v>540</v>
      </c>
      <c r="N232" s="45" t="s">
        <v>899</v>
      </c>
      <c r="O232" s="45" t="s">
        <v>895</v>
      </c>
      <c r="P232" s="68" t="e">
        <f>VLOOKUP(B232,#REF!,2,FALSE)</f>
        <v>#REF!</v>
      </c>
      <c r="Q232" s="68" t="e">
        <f>VLOOKUP(B232,#REF!,3,FALSE)</f>
        <v>#REF!</v>
      </c>
      <c r="R232" s="68" t="e">
        <f>VLOOKUP($W232,#REF!,2,FALSE)</f>
        <v>#REF!</v>
      </c>
      <c r="S232" s="73" t="e">
        <f>VLOOKUP($W232,#REF!,7,FALSE)</f>
        <v>#REF!</v>
      </c>
      <c r="U232" s="48">
        <v>1</v>
      </c>
      <c r="V232" s="57" t="e">
        <f>IF(ISNUMBER(U232),HLOOKUP(U232,#REF!,2,FALSE)*E232,"")</f>
        <v>#REF!</v>
      </c>
      <c r="W232" s="48" t="s">
        <v>106</v>
      </c>
      <c r="AA232" s="45"/>
      <c r="AB232" s="45"/>
    </row>
    <row r="233" spans="1:28" x14ac:dyDescent="0.25">
      <c r="A233" s="48">
        <v>1228</v>
      </c>
      <c r="B233" s="64" t="s">
        <v>515</v>
      </c>
      <c r="C233" s="45" t="s">
        <v>189</v>
      </c>
      <c r="D233" s="62" t="s">
        <v>536</v>
      </c>
      <c r="E233" s="45">
        <v>1</v>
      </c>
      <c r="F233" s="46">
        <v>94</v>
      </c>
      <c r="G233" s="47" t="s">
        <v>46</v>
      </c>
      <c r="I233" s="45" t="s">
        <v>186</v>
      </c>
      <c r="L233" s="47" t="s">
        <v>540</v>
      </c>
      <c r="N233" s="45" t="s">
        <v>899</v>
      </c>
      <c r="O233" s="45" t="s">
        <v>895</v>
      </c>
      <c r="P233" s="68" t="e">
        <f>VLOOKUP(B233,#REF!,2,FALSE)</f>
        <v>#REF!</v>
      </c>
      <c r="Q233" s="68" t="e">
        <f>VLOOKUP(B233,#REF!,3,FALSE)</f>
        <v>#REF!</v>
      </c>
      <c r="R233" s="68" t="e">
        <f>VLOOKUP($W233,#REF!,2,FALSE)</f>
        <v>#REF!</v>
      </c>
      <c r="S233" s="73" t="e">
        <f>VLOOKUP($W233,#REF!,7,FALSE)</f>
        <v>#REF!</v>
      </c>
      <c r="U233" s="48">
        <v>1</v>
      </c>
      <c r="V233" s="57" t="e">
        <f>IF(ISNUMBER(U233),HLOOKUP(U233,#REF!,2,FALSE)*E233,"")</f>
        <v>#REF!</v>
      </c>
      <c r="W233" s="48" t="s">
        <v>106</v>
      </c>
      <c r="AA233" s="45"/>
      <c r="AB233" s="45"/>
    </row>
    <row r="234" spans="1:28" x14ac:dyDescent="0.25">
      <c r="A234" s="48">
        <v>1229</v>
      </c>
      <c r="B234" s="64" t="s">
        <v>515</v>
      </c>
      <c r="C234" s="45" t="s">
        <v>189</v>
      </c>
      <c r="D234" s="62" t="s">
        <v>537</v>
      </c>
      <c r="E234" s="45">
        <v>1</v>
      </c>
      <c r="F234" s="46">
        <v>94</v>
      </c>
      <c r="G234" s="47" t="s">
        <v>46</v>
      </c>
      <c r="I234" s="45" t="s">
        <v>186</v>
      </c>
      <c r="L234" s="47" t="s">
        <v>540</v>
      </c>
      <c r="N234" s="45" t="s">
        <v>899</v>
      </c>
      <c r="O234" s="45" t="s">
        <v>895</v>
      </c>
      <c r="P234" s="68" t="e">
        <f>VLOOKUP(B234,#REF!,2,FALSE)</f>
        <v>#REF!</v>
      </c>
      <c r="Q234" s="68" t="e">
        <f>VLOOKUP(B234,#REF!,3,FALSE)</f>
        <v>#REF!</v>
      </c>
      <c r="R234" s="68" t="e">
        <f>VLOOKUP($W234,#REF!,2,FALSE)</f>
        <v>#REF!</v>
      </c>
      <c r="S234" s="73" t="e">
        <f>VLOOKUP($W234,#REF!,7,FALSE)</f>
        <v>#REF!</v>
      </c>
      <c r="U234" s="48">
        <v>1</v>
      </c>
      <c r="V234" s="57" t="e">
        <f>IF(ISNUMBER(U234),HLOOKUP(U234,#REF!,2,FALSE)*E234,"")</f>
        <v>#REF!</v>
      </c>
      <c r="W234" s="48" t="s">
        <v>106</v>
      </c>
      <c r="AA234" s="45"/>
      <c r="AB234" s="45"/>
    </row>
    <row r="235" spans="1:28" x14ac:dyDescent="0.25">
      <c r="A235" s="48">
        <v>1230</v>
      </c>
      <c r="B235" s="64" t="s">
        <v>515</v>
      </c>
      <c r="C235" s="45" t="s">
        <v>322</v>
      </c>
      <c r="D235" s="62" t="s">
        <v>1100</v>
      </c>
      <c r="E235" s="45">
        <v>1</v>
      </c>
      <c r="F235" s="46">
        <v>94</v>
      </c>
      <c r="G235" s="47" t="s">
        <v>236</v>
      </c>
      <c r="I235" s="45" t="s">
        <v>186</v>
      </c>
      <c r="L235" s="47" t="s">
        <v>541</v>
      </c>
      <c r="N235" s="45" t="s">
        <v>899</v>
      </c>
      <c r="O235" s="45" t="s">
        <v>895</v>
      </c>
      <c r="P235" s="68" t="e">
        <f>VLOOKUP(B235,#REF!,2,FALSE)</f>
        <v>#REF!</v>
      </c>
      <c r="Q235" s="68" t="e">
        <f>VLOOKUP(B235,#REF!,3,FALSE)</f>
        <v>#REF!</v>
      </c>
      <c r="R235" s="68" t="e">
        <f>VLOOKUP($W235,#REF!,2,FALSE)</f>
        <v>#REF!</v>
      </c>
      <c r="S235" s="73" t="e">
        <f>VLOOKUP($W235,#REF!,7,FALSE)</f>
        <v>#REF!</v>
      </c>
      <c r="U235" s="48">
        <v>1</v>
      </c>
      <c r="V235" s="57" t="e">
        <f>IF(ISNUMBER(U235),HLOOKUP(U235,#REF!,2,FALSE)*E235,"")</f>
        <v>#REF!</v>
      </c>
      <c r="W235" s="48" t="s">
        <v>106</v>
      </c>
      <c r="AA235" s="45"/>
      <c r="AB235" s="45"/>
    </row>
    <row r="236" spans="1:28" x14ac:dyDescent="0.25">
      <c r="A236" s="48">
        <v>1231</v>
      </c>
      <c r="B236" s="64" t="s">
        <v>515</v>
      </c>
      <c r="C236" s="45" t="s">
        <v>190</v>
      </c>
      <c r="D236" s="62" t="s">
        <v>141</v>
      </c>
      <c r="E236" s="45">
        <v>1</v>
      </c>
      <c r="F236" s="46">
        <v>94</v>
      </c>
      <c r="G236" s="47" t="s">
        <v>46</v>
      </c>
      <c r="I236" s="45" t="s">
        <v>186</v>
      </c>
      <c r="N236" s="45" t="s">
        <v>899</v>
      </c>
      <c r="O236" s="45" t="s">
        <v>895</v>
      </c>
      <c r="P236" s="68" t="e">
        <f>VLOOKUP(B236,#REF!,2,FALSE)</f>
        <v>#REF!</v>
      </c>
      <c r="Q236" s="68" t="e">
        <f>VLOOKUP(B236,#REF!,3,FALSE)</f>
        <v>#REF!</v>
      </c>
      <c r="R236" s="68" t="e">
        <f>VLOOKUP($W236,#REF!,2,FALSE)</f>
        <v>#REF!</v>
      </c>
      <c r="S236" s="73" t="e">
        <f>VLOOKUP($W236,#REF!,7,FALSE)</f>
        <v>#REF!</v>
      </c>
      <c r="U236" s="48">
        <v>1</v>
      </c>
      <c r="V236" s="57" t="e">
        <f>IF(ISNUMBER(U236),HLOOKUP(U236,#REF!,2,FALSE)*E236,"")</f>
        <v>#REF!</v>
      </c>
      <c r="W236" s="48" t="s">
        <v>106</v>
      </c>
      <c r="AA236" s="45"/>
      <c r="AB236" s="45"/>
    </row>
    <row r="237" spans="1:28" x14ac:dyDescent="0.25">
      <c r="A237" s="48">
        <v>1232</v>
      </c>
      <c r="B237" s="64" t="s">
        <v>515</v>
      </c>
      <c r="C237" s="45" t="s">
        <v>190</v>
      </c>
      <c r="D237" s="62" t="s">
        <v>99</v>
      </c>
      <c r="E237" s="45">
        <v>1</v>
      </c>
      <c r="F237" s="46">
        <v>94</v>
      </c>
      <c r="G237" s="47" t="s">
        <v>46</v>
      </c>
      <c r="I237" s="45" t="s">
        <v>186</v>
      </c>
      <c r="N237" s="45" t="s">
        <v>899</v>
      </c>
      <c r="O237" s="45" t="s">
        <v>895</v>
      </c>
      <c r="P237" s="68" t="e">
        <f>VLOOKUP(B237,#REF!,2,FALSE)</f>
        <v>#REF!</v>
      </c>
      <c r="Q237" s="68" t="e">
        <f>VLOOKUP(B237,#REF!,3,FALSE)</f>
        <v>#REF!</v>
      </c>
      <c r="R237" s="68" t="e">
        <f>VLOOKUP($W237,#REF!,2,FALSE)</f>
        <v>#REF!</v>
      </c>
      <c r="S237" s="73" t="e">
        <f>VLOOKUP($W237,#REF!,7,FALSE)</f>
        <v>#REF!</v>
      </c>
      <c r="U237" s="48">
        <v>1</v>
      </c>
      <c r="V237" s="57" t="e">
        <f>IF(ISNUMBER(U237),HLOOKUP(U237,#REF!,2,FALSE)*E237,"")</f>
        <v>#REF!</v>
      </c>
      <c r="W237" s="48" t="s">
        <v>106</v>
      </c>
      <c r="AA237" s="45"/>
      <c r="AB237" s="45"/>
    </row>
    <row r="238" spans="1:28" x14ac:dyDescent="0.25">
      <c r="A238" s="48">
        <v>1233</v>
      </c>
      <c r="B238" s="64" t="s">
        <v>515</v>
      </c>
      <c r="C238" s="45" t="s">
        <v>190</v>
      </c>
      <c r="D238" s="62" t="s">
        <v>20</v>
      </c>
      <c r="E238" s="45">
        <v>1</v>
      </c>
      <c r="F238" s="46">
        <v>94</v>
      </c>
      <c r="G238" s="47" t="s">
        <v>46</v>
      </c>
      <c r="I238" s="45" t="s">
        <v>186</v>
      </c>
      <c r="N238" s="45" t="s">
        <v>899</v>
      </c>
      <c r="O238" s="45" t="s">
        <v>895</v>
      </c>
      <c r="P238" s="68" t="e">
        <f>VLOOKUP(B238,#REF!,2,FALSE)</f>
        <v>#REF!</v>
      </c>
      <c r="Q238" s="68" t="e">
        <f>VLOOKUP(B238,#REF!,3,FALSE)</f>
        <v>#REF!</v>
      </c>
      <c r="R238" s="68" t="e">
        <f>VLOOKUP($W238,#REF!,2,FALSE)</f>
        <v>#REF!</v>
      </c>
      <c r="S238" s="73" t="e">
        <f>VLOOKUP($W238,#REF!,7,FALSE)</f>
        <v>#REF!</v>
      </c>
      <c r="U238" s="48">
        <v>1</v>
      </c>
      <c r="V238" s="57" t="e">
        <f>IF(ISNUMBER(U238),HLOOKUP(U238,#REF!,2,FALSE)*E238,"")</f>
        <v>#REF!</v>
      </c>
      <c r="W238" s="48" t="s">
        <v>106</v>
      </c>
      <c r="AA238" s="45"/>
      <c r="AB238" s="45"/>
    </row>
    <row r="239" spans="1:28" x14ac:dyDescent="0.25">
      <c r="A239" s="48">
        <v>1234</v>
      </c>
      <c r="B239" s="64" t="s">
        <v>515</v>
      </c>
      <c r="C239" s="45" t="s">
        <v>190</v>
      </c>
      <c r="D239" s="62" t="s">
        <v>802</v>
      </c>
      <c r="E239" s="45">
        <v>1</v>
      </c>
      <c r="F239" s="46">
        <v>94</v>
      </c>
      <c r="G239" s="47" t="s">
        <v>46</v>
      </c>
      <c r="I239" s="45" t="s">
        <v>186</v>
      </c>
      <c r="N239" s="45" t="s">
        <v>899</v>
      </c>
      <c r="O239" s="45" t="s">
        <v>895</v>
      </c>
      <c r="P239" s="68" t="e">
        <f>VLOOKUP(B239,#REF!,2,FALSE)</f>
        <v>#REF!</v>
      </c>
      <c r="Q239" s="68" t="e">
        <f>VLOOKUP(B239,#REF!,3,FALSE)</f>
        <v>#REF!</v>
      </c>
      <c r="R239" s="68" t="e">
        <f>VLOOKUP($W239,#REF!,2,FALSE)</f>
        <v>#REF!</v>
      </c>
      <c r="S239" s="73" t="e">
        <f>VLOOKUP($W239,#REF!,7,FALSE)</f>
        <v>#REF!</v>
      </c>
      <c r="U239" s="48">
        <v>1</v>
      </c>
      <c r="V239" s="57" t="e">
        <f>IF(ISNUMBER(U239),HLOOKUP(U239,#REF!,2,FALSE)*E239,"")</f>
        <v>#REF!</v>
      </c>
      <c r="W239" s="48" t="s">
        <v>106</v>
      </c>
      <c r="AA239" s="45"/>
      <c r="AB239" s="45"/>
    </row>
    <row r="240" spans="1:28" ht="75" x14ac:dyDescent="0.25">
      <c r="A240" s="48">
        <v>1235</v>
      </c>
      <c r="B240" s="64" t="s">
        <v>542</v>
      </c>
      <c r="C240" s="45" t="s">
        <v>194</v>
      </c>
      <c r="D240" s="62" t="s">
        <v>543</v>
      </c>
      <c r="E240" s="45">
        <v>0</v>
      </c>
      <c r="F240" s="46">
        <v>97</v>
      </c>
      <c r="G240" s="47" t="s">
        <v>169</v>
      </c>
      <c r="I240" s="45" t="s">
        <v>193</v>
      </c>
      <c r="L240" s="47" t="s">
        <v>860</v>
      </c>
      <c r="M240" s="47" t="s">
        <v>888</v>
      </c>
      <c r="N240" s="45" t="s">
        <v>894</v>
      </c>
      <c r="O240" s="45" t="s">
        <v>898</v>
      </c>
      <c r="P240" s="68" t="e">
        <f>VLOOKUP(B240,#REF!,2,FALSE)</f>
        <v>#REF!</v>
      </c>
      <c r="Q240" s="68" t="e">
        <f>VLOOKUP(B240,#REF!,3,FALSE)</f>
        <v>#REF!</v>
      </c>
      <c r="R240" s="68" t="e">
        <f>VLOOKUP($W240,#REF!,2,FALSE)</f>
        <v>#REF!</v>
      </c>
      <c r="S240" s="73" t="e">
        <f>VLOOKUP($W240,#REF!,7,FALSE)</f>
        <v>#REF!</v>
      </c>
      <c r="U240" s="48">
        <v>0</v>
      </c>
      <c r="V240" s="57" t="e">
        <f>IF(ISNUMBER(U240),HLOOKUP(U240,#REF!,2,FALSE)*E240,"")</f>
        <v>#REF!</v>
      </c>
      <c r="W240" s="48" t="s">
        <v>106</v>
      </c>
      <c r="X240" s="59">
        <v>45919</v>
      </c>
      <c r="AA240" s="45"/>
      <c r="AB240" s="45"/>
    </row>
    <row r="241" spans="1:28" ht="30" x14ac:dyDescent="0.25">
      <c r="A241" s="48">
        <v>1236</v>
      </c>
      <c r="B241" s="64" t="s">
        <v>542</v>
      </c>
      <c r="C241" s="45" t="s">
        <v>194</v>
      </c>
      <c r="D241" s="62" t="s">
        <v>544</v>
      </c>
      <c r="E241" s="45">
        <v>1</v>
      </c>
      <c r="F241" s="46">
        <v>97</v>
      </c>
      <c r="G241" s="47" t="s">
        <v>1041</v>
      </c>
      <c r="I241" s="45" t="s">
        <v>193</v>
      </c>
      <c r="N241" s="45" t="s">
        <v>899</v>
      </c>
      <c r="O241" s="45" t="s">
        <v>895</v>
      </c>
      <c r="P241" s="68" t="e">
        <f>VLOOKUP(B241,#REF!,2,FALSE)</f>
        <v>#REF!</v>
      </c>
      <c r="Q241" s="68" t="e">
        <f>VLOOKUP(B241,#REF!,3,FALSE)</f>
        <v>#REF!</v>
      </c>
      <c r="R241" s="68" t="e">
        <f>VLOOKUP($W241,#REF!,2,FALSE)</f>
        <v>#REF!</v>
      </c>
      <c r="S241" s="73" t="e">
        <f>VLOOKUP($W241,#REF!,7,FALSE)</f>
        <v>#REF!</v>
      </c>
      <c r="U241" s="48">
        <v>1</v>
      </c>
      <c r="V241" s="57" t="e">
        <f>IF(ISNUMBER(U241),HLOOKUP(U241,#REF!,2,FALSE)*E241,"")</f>
        <v>#REF!</v>
      </c>
      <c r="W241" s="48" t="s">
        <v>106</v>
      </c>
      <c r="AA241" s="45"/>
      <c r="AB241" s="45"/>
    </row>
    <row r="242" spans="1:28" ht="30" x14ac:dyDescent="0.25">
      <c r="A242" s="48">
        <v>1237</v>
      </c>
      <c r="B242" s="64" t="s">
        <v>542</v>
      </c>
      <c r="C242" s="45" t="s">
        <v>194</v>
      </c>
      <c r="D242" s="62" t="s">
        <v>561</v>
      </c>
      <c r="E242" s="45">
        <v>1</v>
      </c>
      <c r="F242" s="46">
        <v>97</v>
      </c>
      <c r="G242" s="47" t="s">
        <v>1042</v>
      </c>
      <c r="I242" s="45" t="s">
        <v>193</v>
      </c>
      <c r="N242" s="45" t="s">
        <v>899</v>
      </c>
      <c r="O242" s="45" t="s">
        <v>895</v>
      </c>
      <c r="P242" s="68" t="e">
        <f>VLOOKUP(B242,#REF!,2,FALSE)</f>
        <v>#REF!</v>
      </c>
      <c r="Q242" s="68" t="e">
        <f>VLOOKUP(B242,#REF!,3,FALSE)</f>
        <v>#REF!</v>
      </c>
      <c r="R242" s="68" t="e">
        <f>VLOOKUP($W242,#REF!,2,FALSE)</f>
        <v>#REF!</v>
      </c>
      <c r="S242" s="73" t="e">
        <f>VLOOKUP($W242,#REF!,7,FALSE)</f>
        <v>#REF!</v>
      </c>
      <c r="U242" s="48">
        <v>1</v>
      </c>
      <c r="V242" s="57" t="e">
        <f>IF(ISNUMBER(U242),HLOOKUP(U242,#REF!,2,FALSE)*E242,"")</f>
        <v>#REF!</v>
      </c>
      <c r="W242" s="48" t="s">
        <v>106</v>
      </c>
      <c r="AA242" s="45"/>
      <c r="AB242" s="45"/>
    </row>
    <row r="243" spans="1:28" ht="30" x14ac:dyDescent="0.25">
      <c r="A243" s="48">
        <v>1238</v>
      </c>
      <c r="B243" s="64" t="s">
        <v>542</v>
      </c>
      <c r="C243" s="45" t="s">
        <v>194</v>
      </c>
      <c r="D243" s="62" t="s">
        <v>545</v>
      </c>
      <c r="E243" s="45">
        <v>1</v>
      </c>
      <c r="F243" s="46">
        <v>97</v>
      </c>
      <c r="G243" s="47" t="s">
        <v>1043</v>
      </c>
      <c r="I243" s="45" t="s">
        <v>193</v>
      </c>
      <c r="N243" s="45" t="s">
        <v>899</v>
      </c>
      <c r="O243" s="45" t="s">
        <v>895</v>
      </c>
      <c r="P243" s="68" t="e">
        <f>VLOOKUP(B243,#REF!,2,FALSE)</f>
        <v>#REF!</v>
      </c>
      <c r="Q243" s="68" t="e">
        <f>VLOOKUP(B243,#REF!,3,FALSE)</f>
        <v>#REF!</v>
      </c>
      <c r="R243" s="68" t="e">
        <f>VLOOKUP($W243,#REF!,2,FALSE)</f>
        <v>#REF!</v>
      </c>
      <c r="S243" s="73" t="e">
        <f>VLOOKUP($W243,#REF!,7,FALSE)</f>
        <v>#REF!</v>
      </c>
      <c r="U243" s="48">
        <v>1</v>
      </c>
      <c r="V243" s="57" t="e">
        <f>IF(ISNUMBER(U243),HLOOKUP(U243,#REF!,2,FALSE)*E243,"")</f>
        <v>#REF!</v>
      </c>
      <c r="W243" s="48" t="s">
        <v>106</v>
      </c>
      <c r="AA243" s="45"/>
      <c r="AB243" s="45"/>
    </row>
    <row r="244" spans="1:28" ht="75" x14ac:dyDescent="0.25">
      <c r="A244" s="48">
        <v>1239</v>
      </c>
      <c r="B244" s="64" t="s">
        <v>542</v>
      </c>
      <c r="C244" s="45" t="s">
        <v>194</v>
      </c>
      <c r="D244" s="62" t="s">
        <v>546</v>
      </c>
      <c r="E244" s="45">
        <v>1</v>
      </c>
      <c r="F244" s="46">
        <v>97</v>
      </c>
      <c r="G244" s="47" t="s">
        <v>1044</v>
      </c>
      <c r="I244" s="45" t="s">
        <v>193</v>
      </c>
      <c r="L244" s="47" t="s">
        <v>860</v>
      </c>
      <c r="M244" s="47" t="s">
        <v>889</v>
      </c>
      <c r="N244" s="45" t="s">
        <v>894</v>
      </c>
      <c r="O244" s="45" t="s">
        <v>898</v>
      </c>
      <c r="P244" s="68" t="e">
        <f>VLOOKUP(B244,#REF!,2,FALSE)</f>
        <v>#REF!</v>
      </c>
      <c r="Q244" s="68" t="e">
        <f>VLOOKUP(B244,#REF!,3,FALSE)</f>
        <v>#REF!</v>
      </c>
      <c r="R244" s="68" t="e">
        <f>VLOOKUP($W244,#REF!,2,FALSE)</f>
        <v>#REF!</v>
      </c>
      <c r="S244" s="73" t="e">
        <f>VLOOKUP($W244,#REF!,7,FALSE)</f>
        <v>#REF!</v>
      </c>
      <c r="U244" s="48">
        <v>1</v>
      </c>
      <c r="V244" s="57" t="e">
        <f>IF(ISNUMBER(U244),HLOOKUP(U244,#REF!,2,FALSE)*E244,"")</f>
        <v>#REF!</v>
      </c>
      <c r="W244" s="48" t="s">
        <v>106</v>
      </c>
      <c r="X244" s="59">
        <v>45919</v>
      </c>
      <c r="AA244" s="45"/>
      <c r="AB244" s="45"/>
    </row>
    <row r="245" spans="1:28" ht="30" x14ac:dyDescent="0.25">
      <c r="A245" s="48">
        <v>1240</v>
      </c>
      <c r="B245" s="64" t="s">
        <v>542</v>
      </c>
      <c r="C245" s="45" t="s">
        <v>194</v>
      </c>
      <c r="D245" s="62" t="s">
        <v>547</v>
      </c>
      <c r="E245" s="45">
        <v>1</v>
      </c>
      <c r="F245" s="46">
        <v>97</v>
      </c>
      <c r="G245" s="47" t="s">
        <v>1045</v>
      </c>
      <c r="I245" s="45" t="s">
        <v>193</v>
      </c>
      <c r="N245" s="45" t="s">
        <v>899</v>
      </c>
      <c r="O245" s="45" t="s">
        <v>895</v>
      </c>
      <c r="P245" s="68" t="e">
        <f>VLOOKUP(B245,#REF!,2,FALSE)</f>
        <v>#REF!</v>
      </c>
      <c r="Q245" s="68" t="e">
        <f>VLOOKUP(B245,#REF!,3,FALSE)</f>
        <v>#REF!</v>
      </c>
      <c r="R245" s="68" t="e">
        <f>VLOOKUP($W245,#REF!,2,FALSE)</f>
        <v>#REF!</v>
      </c>
      <c r="S245" s="73" t="e">
        <f>VLOOKUP($W245,#REF!,7,FALSE)</f>
        <v>#REF!</v>
      </c>
      <c r="U245" s="48">
        <v>1</v>
      </c>
      <c r="V245" s="57" t="e">
        <f>IF(ISNUMBER(U245),HLOOKUP(U245,#REF!,2,FALSE)*E245,"")</f>
        <v>#REF!</v>
      </c>
      <c r="W245" s="48" t="s">
        <v>106</v>
      </c>
      <c r="AA245" s="45"/>
      <c r="AB245" s="45"/>
    </row>
    <row r="246" spans="1:28" x14ac:dyDescent="0.25">
      <c r="A246" s="48">
        <v>1241</v>
      </c>
      <c r="B246" s="64" t="s">
        <v>542</v>
      </c>
      <c r="C246" s="45" t="s">
        <v>195</v>
      </c>
      <c r="D246" s="62" t="s">
        <v>548</v>
      </c>
      <c r="E246" s="45">
        <v>0</v>
      </c>
      <c r="F246" s="46">
        <v>98</v>
      </c>
      <c r="G246" s="47" t="s">
        <v>169</v>
      </c>
      <c r="I246" s="45" t="s">
        <v>193</v>
      </c>
      <c r="N246" s="45" t="s">
        <v>899</v>
      </c>
      <c r="O246" s="45" t="s">
        <v>895</v>
      </c>
      <c r="P246" s="68" t="e">
        <f>VLOOKUP(B246,#REF!,2,FALSE)</f>
        <v>#REF!</v>
      </c>
      <c r="Q246" s="68" t="e">
        <f>VLOOKUP(B246,#REF!,3,FALSE)</f>
        <v>#REF!</v>
      </c>
      <c r="R246" s="68" t="e">
        <f>VLOOKUP($W246,#REF!,2,FALSE)</f>
        <v>#REF!</v>
      </c>
      <c r="S246" s="73" t="e">
        <f>VLOOKUP($W246,#REF!,7,FALSE)</f>
        <v>#REF!</v>
      </c>
      <c r="U246" s="48">
        <v>0</v>
      </c>
      <c r="V246" s="57" t="e">
        <f>IF(ISNUMBER(U246),HLOOKUP(U246,#REF!,2,FALSE)*E246,"")</f>
        <v>#REF!</v>
      </c>
      <c r="W246" s="48" t="s">
        <v>106</v>
      </c>
      <c r="AA246" s="45"/>
      <c r="AB246" s="45"/>
    </row>
    <row r="247" spans="1:28" x14ac:dyDescent="0.25">
      <c r="A247" s="48">
        <v>1242</v>
      </c>
      <c r="B247" s="64" t="s">
        <v>542</v>
      </c>
      <c r="C247" s="45" t="s">
        <v>195</v>
      </c>
      <c r="D247" s="62" t="s">
        <v>549</v>
      </c>
      <c r="E247" s="45">
        <v>0</v>
      </c>
      <c r="F247" s="46">
        <v>98</v>
      </c>
      <c r="G247" s="47" t="s">
        <v>169</v>
      </c>
      <c r="I247" s="45" t="s">
        <v>193</v>
      </c>
      <c r="N247" s="45" t="s">
        <v>899</v>
      </c>
      <c r="O247" s="45" t="s">
        <v>895</v>
      </c>
      <c r="P247" s="68" t="e">
        <f>VLOOKUP(B247,#REF!,2,FALSE)</f>
        <v>#REF!</v>
      </c>
      <c r="Q247" s="68" t="e">
        <f>VLOOKUP(B247,#REF!,3,FALSE)</f>
        <v>#REF!</v>
      </c>
      <c r="R247" s="68" t="e">
        <f>VLOOKUP($W247,#REF!,2,FALSE)</f>
        <v>#REF!</v>
      </c>
      <c r="S247" s="73" t="e">
        <f>VLOOKUP($W247,#REF!,7,FALSE)</f>
        <v>#REF!</v>
      </c>
      <c r="U247" s="48">
        <v>0</v>
      </c>
      <c r="V247" s="57" t="e">
        <f>IF(ISNUMBER(U247),HLOOKUP(U247,#REF!,2,FALSE)*E247,"")</f>
        <v>#REF!</v>
      </c>
      <c r="W247" s="48" t="s">
        <v>106</v>
      </c>
      <c r="AA247" s="45"/>
      <c r="AB247" s="45"/>
    </row>
    <row r="248" spans="1:28" x14ac:dyDescent="0.25">
      <c r="A248" s="48">
        <v>1243</v>
      </c>
      <c r="B248" s="64" t="s">
        <v>542</v>
      </c>
      <c r="C248" s="45" t="s">
        <v>195</v>
      </c>
      <c r="D248" s="62" t="s">
        <v>550</v>
      </c>
      <c r="E248" s="45">
        <v>0</v>
      </c>
      <c r="F248" s="46">
        <v>98</v>
      </c>
      <c r="G248" s="47" t="s">
        <v>169</v>
      </c>
      <c r="I248" s="45" t="s">
        <v>193</v>
      </c>
      <c r="N248" s="45" t="s">
        <v>899</v>
      </c>
      <c r="O248" s="45" t="s">
        <v>895</v>
      </c>
      <c r="P248" s="68" t="e">
        <f>VLOOKUP(B248,#REF!,2,FALSE)</f>
        <v>#REF!</v>
      </c>
      <c r="Q248" s="68" t="e">
        <f>VLOOKUP(B248,#REF!,3,FALSE)</f>
        <v>#REF!</v>
      </c>
      <c r="R248" s="68" t="e">
        <f>VLOOKUP($W248,#REF!,2,FALSE)</f>
        <v>#REF!</v>
      </c>
      <c r="S248" s="73" t="e">
        <f>VLOOKUP($W248,#REF!,7,FALSE)</f>
        <v>#REF!</v>
      </c>
      <c r="U248" s="48">
        <v>0</v>
      </c>
      <c r="V248" s="57" t="e">
        <f>IF(ISNUMBER(U248),HLOOKUP(U248,#REF!,2,FALSE)*E248,"")</f>
        <v>#REF!</v>
      </c>
      <c r="W248" s="48" t="s">
        <v>106</v>
      </c>
      <c r="AA248" s="45"/>
      <c r="AB248" s="45"/>
    </row>
    <row r="249" spans="1:28" x14ac:dyDescent="0.25">
      <c r="A249" s="48">
        <v>1244</v>
      </c>
      <c r="B249" s="64" t="s">
        <v>542</v>
      </c>
      <c r="C249" s="45" t="s">
        <v>196</v>
      </c>
      <c r="D249" s="62" t="s">
        <v>837</v>
      </c>
      <c r="E249" s="45">
        <v>1</v>
      </c>
      <c r="F249" s="46" t="s">
        <v>723</v>
      </c>
      <c r="G249" s="47" t="s">
        <v>46</v>
      </c>
      <c r="I249" s="45" t="s">
        <v>193</v>
      </c>
      <c r="J249" s="45" t="s">
        <v>221</v>
      </c>
      <c r="N249" s="45" t="s">
        <v>899</v>
      </c>
      <c r="O249" s="45" t="s">
        <v>895</v>
      </c>
      <c r="P249" s="68" t="e">
        <f>VLOOKUP(B249,#REF!,2,FALSE)</f>
        <v>#REF!</v>
      </c>
      <c r="Q249" s="68" t="e">
        <f>VLOOKUP(B249,#REF!,3,FALSE)</f>
        <v>#REF!</v>
      </c>
      <c r="R249" s="68" t="e">
        <f>VLOOKUP($W249,#REF!,2,FALSE)</f>
        <v>#REF!</v>
      </c>
      <c r="S249" s="73" t="e">
        <f>VLOOKUP($W249,#REF!,7,FALSE)</f>
        <v>#REF!</v>
      </c>
      <c r="U249" s="48">
        <v>1</v>
      </c>
      <c r="V249" s="57" t="e">
        <f>IF(ISNUMBER(U249),HLOOKUP(U249,#REF!,2,FALSE)*E249,"")</f>
        <v>#REF!</v>
      </c>
      <c r="W249" s="48" t="s">
        <v>106</v>
      </c>
      <c r="AA249" s="45"/>
      <c r="AB249" s="45"/>
    </row>
    <row r="250" spans="1:28" x14ac:dyDescent="0.25">
      <c r="A250" s="48">
        <v>1245</v>
      </c>
      <c r="B250" s="64" t="s">
        <v>542</v>
      </c>
      <c r="C250" s="45" t="s">
        <v>196</v>
      </c>
      <c r="D250" s="62" t="s">
        <v>552</v>
      </c>
      <c r="E250" s="45">
        <v>1</v>
      </c>
      <c r="F250" s="46" t="s">
        <v>723</v>
      </c>
      <c r="G250" s="47" t="s">
        <v>46</v>
      </c>
      <c r="I250" s="45" t="s">
        <v>193</v>
      </c>
      <c r="J250" s="45" t="s">
        <v>221</v>
      </c>
      <c r="N250" s="45" t="s">
        <v>899</v>
      </c>
      <c r="O250" s="45" t="s">
        <v>895</v>
      </c>
      <c r="P250" s="68" t="e">
        <f>VLOOKUP(B250,#REF!,2,FALSE)</f>
        <v>#REF!</v>
      </c>
      <c r="Q250" s="68" t="e">
        <f>VLOOKUP(B250,#REF!,3,FALSE)</f>
        <v>#REF!</v>
      </c>
      <c r="R250" s="68" t="e">
        <f>VLOOKUP($W250,#REF!,2,FALSE)</f>
        <v>#REF!</v>
      </c>
      <c r="S250" s="73" t="e">
        <f>VLOOKUP($W250,#REF!,7,FALSE)</f>
        <v>#REF!</v>
      </c>
      <c r="U250" s="48">
        <v>1</v>
      </c>
      <c r="V250" s="57" t="e">
        <f>IF(ISNUMBER(U250),HLOOKUP(U250,#REF!,2,FALSE)*E250,"")</f>
        <v>#REF!</v>
      </c>
      <c r="W250" s="48" t="s">
        <v>106</v>
      </c>
      <c r="AA250" s="45"/>
      <c r="AB250" s="45"/>
    </row>
    <row r="251" spans="1:28" x14ac:dyDescent="0.25">
      <c r="A251" s="48">
        <v>1246</v>
      </c>
      <c r="B251" s="64" t="s">
        <v>542</v>
      </c>
      <c r="C251" s="45" t="s">
        <v>196</v>
      </c>
      <c r="D251" s="62" t="s">
        <v>553</v>
      </c>
      <c r="E251" s="45">
        <v>1</v>
      </c>
      <c r="F251" s="46" t="s">
        <v>723</v>
      </c>
      <c r="G251" s="70" t="s">
        <v>254</v>
      </c>
      <c r="I251" s="45" t="s">
        <v>193</v>
      </c>
      <c r="J251" s="45" t="s">
        <v>221</v>
      </c>
      <c r="N251" s="45" t="s">
        <v>899</v>
      </c>
      <c r="O251" s="45" t="s">
        <v>895</v>
      </c>
      <c r="P251" s="68" t="e">
        <f>VLOOKUP(B251,#REF!,2,FALSE)</f>
        <v>#REF!</v>
      </c>
      <c r="Q251" s="68" t="e">
        <f>VLOOKUP(B251,#REF!,3,FALSE)</f>
        <v>#REF!</v>
      </c>
      <c r="R251" s="68" t="e">
        <f>VLOOKUP($W251,#REF!,2,FALSE)</f>
        <v>#REF!</v>
      </c>
      <c r="S251" s="73" t="e">
        <f>VLOOKUP($W251,#REF!,7,FALSE)</f>
        <v>#REF!</v>
      </c>
      <c r="U251" s="48">
        <v>1</v>
      </c>
      <c r="V251" s="57" t="e">
        <f>IF(ISNUMBER(U251),HLOOKUP(U251,#REF!,2,FALSE)*E251,"")</f>
        <v>#REF!</v>
      </c>
      <c r="W251" s="48" t="s">
        <v>106</v>
      </c>
      <c r="AA251" s="45"/>
      <c r="AB251" s="45"/>
    </row>
    <row r="252" spans="1:28" x14ac:dyDescent="0.25">
      <c r="A252" s="48">
        <v>1247</v>
      </c>
      <c r="B252" s="64" t="s">
        <v>542</v>
      </c>
      <c r="C252" s="45" t="s">
        <v>196</v>
      </c>
      <c r="D252" s="62" t="s">
        <v>554</v>
      </c>
      <c r="E252" s="45">
        <v>1</v>
      </c>
      <c r="F252" s="46" t="s">
        <v>723</v>
      </c>
      <c r="G252" s="47" t="s">
        <v>46</v>
      </c>
      <c r="I252" s="45" t="s">
        <v>193</v>
      </c>
      <c r="J252" s="45" t="s">
        <v>221</v>
      </c>
      <c r="N252" s="45" t="s">
        <v>899</v>
      </c>
      <c r="O252" s="45" t="s">
        <v>895</v>
      </c>
      <c r="P252" s="68" t="e">
        <f>VLOOKUP(B252,#REF!,2,FALSE)</f>
        <v>#REF!</v>
      </c>
      <c r="Q252" s="68" t="e">
        <f>VLOOKUP(B252,#REF!,3,FALSE)</f>
        <v>#REF!</v>
      </c>
      <c r="R252" s="68" t="e">
        <f>VLOOKUP($W252,#REF!,2,FALSE)</f>
        <v>#REF!</v>
      </c>
      <c r="S252" s="73" t="e">
        <f>VLOOKUP($W252,#REF!,7,FALSE)</f>
        <v>#REF!</v>
      </c>
      <c r="U252" s="48">
        <v>1</v>
      </c>
      <c r="V252" s="57" t="e">
        <f>IF(ISNUMBER(U252),HLOOKUP(U252,#REF!,2,FALSE)*E252,"")</f>
        <v>#REF!</v>
      </c>
      <c r="W252" s="48" t="s">
        <v>106</v>
      </c>
      <c r="AA252" s="45"/>
      <c r="AB252" s="45"/>
    </row>
    <row r="253" spans="1:28" x14ac:dyDescent="0.25">
      <c r="A253" s="48">
        <v>1248</v>
      </c>
      <c r="B253" s="64" t="s">
        <v>542</v>
      </c>
      <c r="C253" s="45" t="s">
        <v>196</v>
      </c>
      <c r="D253" s="62" t="s">
        <v>555</v>
      </c>
      <c r="E253" s="45">
        <v>1</v>
      </c>
      <c r="F253" s="46" t="s">
        <v>723</v>
      </c>
      <c r="G253" s="47" t="s">
        <v>46</v>
      </c>
      <c r="I253" s="45" t="s">
        <v>193</v>
      </c>
      <c r="J253" s="45" t="s">
        <v>221</v>
      </c>
      <c r="N253" s="45" t="s">
        <v>899</v>
      </c>
      <c r="O253" s="45" t="s">
        <v>895</v>
      </c>
      <c r="P253" s="68" t="e">
        <f>VLOOKUP(B253,#REF!,2,FALSE)</f>
        <v>#REF!</v>
      </c>
      <c r="Q253" s="68" t="e">
        <f>VLOOKUP(B253,#REF!,3,FALSE)</f>
        <v>#REF!</v>
      </c>
      <c r="R253" s="68" t="e">
        <f>VLOOKUP($W253,#REF!,2,FALSE)</f>
        <v>#REF!</v>
      </c>
      <c r="S253" s="73" t="e">
        <f>VLOOKUP($W253,#REF!,7,FALSE)</f>
        <v>#REF!</v>
      </c>
      <c r="U253" s="48">
        <v>1</v>
      </c>
      <c r="V253" s="57" t="e">
        <f>IF(ISNUMBER(U253),HLOOKUP(U253,#REF!,2,FALSE)*E253,"")</f>
        <v>#REF!</v>
      </c>
      <c r="W253" s="48" t="s">
        <v>106</v>
      </c>
      <c r="AA253" s="45"/>
      <c r="AB253" s="45"/>
    </row>
    <row r="254" spans="1:28" x14ac:dyDescent="0.25">
      <c r="A254" s="48">
        <v>1249</v>
      </c>
      <c r="B254" s="64" t="s">
        <v>542</v>
      </c>
      <c r="C254" s="45" t="s">
        <v>196</v>
      </c>
      <c r="D254" s="62" t="s">
        <v>556</v>
      </c>
      <c r="E254" s="45">
        <v>1</v>
      </c>
      <c r="F254" s="46" t="s">
        <v>723</v>
      </c>
      <c r="G254" s="47" t="s">
        <v>46</v>
      </c>
      <c r="I254" s="45" t="s">
        <v>193</v>
      </c>
      <c r="J254" s="45" t="s">
        <v>221</v>
      </c>
      <c r="N254" s="45" t="s">
        <v>899</v>
      </c>
      <c r="O254" s="45" t="s">
        <v>895</v>
      </c>
      <c r="P254" s="68" t="e">
        <f>VLOOKUP(B254,#REF!,2,FALSE)</f>
        <v>#REF!</v>
      </c>
      <c r="Q254" s="68" t="e">
        <f>VLOOKUP(B254,#REF!,3,FALSE)</f>
        <v>#REF!</v>
      </c>
      <c r="R254" s="68" t="e">
        <f>VLOOKUP($W254,#REF!,2,FALSE)</f>
        <v>#REF!</v>
      </c>
      <c r="S254" s="73" t="e">
        <f>VLOOKUP($W254,#REF!,7,FALSE)</f>
        <v>#REF!</v>
      </c>
      <c r="U254" s="48">
        <v>1</v>
      </c>
      <c r="V254" s="57" t="e">
        <f>IF(ISNUMBER(U254),HLOOKUP(U254,#REF!,2,FALSE)*E254,"")</f>
        <v>#REF!</v>
      </c>
      <c r="W254" s="48" t="s">
        <v>106</v>
      </c>
      <c r="AA254" s="45"/>
      <c r="AB254" s="45"/>
    </row>
    <row r="255" spans="1:28" x14ac:dyDescent="0.25">
      <c r="A255" s="48">
        <v>1250</v>
      </c>
      <c r="B255" s="64" t="s">
        <v>542</v>
      </c>
      <c r="C255" s="45" t="s">
        <v>196</v>
      </c>
      <c r="D255" s="62" t="s">
        <v>1101</v>
      </c>
      <c r="E255" s="45">
        <v>1</v>
      </c>
      <c r="F255" s="46" t="s">
        <v>723</v>
      </c>
      <c r="G255" s="47" t="s">
        <v>259</v>
      </c>
      <c r="I255" s="45" t="s">
        <v>193</v>
      </c>
      <c r="J255" s="45" t="s">
        <v>221</v>
      </c>
      <c r="N255" s="45" t="s">
        <v>899</v>
      </c>
      <c r="O255" s="45" t="s">
        <v>895</v>
      </c>
      <c r="P255" s="68" t="e">
        <f>VLOOKUP(B255,#REF!,2,FALSE)</f>
        <v>#REF!</v>
      </c>
      <c r="Q255" s="68" t="e">
        <f>VLOOKUP(B255,#REF!,3,FALSE)</f>
        <v>#REF!</v>
      </c>
      <c r="R255" s="68" t="e">
        <f>VLOOKUP($W255,#REF!,2,FALSE)</f>
        <v>#REF!</v>
      </c>
      <c r="S255" s="73" t="e">
        <f>VLOOKUP($W255,#REF!,7,FALSE)</f>
        <v>#REF!</v>
      </c>
      <c r="U255" s="48">
        <v>1</v>
      </c>
      <c r="V255" s="57" t="e">
        <f>IF(ISNUMBER(U255),HLOOKUP(U255,#REF!,2,FALSE)*E255,"")</f>
        <v>#REF!</v>
      </c>
      <c r="W255" s="48" t="s">
        <v>106</v>
      </c>
      <c r="AA255" s="45"/>
      <c r="AB255" s="45"/>
    </row>
    <row r="256" spans="1:28" x14ac:dyDescent="0.25">
      <c r="A256" s="48">
        <v>1251</v>
      </c>
      <c r="B256" s="64" t="s">
        <v>542</v>
      </c>
      <c r="C256" s="45" t="s">
        <v>196</v>
      </c>
      <c r="D256" s="62" t="s">
        <v>1102</v>
      </c>
      <c r="E256" s="45">
        <v>1</v>
      </c>
      <c r="F256" s="46" t="s">
        <v>723</v>
      </c>
      <c r="G256" s="47" t="s">
        <v>259</v>
      </c>
      <c r="I256" s="45" t="s">
        <v>193</v>
      </c>
      <c r="J256" s="45" t="s">
        <v>221</v>
      </c>
      <c r="N256" s="45" t="s">
        <v>899</v>
      </c>
      <c r="O256" s="45" t="s">
        <v>895</v>
      </c>
      <c r="P256" s="68" t="e">
        <f>VLOOKUP(B256,#REF!,2,FALSE)</f>
        <v>#REF!</v>
      </c>
      <c r="Q256" s="68" t="e">
        <f>VLOOKUP(B256,#REF!,3,FALSE)</f>
        <v>#REF!</v>
      </c>
      <c r="R256" s="68" t="e">
        <f>VLOOKUP($W256,#REF!,2,FALSE)</f>
        <v>#REF!</v>
      </c>
      <c r="S256" s="73" t="e">
        <f>VLOOKUP($W256,#REF!,7,FALSE)</f>
        <v>#REF!</v>
      </c>
      <c r="U256" s="48">
        <v>1</v>
      </c>
      <c r="V256" s="57" t="e">
        <f>IF(ISNUMBER(U256),HLOOKUP(U256,#REF!,2,FALSE)*E256,"")</f>
        <v>#REF!</v>
      </c>
      <c r="W256" s="48" t="s">
        <v>106</v>
      </c>
      <c r="AA256" s="45"/>
      <c r="AB256" s="45"/>
    </row>
    <row r="257" spans="1:28" x14ac:dyDescent="0.25">
      <c r="A257" s="48">
        <v>1252</v>
      </c>
      <c r="B257" s="64" t="s">
        <v>542</v>
      </c>
      <c r="C257" s="45" t="s">
        <v>559</v>
      </c>
      <c r="D257" s="62" t="s">
        <v>560</v>
      </c>
      <c r="E257" s="45">
        <v>1</v>
      </c>
      <c r="F257" s="46">
        <v>99</v>
      </c>
      <c r="G257" s="47" t="s">
        <v>46</v>
      </c>
      <c r="I257" s="45" t="s">
        <v>193</v>
      </c>
      <c r="N257" s="45" t="s">
        <v>899</v>
      </c>
      <c r="O257" s="45" t="s">
        <v>895</v>
      </c>
      <c r="P257" s="68" t="e">
        <f>VLOOKUP(B257,#REF!,2,FALSE)</f>
        <v>#REF!</v>
      </c>
      <c r="Q257" s="68" t="e">
        <f>VLOOKUP(B257,#REF!,3,FALSE)</f>
        <v>#REF!</v>
      </c>
      <c r="R257" s="68" t="e">
        <f>VLOOKUP($W257,#REF!,2,FALSE)</f>
        <v>#REF!</v>
      </c>
      <c r="S257" s="73" t="e">
        <f>VLOOKUP($W257,#REF!,7,FALSE)</f>
        <v>#REF!</v>
      </c>
      <c r="U257" s="48">
        <v>1</v>
      </c>
      <c r="V257" s="57" t="e">
        <f>IF(ISNUMBER(U257),HLOOKUP(U257,#REF!,2,FALSE)*E257,"")</f>
        <v>#REF!</v>
      </c>
      <c r="W257" s="48" t="s">
        <v>106</v>
      </c>
      <c r="AA257" s="45"/>
      <c r="AB257" s="45"/>
    </row>
    <row r="258" spans="1:28" x14ac:dyDescent="0.25">
      <c r="A258" s="48">
        <v>1253</v>
      </c>
      <c r="B258" s="64" t="s">
        <v>542</v>
      </c>
      <c r="C258" s="45" t="s">
        <v>559</v>
      </c>
      <c r="D258" s="62" t="s">
        <v>801</v>
      </c>
      <c r="E258" s="45">
        <v>1</v>
      </c>
      <c r="F258" s="46">
        <v>99</v>
      </c>
      <c r="G258" s="47" t="s">
        <v>46</v>
      </c>
      <c r="I258" s="45" t="s">
        <v>193</v>
      </c>
      <c r="N258" s="45" t="s">
        <v>899</v>
      </c>
      <c r="O258" s="45" t="s">
        <v>895</v>
      </c>
      <c r="P258" s="68" t="e">
        <f>VLOOKUP(B258,#REF!,2,FALSE)</f>
        <v>#REF!</v>
      </c>
      <c r="Q258" s="68" t="e">
        <f>VLOOKUP(B258,#REF!,3,FALSE)</f>
        <v>#REF!</v>
      </c>
      <c r="R258" s="68" t="e">
        <f>VLOOKUP($W258,#REF!,2,FALSE)</f>
        <v>#REF!</v>
      </c>
      <c r="S258" s="73" t="e">
        <f>VLOOKUP($W258,#REF!,7,FALSE)</f>
        <v>#REF!</v>
      </c>
      <c r="U258" s="48">
        <v>1</v>
      </c>
      <c r="V258" s="57" t="e">
        <f>IF(ISNUMBER(U258),HLOOKUP(U258,#REF!,2,FALSE)*E258,"")</f>
        <v>#REF!</v>
      </c>
      <c r="W258" s="48" t="s">
        <v>106</v>
      </c>
      <c r="AA258" s="45"/>
      <c r="AB258" s="45"/>
    </row>
    <row r="259" spans="1:28" ht="30" x14ac:dyDescent="0.25">
      <c r="A259" s="48">
        <v>1254</v>
      </c>
      <c r="B259" s="64" t="s">
        <v>230</v>
      </c>
      <c r="C259" s="45" t="s">
        <v>202</v>
      </c>
      <c r="D259" s="62" t="s">
        <v>562</v>
      </c>
      <c r="E259" s="45">
        <v>1</v>
      </c>
      <c r="F259" s="46">
        <v>105</v>
      </c>
      <c r="G259" s="47" t="s">
        <v>1046</v>
      </c>
      <c r="I259" s="45" t="s">
        <v>230</v>
      </c>
      <c r="N259" s="45" t="s">
        <v>899</v>
      </c>
      <c r="O259" s="45" t="s">
        <v>895</v>
      </c>
      <c r="P259" s="68" t="e">
        <f>VLOOKUP(B259,#REF!,2,FALSE)</f>
        <v>#REF!</v>
      </c>
      <c r="Q259" s="68" t="e">
        <f>VLOOKUP(B259,#REF!,3,FALSE)</f>
        <v>#REF!</v>
      </c>
      <c r="R259" s="68" t="e">
        <f>VLOOKUP($W259,#REF!,2,FALSE)</f>
        <v>#REF!</v>
      </c>
      <c r="S259" s="73" t="e">
        <f>VLOOKUP($W259,#REF!,7,FALSE)</f>
        <v>#REF!</v>
      </c>
      <c r="U259" s="48">
        <v>1</v>
      </c>
      <c r="V259" s="57" t="e">
        <f>IF(ISNUMBER(U259),HLOOKUP(U259,#REF!,2,FALSE)*E259,"")</f>
        <v>#REF!</v>
      </c>
      <c r="W259" s="48" t="s">
        <v>904</v>
      </c>
      <c r="AA259" s="45"/>
      <c r="AB259" s="45"/>
    </row>
    <row r="260" spans="1:28" x14ac:dyDescent="0.25">
      <c r="A260" s="48">
        <v>1255</v>
      </c>
      <c r="B260" s="64" t="s">
        <v>230</v>
      </c>
      <c r="C260" s="45" t="s">
        <v>202</v>
      </c>
      <c r="D260" s="62" t="s">
        <v>805</v>
      </c>
      <c r="E260" s="45">
        <v>1</v>
      </c>
      <c r="F260" s="46">
        <v>105</v>
      </c>
      <c r="G260" s="47" t="s">
        <v>46</v>
      </c>
      <c r="I260" s="45" t="s">
        <v>230</v>
      </c>
      <c r="N260" s="45" t="s">
        <v>899</v>
      </c>
      <c r="O260" s="45" t="s">
        <v>895</v>
      </c>
      <c r="P260" s="68" t="e">
        <f>VLOOKUP(B260,#REF!,2,FALSE)</f>
        <v>#REF!</v>
      </c>
      <c r="Q260" s="68" t="e">
        <f>VLOOKUP(B260,#REF!,3,FALSE)</f>
        <v>#REF!</v>
      </c>
      <c r="R260" s="68" t="e">
        <f>VLOOKUP($W260,#REF!,2,FALSE)</f>
        <v>#REF!</v>
      </c>
      <c r="S260" s="73" t="e">
        <f>VLOOKUP($W260,#REF!,7,FALSE)</f>
        <v>#REF!</v>
      </c>
      <c r="U260" s="48">
        <v>1</v>
      </c>
      <c r="V260" s="57" t="e">
        <f>IF(ISNUMBER(U260),HLOOKUP(U260,#REF!,2,FALSE)*E260,"")</f>
        <v>#REF!</v>
      </c>
      <c r="W260" s="48" t="s">
        <v>904</v>
      </c>
      <c r="AA260" s="45"/>
      <c r="AB260" s="45"/>
    </row>
    <row r="261" spans="1:28" x14ac:dyDescent="0.25">
      <c r="A261" s="48">
        <v>1256</v>
      </c>
      <c r="B261" s="64" t="s">
        <v>566</v>
      </c>
      <c r="C261" s="45" t="s">
        <v>200</v>
      </c>
      <c r="D261" s="62" t="s">
        <v>564</v>
      </c>
      <c r="E261" s="45">
        <v>1</v>
      </c>
      <c r="F261" s="46">
        <v>107</v>
      </c>
      <c r="G261" s="47" t="s">
        <v>46</v>
      </c>
      <c r="I261" s="45" t="s">
        <v>199</v>
      </c>
      <c r="N261" s="45" t="s">
        <v>899</v>
      </c>
      <c r="O261" s="45" t="s">
        <v>895</v>
      </c>
      <c r="P261" s="68" t="e">
        <f>VLOOKUP(B261,#REF!,2,FALSE)</f>
        <v>#REF!</v>
      </c>
      <c r="Q261" s="68" t="e">
        <f>VLOOKUP(B261,#REF!,3,FALSE)</f>
        <v>#REF!</v>
      </c>
      <c r="R261" s="68" t="e">
        <f>VLOOKUP($W261,#REF!,2,FALSE)</f>
        <v>#REF!</v>
      </c>
      <c r="S261" s="73" t="e">
        <f>VLOOKUP($W261,#REF!,7,FALSE)</f>
        <v>#REF!</v>
      </c>
      <c r="U261" s="48">
        <v>1</v>
      </c>
      <c r="V261" s="57" t="e">
        <f>IF(ISNUMBER(U261),HLOOKUP(U261,#REF!,2,FALSE)*E261,"")</f>
        <v>#REF!</v>
      </c>
      <c r="W261" s="48" t="s">
        <v>904</v>
      </c>
      <c r="AA261" s="45"/>
      <c r="AB261" s="45"/>
    </row>
    <row r="262" spans="1:28" x14ac:dyDescent="0.25">
      <c r="A262" s="48">
        <v>1257</v>
      </c>
      <c r="B262" s="64" t="s">
        <v>795</v>
      </c>
      <c r="C262" s="45" t="s">
        <v>836</v>
      </c>
      <c r="D262" s="62" t="s">
        <v>804</v>
      </c>
      <c r="E262" s="45">
        <v>1</v>
      </c>
      <c r="F262" s="46">
        <v>110</v>
      </c>
      <c r="G262" s="47" t="s">
        <v>46</v>
      </c>
      <c r="I262" s="45" t="s">
        <v>235</v>
      </c>
      <c r="N262" s="45" t="s">
        <v>899</v>
      </c>
      <c r="O262" s="45" t="s">
        <v>895</v>
      </c>
      <c r="P262" s="68" t="e">
        <f>VLOOKUP(B262,#REF!,2,FALSE)</f>
        <v>#REF!</v>
      </c>
      <c r="Q262" s="68" t="e">
        <f>VLOOKUP(B262,#REF!,3,FALSE)</f>
        <v>#REF!</v>
      </c>
      <c r="R262" s="68" t="e">
        <f>VLOOKUP($W262,#REF!,2,FALSE)</f>
        <v>#REF!</v>
      </c>
      <c r="S262" s="73" t="e">
        <f>VLOOKUP($W262,#REF!,7,FALSE)</f>
        <v>#REF!</v>
      </c>
      <c r="U262" s="48">
        <v>1</v>
      </c>
      <c r="V262" s="57" t="e">
        <f>IF(ISNUMBER(U262),HLOOKUP(U262,#REF!,2,FALSE)*E262,"")</f>
        <v>#REF!</v>
      </c>
      <c r="W262" s="48" t="s">
        <v>904</v>
      </c>
      <c r="AA262" s="45"/>
      <c r="AB262" s="45"/>
    </row>
    <row r="263" spans="1:28" x14ac:dyDescent="0.25">
      <c r="A263" s="48">
        <v>1258</v>
      </c>
      <c r="B263" s="64" t="s">
        <v>568</v>
      </c>
      <c r="C263" s="45" t="s">
        <v>204</v>
      </c>
      <c r="D263" s="62" t="s">
        <v>806</v>
      </c>
      <c r="E263" s="45">
        <v>1</v>
      </c>
      <c r="F263" s="46" t="s">
        <v>786</v>
      </c>
      <c r="G263" s="47" t="s">
        <v>251</v>
      </c>
      <c r="I263" s="45" t="s">
        <v>218</v>
      </c>
      <c r="L263" s="47" t="s">
        <v>225</v>
      </c>
      <c r="N263" s="45" t="s">
        <v>899</v>
      </c>
      <c r="O263" s="45" t="s">
        <v>897</v>
      </c>
      <c r="P263" s="68" t="e">
        <f>VLOOKUP(B263,#REF!,2,FALSE)</f>
        <v>#REF!</v>
      </c>
      <c r="Q263" s="68" t="e">
        <f>VLOOKUP(B263,#REF!,3,FALSE)</f>
        <v>#REF!</v>
      </c>
      <c r="R263" s="68" t="e">
        <f>VLOOKUP($W263,#REF!,2,FALSE)</f>
        <v>#REF!</v>
      </c>
      <c r="S263" s="73" t="e">
        <f>VLOOKUP($W263,#REF!,7,FALSE)</f>
        <v>#REF!</v>
      </c>
      <c r="U263" s="48">
        <v>1</v>
      </c>
      <c r="V263" s="57" t="e">
        <f>IF(ISNUMBER(U263),HLOOKUP(U263,#REF!,2,FALSE)*E263,"")</f>
        <v>#REF!</v>
      </c>
      <c r="W263" s="48" t="s">
        <v>903</v>
      </c>
      <c r="AA263" s="45"/>
      <c r="AB263" s="45"/>
    </row>
    <row r="264" spans="1:28" x14ac:dyDescent="0.25">
      <c r="A264" s="48">
        <v>1259</v>
      </c>
      <c r="B264" s="64" t="s">
        <v>568</v>
      </c>
      <c r="C264" s="45" t="s">
        <v>204</v>
      </c>
      <c r="D264" s="62" t="s">
        <v>807</v>
      </c>
      <c r="E264" s="45">
        <v>1</v>
      </c>
      <c r="F264" s="46" t="s">
        <v>786</v>
      </c>
      <c r="G264" s="47" t="s">
        <v>46</v>
      </c>
      <c r="I264" s="45" t="s">
        <v>218</v>
      </c>
      <c r="L264" s="47" t="s">
        <v>794</v>
      </c>
      <c r="N264" s="45" t="s">
        <v>899</v>
      </c>
      <c r="O264" s="45" t="s">
        <v>897</v>
      </c>
      <c r="P264" s="68" t="e">
        <f>VLOOKUP(B264,#REF!,2,FALSE)</f>
        <v>#REF!</v>
      </c>
      <c r="Q264" s="68" t="e">
        <f>VLOOKUP(B264,#REF!,3,FALSE)</f>
        <v>#REF!</v>
      </c>
      <c r="R264" s="68" t="e">
        <f>VLOOKUP($W264,#REF!,2,FALSE)</f>
        <v>#REF!</v>
      </c>
      <c r="S264" s="73" t="e">
        <f>VLOOKUP($W264,#REF!,7,FALSE)</f>
        <v>#REF!</v>
      </c>
      <c r="U264" s="48">
        <v>1</v>
      </c>
      <c r="V264" s="57" t="e">
        <f>IF(ISNUMBER(U264),HLOOKUP(U264,#REF!,2,FALSE)*E264,"")</f>
        <v>#REF!</v>
      </c>
      <c r="W264" s="48" t="s">
        <v>903</v>
      </c>
      <c r="AA264" s="45"/>
      <c r="AB264" s="45"/>
    </row>
    <row r="265" spans="1:28" x14ac:dyDescent="0.25">
      <c r="A265" s="48">
        <v>1260</v>
      </c>
      <c r="B265" s="64" t="s">
        <v>570</v>
      </c>
      <c r="C265" s="45" t="s">
        <v>572</v>
      </c>
      <c r="D265" s="62" t="s">
        <v>573</v>
      </c>
      <c r="E265" s="45">
        <v>1</v>
      </c>
      <c r="F265" s="46">
        <v>114</v>
      </c>
      <c r="G265" s="47" t="s">
        <v>46</v>
      </c>
      <c r="I265" s="45" t="s">
        <v>221</v>
      </c>
      <c r="N265" s="45" t="s">
        <v>899</v>
      </c>
      <c r="O265" s="45" t="s">
        <v>895</v>
      </c>
      <c r="P265" s="68" t="e">
        <f>VLOOKUP(B265,#REF!,2,FALSE)</f>
        <v>#REF!</v>
      </c>
      <c r="Q265" s="68" t="e">
        <f>VLOOKUP(B265,#REF!,3,FALSE)</f>
        <v>#REF!</v>
      </c>
      <c r="R265" s="68" t="e">
        <f>VLOOKUP($W265,#REF!,2,FALSE)</f>
        <v>#REF!</v>
      </c>
      <c r="S265" s="73" t="e">
        <f>VLOOKUP($W265,#REF!,7,FALSE)</f>
        <v>#REF!</v>
      </c>
      <c r="U265" s="48">
        <v>1</v>
      </c>
      <c r="V265" s="57" t="e">
        <f>IF(ISNUMBER(U265),HLOOKUP(U265,#REF!,2,FALSE)*E265,"")</f>
        <v>#REF!</v>
      </c>
      <c r="W265" s="48" t="s">
        <v>904</v>
      </c>
      <c r="AA265" s="45"/>
      <c r="AB265" s="45"/>
    </row>
    <row r="266" spans="1:28" x14ac:dyDescent="0.25">
      <c r="A266" s="48">
        <v>1261</v>
      </c>
      <c r="B266" s="64" t="s">
        <v>570</v>
      </c>
      <c r="C266" s="45" t="s">
        <v>572</v>
      </c>
      <c r="D266" s="62" t="s">
        <v>574</v>
      </c>
      <c r="E266" s="45">
        <v>1</v>
      </c>
      <c r="F266" s="46">
        <v>114</v>
      </c>
      <c r="G266" s="47" t="s">
        <v>46</v>
      </c>
      <c r="I266" s="45" t="s">
        <v>221</v>
      </c>
      <c r="N266" s="45" t="s">
        <v>899</v>
      </c>
      <c r="O266" s="45" t="s">
        <v>895</v>
      </c>
      <c r="P266" s="68" t="e">
        <f>VLOOKUP(B266,#REF!,2,FALSE)</f>
        <v>#REF!</v>
      </c>
      <c r="Q266" s="68" t="e">
        <f>VLOOKUP(B266,#REF!,3,FALSE)</f>
        <v>#REF!</v>
      </c>
      <c r="R266" s="68" t="e">
        <f>VLOOKUP($W266,#REF!,2,FALSE)</f>
        <v>#REF!</v>
      </c>
      <c r="S266" s="73" t="e">
        <f>VLOOKUP($W266,#REF!,7,FALSE)</f>
        <v>#REF!</v>
      </c>
      <c r="U266" s="48">
        <v>1</v>
      </c>
      <c r="V266" s="57" t="e">
        <f>IF(ISNUMBER(U266),HLOOKUP(U266,#REF!,2,FALSE)*E266,"")</f>
        <v>#REF!</v>
      </c>
      <c r="W266" s="48" t="s">
        <v>904</v>
      </c>
      <c r="AA266" s="45"/>
      <c r="AB266" s="45"/>
    </row>
    <row r="267" spans="1:28" ht="45" x14ac:dyDescent="0.25">
      <c r="A267" s="48">
        <v>1262</v>
      </c>
      <c r="B267" s="64" t="s">
        <v>570</v>
      </c>
      <c r="C267" s="45" t="s">
        <v>575</v>
      </c>
      <c r="D267" s="62" t="s">
        <v>576</v>
      </c>
      <c r="E267" s="45">
        <v>1</v>
      </c>
      <c r="F267" s="46">
        <v>114</v>
      </c>
      <c r="G267" s="47" t="s">
        <v>1047</v>
      </c>
      <c r="I267" s="45" t="s">
        <v>221</v>
      </c>
      <c r="N267" s="45" t="s">
        <v>899</v>
      </c>
      <c r="O267" s="45" t="s">
        <v>895</v>
      </c>
      <c r="P267" s="68" t="e">
        <f>VLOOKUP(B267,#REF!,2,FALSE)</f>
        <v>#REF!</v>
      </c>
      <c r="Q267" s="68" t="e">
        <f>VLOOKUP(B267,#REF!,3,FALSE)</f>
        <v>#REF!</v>
      </c>
      <c r="R267" s="68" t="e">
        <f>VLOOKUP($W267,#REF!,2,FALSE)</f>
        <v>#REF!</v>
      </c>
      <c r="S267" s="73" t="e">
        <f>VLOOKUP($W267,#REF!,7,FALSE)</f>
        <v>#REF!</v>
      </c>
      <c r="U267" s="48">
        <v>1</v>
      </c>
      <c r="V267" s="57" t="e">
        <f>IF(ISNUMBER(U267),HLOOKUP(U267,#REF!,2,FALSE)*E267,"")</f>
        <v>#REF!</v>
      </c>
      <c r="W267" s="48" t="s">
        <v>904</v>
      </c>
      <c r="AA267" s="45"/>
      <c r="AB267" s="45"/>
    </row>
    <row r="268" spans="1:28" x14ac:dyDescent="0.25">
      <c r="A268" s="48">
        <v>1263</v>
      </c>
      <c r="B268" s="64" t="s">
        <v>570</v>
      </c>
      <c r="C268" s="45" t="s">
        <v>580</v>
      </c>
      <c r="D268" s="62" t="s">
        <v>790</v>
      </c>
      <c r="E268" s="45">
        <v>0</v>
      </c>
      <c r="F268" s="46">
        <v>115</v>
      </c>
      <c r="G268" s="47" t="s">
        <v>169</v>
      </c>
      <c r="I268" s="45" t="s">
        <v>221</v>
      </c>
      <c r="N268" s="45" t="s">
        <v>899</v>
      </c>
      <c r="O268" s="45" t="s">
        <v>895</v>
      </c>
      <c r="P268" s="68" t="e">
        <f>VLOOKUP(B268,#REF!,2,FALSE)</f>
        <v>#REF!</v>
      </c>
      <c r="Q268" s="68" t="e">
        <f>VLOOKUP(B268,#REF!,3,FALSE)</f>
        <v>#REF!</v>
      </c>
      <c r="R268" s="68" t="e">
        <f>VLOOKUP($W268,#REF!,2,FALSE)</f>
        <v>#REF!</v>
      </c>
      <c r="S268" s="73" t="e">
        <f>VLOOKUP($W268,#REF!,7,FALSE)</f>
        <v>#REF!</v>
      </c>
      <c r="U268" s="48">
        <v>0</v>
      </c>
      <c r="V268" s="57" t="e">
        <f>IF(ISNUMBER(U268),HLOOKUP(U268,#REF!,2,FALSE)*E268,"")</f>
        <v>#REF!</v>
      </c>
      <c r="W268" s="48" t="s">
        <v>904</v>
      </c>
      <c r="AA268" s="45"/>
      <c r="AB268" s="45"/>
    </row>
    <row r="269" spans="1:28" x14ac:dyDescent="0.25">
      <c r="A269" s="48">
        <v>1264</v>
      </c>
      <c r="B269" s="64" t="s">
        <v>570</v>
      </c>
      <c r="C269" s="45" t="s">
        <v>580</v>
      </c>
      <c r="D269" s="62" t="s">
        <v>598</v>
      </c>
      <c r="E269" s="45">
        <v>0</v>
      </c>
      <c r="F269" s="46">
        <v>115</v>
      </c>
      <c r="G269" s="47" t="s">
        <v>169</v>
      </c>
      <c r="I269" s="45" t="s">
        <v>221</v>
      </c>
      <c r="N269" s="45" t="s">
        <v>899</v>
      </c>
      <c r="O269" s="45" t="s">
        <v>895</v>
      </c>
      <c r="P269" s="68" t="e">
        <f>VLOOKUP(B269,#REF!,2,FALSE)</f>
        <v>#REF!</v>
      </c>
      <c r="Q269" s="68" t="e">
        <f>VLOOKUP(B269,#REF!,3,FALSE)</f>
        <v>#REF!</v>
      </c>
      <c r="R269" s="68" t="e">
        <f>VLOOKUP($W269,#REF!,2,FALSE)</f>
        <v>#REF!</v>
      </c>
      <c r="S269" s="73" t="e">
        <f>VLOOKUP($W269,#REF!,7,FALSE)</f>
        <v>#REF!</v>
      </c>
      <c r="U269" s="48">
        <v>0</v>
      </c>
      <c r="V269" s="57" t="e">
        <f>IF(ISNUMBER(U269),HLOOKUP(U269,#REF!,2,FALSE)*E269,"")</f>
        <v>#REF!</v>
      </c>
      <c r="W269" s="48" t="s">
        <v>904</v>
      </c>
      <c r="AA269" s="45"/>
      <c r="AB269" s="45"/>
    </row>
    <row r="270" spans="1:28" x14ac:dyDescent="0.25">
      <c r="A270" s="48">
        <v>1265</v>
      </c>
      <c r="B270" s="64" t="s">
        <v>570</v>
      </c>
      <c r="C270" s="45" t="s">
        <v>580</v>
      </c>
      <c r="D270" s="62" t="s">
        <v>599</v>
      </c>
      <c r="E270" s="45">
        <v>0</v>
      </c>
      <c r="F270" s="46">
        <v>115</v>
      </c>
      <c r="G270" s="47" t="s">
        <v>169</v>
      </c>
      <c r="I270" s="45" t="s">
        <v>221</v>
      </c>
      <c r="N270" s="45" t="s">
        <v>899</v>
      </c>
      <c r="O270" s="45" t="s">
        <v>895</v>
      </c>
      <c r="P270" s="68" t="e">
        <f>VLOOKUP(B270,#REF!,2,FALSE)</f>
        <v>#REF!</v>
      </c>
      <c r="Q270" s="68" t="e">
        <f>VLOOKUP(B270,#REF!,3,FALSE)</f>
        <v>#REF!</v>
      </c>
      <c r="R270" s="68" t="e">
        <f>VLOOKUP($W270,#REF!,2,FALSE)</f>
        <v>#REF!</v>
      </c>
      <c r="S270" s="73" t="e">
        <f>VLOOKUP($W270,#REF!,7,FALSE)</f>
        <v>#REF!</v>
      </c>
      <c r="U270" s="48">
        <v>0</v>
      </c>
      <c r="V270" s="57" t="e">
        <f>IF(ISNUMBER(U270),HLOOKUP(U270,#REF!,2,FALSE)*E270,"")</f>
        <v>#REF!</v>
      </c>
      <c r="W270" s="48" t="s">
        <v>904</v>
      </c>
      <c r="AA270" s="45"/>
      <c r="AB270" s="45"/>
    </row>
    <row r="271" spans="1:28" ht="45" x14ac:dyDescent="0.25">
      <c r="A271" s="48">
        <v>1266</v>
      </c>
      <c r="B271" s="64" t="s">
        <v>570</v>
      </c>
      <c r="C271" s="45" t="s">
        <v>580</v>
      </c>
      <c r="D271" s="62" t="s">
        <v>579</v>
      </c>
      <c r="E271" s="45">
        <v>1</v>
      </c>
      <c r="F271" s="46">
        <v>115</v>
      </c>
      <c r="G271" s="47" t="s">
        <v>46</v>
      </c>
      <c r="I271" s="45" t="s">
        <v>221</v>
      </c>
      <c r="M271" s="47" t="s">
        <v>1103</v>
      </c>
      <c r="N271" s="45" t="s">
        <v>899</v>
      </c>
      <c r="O271" s="45" t="s">
        <v>895</v>
      </c>
      <c r="P271" s="68" t="e">
        <f>VLOOKUP(B271,#REF!,2,FALSE)</f>
        <v>#REF!</v>
      </c>
      <c r="Q271" s="68" t="e">
        <f>VLOOKUP(B271,#REF!,3,FALSE)</f>
        <v>#REF!</v>
      </c>
      <c r="R271" s="68" t="e">
        <f>VLOOKUP($W271,#REF!,2,FALSE)</f>
        <v>#REF!</v>
      </c>
      <c r="S271" s="73" t="e">
        <f>VLOOKUP($W271,#REF!,7,FALSE)</f>
        <v>#REF!</v>
      </c>
      <c r="U271" s="48">
        <v>1</v>
      </c>
      <c r="V271" s="57" t="e">
        <f>IF(ISNUMBER(U271),HLOOKUP(U271,#REF!,2,FALSE)*E271,"")</f>
        <v>#REF!</v>
      </c>
      <c r="W271" s="48" t="s">
        <v>904</v>
      </c>
      <c r="AA271" s="45"/>
      <c r="AB271" s="45"/>
    </row>
    <row r="272" spans="1:28" x14ac:dyDescent="0.25">
      <c r="A272" s="48">
        <v>1267</v>
      </c>
      <c r="B272" s="64" t="s">
        <v>570</v>
      </c>
      <c r="C272" s="45" t="s">
        <v>677</v>
      </c>
      <c r="D272" s="62" t="s">
        <v>435</v>
      </c>
      <c r="E272" s="45">
        <v>1</v>
      </c>
      <c r="F272" s="46">
        <v>118</v>
      </c>
      <c r="G272" s="47" t="s">
        <v>236</v>
      </c>
      <c r="I272" s="45" t="s">
        <v>221</v>
      </c>
      <c r="N272" s="45" t="s">
        <v>899</v>
      </c>
      <c r="O272" s="45" t="s">
        <v>895</v>
      </c>
      <c r="P272" s="68" t="e">
        <f>VLOOKUP(B272,#REF!,2,FALSE)</f>
        <v>#REF!</v>
      </c>
      <c r="Q272" s="68" t="e">
        <f>VLOOKUP(B272,#REF!,3,FALSE)</f>
        <v>#REF!</v>
      </c>
      <c r="R272" s="68" t="e">
        <f>VLOOKUP($W272,#REF!,2,FALSE)</f>
        <v>#REF!</v>
      </c>
      <c r="S272" s="73" t="e">
        <f>VLOOKUP($W272,#REF!,7,FALSE)</f>
        <v>#REF!</v>
      </c>
      <c r="U272" s="48">
        <v>1</v>
      </c>
      <c r="V272" s="57" t="e">
        <f>IF(ISNUMBER(U272),HLOOKUP(U272,#REF!,2,FALSE)*E272,"")</f>
        <v>#REF!</v>
      </c>
      <c r="W272" s="48" t="s">
        <v>904</v>
      </c>
      <c r="AA272" s="45"/>
      <c r="AB272" s="45"/>
    </row>
    <row r="273" spans="1:28" x14ac:dyDescent="0.25">
      <c r="A273" s="48">
        <v>1268</v>
      </c>
      <c r="B273" s="64" t="s">
        <v>570</v>
      </c>
      <c r="C273" s="45" t="s">
        <v>677</v>
      </c>
      <c r="D273" s="62" t="s">
        <v>796</v>
      </c>
      <c r="E273" s="45">
        <v>1</v>
      </c>
      <c r="F273" s="46">
        <v>118</v>
      </c>
      <c r="G273" s="47" t="s">
        <v>46</v>
      </c>
      <c r="I273" s="45" t="s">
        <v>221</v>
      </c>
      <c r="N273" s="45" t="s">
        <v>899</v>
      </c>
      <c r="O273" s="45" t="s">
        <v>895</v>
      </c>
      <c r="P273" s="68" t="e">
        <f>VLOOKUP(B273,#REF!,2,FALSE)</f>
        <v>#REF!</v>
      </c>
      <c r="Q273" s="68" t="e">
        <f>VLOOKUP(B273,#REF!,3,FALSE)</f>
        <v>#REF!</v>
      </c>
      <c r="R273" s="68" t="e">
        <f>VLOOKUP($W273,#REF!,2,FALSE)</f>
        <v>#REF!</v>
      </c>
      <c r="S273" s="73" t="e">
        <f>VLOOKUP($W273,#REF!,7,FALSE)</f>
        <v>#REF!</v>
      </c>
      <c r="U273" s="48">
        <v>1</v>
      </c>
      <c r="V273" s="57" t="e">
        <f>IF(ISNUMBER(U273),HLOOKUP(U273,#REF!,2,FALSE)*E273,"")</f>
        <v>#REF!</v>
      </c>
      <c r="W273" s="48" t="s">
        <v>904</v>
      </c>
      <c r="AA273" s="45"/>
      <c r="AB273" s="45"/>
    </row>
    <row r="274" spans="1:28" x14ac:dyDescent="0.25">
      <c r="A274" s="48">
        <v>1269</v>
      </c>
      <c r="B274" s="64" t="s">
        <v>570</v>
      </c>
      <c r="C274" s="45" t="s">
        <v>677</v>
      </c>
      <c r="D274" s="62" t="s">
        <v>772</v>
      </c>
      <c r="E274" s="45">
        <v>1</v>
      </c>
      <c r="F274" s="46">
        <v>118</v>
      </c>
      <c r="G274" s="47" t="s">
        <v>236</v>
      </c>
      <c r="I274" s="45" t="s">
        <v>221</v>
      </c>
      <c r="N274" s="45" t="s">
        <v>899</v>
      </c>
      <c r="O274" s="45" t="s">
        <v>895</v>
      </c>
      <c r="P274" s="68" t="e">
        <f>VLOOKUP(B274,#REF!,2,FALSE)</f>
        <v>#REF!</v>
      </c>
      <c r="Q274" s="68" t="e">
        <f>VLOOKUP(B274,#REF!,3,FALSE)</f>
        <v>#REF!</v>
      </c>
      <c r="R274" s="68" t="e">
        <f>VLOOKUP($W274,#REF!,2,FALSE)</f>
        <v>#REF!</v>
      </c>
      <c r="S274" s="73" t="e">
        <f>VLOOKUP($W274,#REF!,7,FALSE)</f>
        <v>#REF!</v>
      </c>
      <c r="U274" s="48">
        <v>1</v>
      </c>
      <c r="V274" s="57" t="e">
        <f>IF(ISNUMBER(U274),HLOOKUP(U274,#REF!,2,FALSE)*E274,"")</f>
        <v>#REF!</v>
      </c>
      <c r="W274" s="48" t="s">
        <v>904</v>
      </c>
      <c r="AA274" s="45"/>
      <c r="AB274" s="45"/>
    </row>
    <row r="275" spans="1:28" x14ac:dyDescent="0.25">
      <c r="A275" s="48">
        <v>1270</v>
      </c>
      <c r="B275" s="64" t="s">
        <v>570</v>
      </c>
      <c r="C275" s="45" t="s">
        <v>677</v>
      </c>
      <c r="D275" s="62" t="s">
        <v>800</v>
      </c>
      <c r="E275" s="45">
        <v>1</v>
      </c>
      <c r="F275" s="46">
        <v>118</v>
      </c>
      <c r="G275" s="47" t="s">
        <v>46</v>
      </c>
      <c r="I275" s="45" t="s">
        <v>221</v>
      </c>
      <c r="N275" s="45" t="s">
        <v>899</v>
      </c>
      <c r="O275" s="45" t="s">
        <v>895</v>
      </c>
      <c r="P275" s="68" t="e">
        <f>VLOOKUP(B275,#REF!,2,FALSE)</f>
        <v>#REF!</v>
      </c>
      <c r="Q275" s="68" t="e">
        <f>VLOOKUP(B275,#REF!,3,FALSE)</f>
        <v>#REF!</v>
      </c>
      <c r="R275" s="68" t="e">
        <f>VLOOKUP($W275,#REF!,2,FALSE)</f>
        <v>#REF!</v>
      </c>
      <c r="S275" s="73" t="e">
        <f>VLOOKUP($W275,#REF!,7,FALSE)</f>
        <v>#REF!</v>
      </c>
      <c r="U275" s="48">
        <v>1</v>
      </c>
      <c r="V275" s="57" t="e">
        <f>IF(ISNUMBER(U275),HLOOKUP(U275,#REF!,2,FALSE)*E275,"")</f>
        <v>#REF!</v>
      </c>
      <c r="W275" s="48" t="s">
        <v>904</v>
      </c>
      <c r="AA275" s="45"/>
      <c r="AB275" s="45"/>
    </row>
    <row r="276" spans="1:28" x14ac:dyDescent="0.25">
      <c r="A276" s="48">
        <v>1271</v>
      </c>
      <c r="B276" s="64" t="s">
        <v>570</v>
      </c>
      <c r="C276" s="45" t="s">
        <v>677</v>
      </c>
      <c r="D276" s="62" t="s">
        <v>791</v>
      </c>
      <c r="E276" s="45">
        <v>1</v>
      </c>
      <c r="F276" s="46">
        <v>118</v>
      </c>
      <c r="G276" s="47" t="s">
        <v>236</v>
      </c>
      <c r="I276" s="45" t="s">
        <v>221</v>
      </c>
      <c r="N276" s="45" t="s">
        <v>899</v>
      </c>
      <c r="O276" s="45" t="s">
        <v>895</v>
      </c>
      <c r="P276" s="68" t="e">
        <f>VLOOKUP(B276,#REF!,2,FALSE)</f>
        <v>#REF!</v>
      </c>
      <c r="Q276" s="68" t="e">
        <f>VLOOKUP(B276,#REF!,3,FALSE)</f>
        <v>#REF!</v>
      </c>
      <c r="R276" s="68" t="e">
        <f>VLOOKUP($W276,#REF!,2,FALSE)</f>
        <v>#REF!</v>
      </c>
      <c r="S276" s="73" t="e">
        <f>VLOOKUP($W276,#REF!,7,FALSE)</f>
        <v>#REF!</v>
      </c>
      <c r="U276" s="48">
        <v>1</v>
      </c>
      <c r="V276" s="57" t="e">
        <f>IF(ISNUMBER(U276),HLOOKUP(U276,#REF!,2,FALSE)*E276,"")</f>
        <v>#REF!</v>
      </c>
      <c r="W276" s="48" t="s">
        <v>904</v>
      </c>
      <c r="AA276" s="45"/>
      <c r="AB276" s="45"/>
    </row>
    <row r="277" spans="1:28" x14ac:dyDescent="0.25">
      <c r="A277" s="48">
        <v>1272</v>
      </c>
      <c r="B277" s="64" t="s">
        <v>570</v>
      </c>
      <c r="C277" s="45" t="s">
        <v>677</v>
      </c>
      <c r="D277" s="62" t="s">
        <v>798</v>
      </c>
      <c r="E277" s="45">
        <v>1</v>
      </c>
      <c r="F277" s="46">
        <v>118</v>
      </c>
      <c r="G277" s="47" t="s">
        <v>46</v>
      </c>
      <c r="I277" s="45" t="s">
        <v>221</v>
      </c>
      <c r="N277" s="45" t="s">
        <v>899</v>
      </c>
      <c r="O277" s="45" t="s">
        <v>895</v>
      </c>
      <c r="P277" s="68" t="e">
        <f>VLOOKUP(B277,#REF!,2,FALSE)</f>
        <v>#REF!</v>
      </c>
      <c r="Q277" s="68" t="e">
        <f>VLOOKUP(B277,#REF!,3,FALSE)</f>
        <v>#REF!</v>
      </c>
      <c r="R277" s="68" t="e">
        <f>VLOOKUP($W277,#REF!,2,FALSE)</f>
        <v>#REF!</v>
      </c>
      <c r="S277" s="73" t="e">
        <f>VLOOKUP($W277,#REF!,7,FALSE)</f>
        <v>#REF!</v>
      </c>
      <c r="U277" s="48">
        <v>1</v>
      </c>
      <c r="V277" s="57" t="e">
        <f>IF(ISNUMBER(U277),HLOOKUP(U277,#REF!,2,FALSE)*E277,"")</f>
        <v>#REF!</v>
      </c>
      <c r="W277" s="48" t="s">
        <v>904</v>
      </c>
      <c r="AA277" s="45"/>
      <c r="AB277" s="45"/>
    </row>
    <row r="278" spans="1:28" x14ac:dyDescent="0.25">
      <c r="A278" s="48">
        <v>1273</v>
      </c>
      <c r="B278" s="64" t="s">
        <v>570</v>
      </c>
      <c r="C278" s="45" t="s">
        <v>677</v>
      </c>
      <c r="D278" s="62" t="s">
        <v>681</v>
      </c>
      <c r="E278" s="45">
        <v>1</v>
      </c>
      <c r="F278" s="46">
        <v>118</v>
      </c>
      <c r="G278" s="47" t="s">
        <v>236</v>
      </c>
      <c r="I278" s="45" t="s">
        <v>221</v>
      </c>
      <c r="N278" s="45" t="s">
        <v>899</v>
      </c>
      <c r="O278" s="45" t="s">
        <v>895</v>
      </c>
      <c r="P278" s="68" t="e">
        <f>VLOOKUP(B278,#REF!,2,FALSE)</f>
        <v>#REF!</v>
      </c>
      <c r="Q278" s="68" t="e">
        <f>VLOOKUP(B278,#REF!,3,FALSE)</f>
        <v>#REF!</v>
      </c>
      <c r="R278" s="68" t="e">
        <f>VLOOKUP($W278,#REF!,2,FALSE)</f>
        <v>#REF!</v>
      </c>
      <c r="S278" s="73" t="e">
        <f>VLOOKUP($W278,#REF!,7,FALSE)</f>
        <v>#REF!</v>
      </c>
      <c r="U278" s="48">
        <v>1</v>
      </c>
      <c r="V278" s="57" t="e">
        <f>IF(ISNUMBER(U278),HLOOKUP(U278,#REF!,2,FALSE)*E278,"")</f>
        <v>#REF!</v>
      </c>
      <c r="W278" s="48" t="s">
        <v>904</v>
      </c>
      <c r="AA278" s="45"/>
      <c r="AB278" s="45"/>
    </row>
    <row r="279" spans="1:28" x14ac:dyDescent="0.25">
      <c r="A279" s="48">
        <v>1274</v>
      </c>
      <c r="B279" s="64" t="s">
        <v>570</v>
      </c>
      <c r="C279" s="45" t="s">
        <v>677</v>
      </c>
      <c r="D279" s="62" t="s">
        <v>799</v>
      </c>
      <c r="E279" s="45">
        <v>1</v>
      </c>
      <c r="F279" s="46">
        <v>118</v>
      </c>
      <c r="G279" s="47" t="s">
        <v>46</v>
      </c>
      <c r="I279" s="45" t="s">
        <v>221</v>
      </c>
      <c r="N279" s="45" t="s">
        <v>899</v>
      </c>
      <c r="O279" s="45" t="s">
        <v>895</v>
      </c>
      <c r="P279" s="68" t="e">
        <f>VLOOKUP(B279,#REF!,2,FALSE)</f>
        <v>#REF!</v>
      </c>
      <c r="Q279" s="68" t="e">
        <f>VLOOKUP(B279,#REF!,3,FALSE)</f>
        <v>#REF!</v>
      </c>
      <c r="R279" s="68" t="e">
        <f>VLOOKUP($W279,#REF!,2,FALSE)</f>
        <v>#REF!</v>
      </c>
      <c r="S279" s="73" t="e">
        <f>VLOOKUP($W279,#REF!,7,FALSE)</f>
        <v>#REF!</v>
      </c>
      <c r="U279" s="48">
        <v>1</v>
      </c>
      <c r="V279" s="57" t="e">
        <f>IF(ISNUMBER(U279),HLOOKUP(U279,#REF!,2,FALSE)*E279,"")</f>
        <v>#REF!</v>
      </c>
      <c r="W279" s="48" t="s">
        <v>904</v>
      </c>
      <c r="AA279" s="45"/>
      <c r="AB279" s="45"/>
    </row>
    <row r="280" spans="1:28" x14ac:dyDescent="0.25">
      <c r="A280" s="48">
        <v>1275</v>
      </c>
      <c r="B280" s="64" t="s">
        <v>570</v>
      </c>
      <c r="C280" s="45" t="s">
        <v>677</v>
      </c>
      <c r="D280" s="62" t="s">
        <v>193</v>
      </c>
      <c r="E280" s="45">
        <v>1</v>
      </c>
      <c r="F280" s="46">
        <v>118</v>
      </c>
      <c r="G280" s="47" t="s">
        <v>236</v>
      </c>
      <c r="I280" s="45" t="s">
        <v>221</v>
      </c>
      <c r="N280" s="45" t="s">
        <v>899</v>
      </c>
      <c r="O280" s="45" t="s">
        <v>895</v>
      </c>
      <c r="P280" s="68" t="e">
        <f>VLOOKUP(B280,#REF!,2,FALSE)</f>
        <v>#REF!</v>
      </c>
      <c r="Q280" s="68" t="e">
        <f>VLOOKUP(B280,#REF!,3,FALSE)</f>
        <v>#REF!</v>
      </c>
      <c r="R280" s="68" t="e">
        <f>VLOOKUP($W280,#REF!,2,FALSE)</f>
        <v>#REF!</v>
      </c>
      <c r="S280" s="73" t="e">
        <f>VLOOKUP($W280,#REF!,7,FALSE)</f>
        <v>#REF!</v>
      </c>
      <c r="U280" s="48">
        <v>1</v>
      </c>
      <c r="V280" s="57" t="e">
        <f>IF(ISNUMBER(U280),HLOOKUP(U280,#REF!,2,FALSE)*E280,"")</f>
        <v>#REF!</v>
      </c>
      <c r="W280" s="48" t="s">
        <v>904</v>
      </c>
      <c r="AA280" s="45"/>
      <c r="AB280" s="45"/>
    </row>
    <row r="281" spans="1:28" x14ac:dyDescent="0.25">
      <c r="A281" s="48">
        <v>1276</v>
      </c>
      <c r="B281" s="64" t="s">
        <v>570</v>
      </c>
      <c r="C281" s="45" t="s">
        <v>677</v>
      </c>
      <c r="D281" s="62" t="s">
        <v>797</v>
      </c>
      <c r="E281" s="45">
        <v>1</v>
      </c>
      <c r="F281" s="46">
        <v>118</v>
      </c>
      <c r="G281" s="47" t="s">
        <v>46</v>
      </c>
      <c r="I281" s="45" t="s">
        <v>221</v>
      </c>
      <c r="N281" s="45" t="s">
        <v>899</v>
      </c>
      <c r="O281" s="45" t="s">
        <v>895</v>
      </c>
      <c r="P281" s="68" t="e">
        <f>VLOOKUP(B281,#REF!,2,FALSE)</f>
        <v>#REF!</v>
      </c>
      <c r="Q281" s="68" t="e">
        <f>VLOOKUP(B281,#REF!,3,FALSE)</f>
        <v>#REF!</v>
      </c>
      <c r="R281" s="68" t="e">
        <f>VLOOKUP($W281,#REF!,2,FALSE)</f>
        <v>#REF!</v>
      </c>
      <c r="S281" s="73" t="e">
        <f>VLOOKUP($W281,#REF!,7,FALSE)</f>
        <v>#REF!</v>
      </c>
      <c r="U281" s="48">
        <v>1</v>
      </c>
      <c r="V281" s="57" t="e">
        <f>IF(ISNUMBER(U281),HLOOKUP(U281,#REF!,2,FALSE)*E281,"")</f>
        <v>#REF!</v>
      </c>
      <c r="W281" s="48" t="s">
        <v>904</v>
      </c>
      <c r="AA281" s="45"/>
      <c r="AB281" s="45"/>
    </row>
    <row r="282" spans="1:28" x14ac:dyDescent="0.25">
      <c r="A282" s="48">
        <v>1277</v>
      </c>
      <c r="B282" s="64" t="s">
        <v>570</v>
      </c>
      <c r="C282" s="45" t="s">
        <v>677</v>
      </c>
      <c r="D282" s="62" t="s">
        <v>685</v>
      </c>
      <c r="E282" s="45">
        <v>1</v>
      </c>
      <c r="F282" s="46">
        <v>118</v>
      </c>
      <c r="G282" s="47" t="s">
        <v>400</v>
      </c>
      <c r="I282" s="45" t="s">
        <v>221</v>
      </c>
      <c r="N282" s="45" t="s">
        <v>899</v>
      </c>
      <c r="O282" s="45" t="s">
        <v>895</v>
      </c>
      <c r="P282" s="68" t="e">
        <f>VLOOKUP(B282,#REF!,2,FALSE)</f>
        <v>#REF!</v>
      </c>
      <c r="Q282" s="68" t="e">
        <f>VLOOKUP(B282,#REF!,3,FALSE)</f>
        <v>#REF!</v>
      </c>
      <c r="R282" s="68" t="e">
        <f>VLOOKUP($W282,#REF!,2,FALSE)</f>
        <v>#REF!</v>
      </c>
      <c r="S282" s="73" t="e">
        <f>VLOOKUP($W282,#REF!,7,FALSE)</f>
        <v>#REF!</v>
      </c>
      <c r="U282" s="48">
        <v>1</v>
      </c>
      <c r="V282" s="57" t="e">
        <f>IF(ISNUMBER(U282),HLOOKUP(U282,#REF!,2,FALSE)*E282,"")</f>
        <v>#REF!</v>
      </c>
      <c r="W282" s="48" t="s">
        <v>904</v>
      </c>
      <c r="AA282" s="45"/>
      <c r="AB282" s="45"/>
    </row>
    <row r="283" spans="1:28" x14ac:dyDescent="0.25">
      <c r="A283" s="48">
        <v>1278</v>
      </c>
      <c r="B283" s="64" t="s">
        <v>686</v>
      </c>
      <c r="C283" s="45" t="s">
        <v>687</v>
      </c>
      <c r="D283" s="62" t="s">
        <v>688</v>
      </c>
      <c r="E283" s="45">
        <v>1</v>
      </c>
      <c r="F283" s="46">
        <v>120</v>
      </c>
      <c r="G283" s="70" t="s">
        <v>254</v>
      </c>
      <c r="I283" s="45" t="s">
        <v>221</v>
      </c>
      <c r="N283" s="45" t="s">
        <v>899</v>
      </c>
      <c r="O283" s="45" t="s">
        <v>895</v>
      </c>
      <c r="P283" s="68" t="e">
        <f>VLOOKUP(B283,#REF!,2,FALSE)</f>
        <v>#REF!</v>
      </c>
      <c r="Q283" s="68" t="e">
        <f>VLOOKUP(B283,#REF!,3,FALSE)</f>
        <v>#REF!</v>
      </c>
      <c r="R283" s="68" t="e">
        <f>VLOOKUP($W283,#REF!,2,FALSE)</f>
        <v>#REF!</v>
      </c>
      <c r="S283" s="73" t="e">
        <f>VLOOKUP($W283,#REF!,7,FALSE)</f>
        <v>#REF!</v>
      </c>
      <c r="U283" s="48">
        <v>1</v>
      </c>
      <c r="V283" s="57" t="e">
        <f>IF(ISNUMBER(U283),HLOOKUP(U283,#REF!,2,FALSE)*E283,"")</f>
        <v>#REF!</v>
      </c>
      <c r="W283" s="48" t="s">
        <v>904</v>
      </c>
      <c r="AA283" s="45"/>
      <c r="AB283" s="45"/>
    </row>
    <row r="284" spans="1:28" x14ac:dyDescent="0.25">
      <c r="A284" s="48">
        <v>1279</v>
      </c>
      <c r="B284" s="64" t="s">
        <v>686</v>
      </c>
      <c r="C284" s="45" t="s">
        <v>687</v>
      </c>
      <c r="D284" s="62" t="s">
        <v>689</v>
      </c>
      <c r="E284" s="45">
        <v>1</v>
      </c>
      <c r="F284" s="46">
        <v>120</v>
      </c>
      <c r="G284" s="70" t="s">
        <v>254</v>
      </c>
      <c r="I284" s="45" t="s">
        <v>221</v>
      </c>
      <c r="N284" s="45" t="s">
        <v>899</v>
      </c>
      <c r="O284" s="45" t="s">
        <v>895</v>
      </c>
      <c r="P284" s="68" t="e">
        <f>VLOOKUP(B284,#REF!,2,FALSE)</f>
        <v>#REF!</v>
      </c>
      <c r="Q284" s="68" t="e">
        <f>VLOOKUP(B284,#REF!,3,FALSE)</f>
        <v>#REF!</v>
      </c>
      <c r="R284" s="68" t="e">
        <f>VLOOKUP($W284,#REF!,2,FALSE)</f>
        <v>#REF!</v>
      </c>
      <c r="S284" s="73" t="e">
        <f>VLOOKUP($W284,#REF!,7,FALSE)</f>
        <v>#REF!</v>
      </c>
      <c r="U284" s="48">
        <v>1</v>
      </c>
      <c r="V284" s="57" t="e">
        <f>IF(ISNUMBER(U284),HLOOKUP(U284,#REF!,2,FALSE)*E284,"")</f>
        <v>#REF!</v>
      </c>
      <c r="W284" s="48" t="s">
        <v>904</v>
      </c>
      <c r="AA284" s="45"/>
      <c r="AB284" s="45"/>
    </row>
    <row r="285" spans="1:28" x14ac:dyDescent="0.25">
      <c r="A285" s="48">
        <v>1280</v>
      </c>
      <c r="B285" s="64" t="s">
        <v>686</v>
      </c>
      <c r="C285" s="45" t="s">
        <v>687</v>
      </c>
      <c r="D285" s="62" t="s">
        <v>691</v>
      </c>
      <c r="E285" s="45">
        <v>0</v>
      </c>
      <c r="F285" s="46">
        <v>120</v>
      </c>
      <c r="G285" s="47" t="s">
        <v>169</v>
      </c>
      <c r="I285" s="45" t="s">
        <v>221</v>
      </c>
      <c r="N285" s="45" t="s">
        <v>899</v>
      </c>
      <c r="O285" s="45" t="s">
        <v>895</v>
      </c>
      <c r="P285" s="68" t="e">
        <f>VLOOKUP(B285,#REF!,2,FALSE)</f>
        <v>#REF!</v>
      </c>
      <c r="Q285" s="68" t="e">
        <f>VLOOKUP(B285,#REF!,3,FALSE)</f>
        <v>#REF!</v>
      </c>
      <c r="R285" s="68" t="e">
        <f>VLOOKUP($W285,#REF!,2,FALSE)</f>
        <v>#REF!</v>
      </c>
      <c r="S285" s="73" t="e">
        <f>VLOOKUP($W285,#REF!,7,FALSE)</f>
        <v>#REF!</v>
      </c>
      <c r="U285" s="48">
        <v>0</v>
      </c>
      <c r="V285" s="57" t="e">
        <f>IF(ISNUMBER(U285),HLOOKUP(U285,#REF!,2,FALSE)*E285,"")</f>
        <v>#REF!</v>
      </c>
      <c r="W285" s="48" t="s">
        <v>904</v>
      </c>
      <c r="AA285" s="45"/>
      <c r="AB285" s="45"/>
    </row>
    <row r="286" spans="1:28" x14ac:dyDescent="0.25">
      <c r="A286" s="48">
        <v>1281</v>
      </c>
      <c r="B286" s="64" t="s">
        <v>686</v>
      </c>
      <c r="C286" s="45" t="s">
        <v>693</v>
      </c>
      <c r="D286" s="62" t="s">
        <v>694</v>
      </c>
      <c r="E286" s="45">
        <v>1</v>
      </c>
      <c r="F286" s="46">
        <v>120</v>
      </c>
      <c r="G286" s="47" t="s">
        <v>236</v>
      </c>
      <c r="I286" s="45" t="s">
        <v>221</v>
      </c>
      <c r="N286" s="45" t="s">
        <v>899</v>
      </c>
      <c r="O286" s="45" t="s">
        <v>895</v>
      </c>
      <c r="P286" s="68" t="e">
        <f>VLOOKUP(B286,#REF!,2,FALSE)</f>
        <v>#REF!</v>
      </c>
      <c r="Q286" s="68" t="e">
        <f>VLOOKUP(B286,#REF!,3,FALSE)</f>
        <v>#REF!</v>
      </c>
      <c r="R286" s="68" t="e">
        <f>VLOOKUP($W286,#REF!,2,FALSE)</f>
        <v>#REF!</v>
      </c>
      <c r="S286" s="73" t="e">
        <f>VLOOKUP($W286,#REF!,7,FALSE)</f>
        <v>#REF!</v>
      </c>
      <c r="U286" s="48">
        <v>1</v>
      </c>
      <c r="V286" s="57" t="e">
        <f>IF(ISNUMBER(U286),HLOOKUP(U286,#REF!,2,FALSE)*E286,"")</f>
        <v>#REF!</v>
      </c>
      <c r="W286" s="48" t="s">
        <v>904</v>
      </c>
      <c r="AA286" s="45"/>
      <c r="AB286" s="45"/>
    </row>
    <row r="287" spans="1:28" x14ac:dyDescent="0.25">
      <c r="A287" s="48">
        <v>1282</v>
      </c>
      <c r="B287" s="64" t="s">
        <v>686</v>
      </c>
      <c r="C287" s="45" t="s">
        <v>693</v>
      </c>
      <c r="D287" s="62" t="s">
        <v>695</v>
      </c>
      <c r="E287" s="45">
        <v>1</v>
      </c>
      <c r="F287" s="46">
        <v>120</v>
      </c>
      <c r="G287" s="47" t="s">
        <v>46</v>
      </c>
      <c r="I287" s="45" t="s">
        <v>221</v>
      </c>
      <c r="N287" s="45" t="s">
        <v>899</v>
      </c>
      <c r="O287" s="45" t="s">
        <v>895</v>
      </c>
      <c r="P287" s="68" t="e">
        <f>VLOOKUP(B287,#REF!,2,FALSE)</f>
        <v>#REF!</v>
      </c>
      <c r="Q287" s="68" t="e">
        <f>VLOOKUP(B287,#REF!,3,FALSE)</f>
        <v>#REF!</v>
      </c>
      <c r="R287" s="68" t="e">
        <f>VLOOKUP($W287,#REF!,2,FALSE)</f>
        <v>#REF!</v>
      </c>
      <c r="S287" s="73" t="e">
        <f>VLOOKUP($W287,#REF!,7,FALSE)</f>
        <v>#REF!</v>
      </c>
      <c r="U287" s="48">
        <v>1</v>
      </c>
      <c r="V287" s="57" t="e">
        <f>IF(ISNUMBER(U287),HLOOKUP(U287,#REF!,2,FALSE)*E287,"")</f>
        <v>#REF!</v>
      </c>
      <c r="W287" s="48" t="s">
        <v>904</v>
      </c>
      <c r="AA287" s="45"/>
      <c r="AB287" s="45"/>
    </row>
    <row r="288" spans="1:28" x14ac:dyDescent="0.25">
      <c r="A288" s="48">
        <v>1283</v>
      </c>
      <c r="B288" s="64" t="s">
        <v>686</v>
      </c>
      <c r="C288" s="45" t="s">
        <v>693</v>
      </c>
      <c r="D288" s="62" t="s">
        <v>814</v>
      </c>
      <c r="E288" s="45">
        <v>1</v>
      </c>
      <c r="F288" s="46">
        <v>120</v>
      </c>
      <c r="G288" s="47" t="s">
        <v>46</v>
      </c>
      <c r="I288" s="45" t="s">
        <v>221</v>
      </c>
      <c r="N288" s="45" t="s">
        <v>899</v>
      </c>
      <c r="O288" s="45" t="s">
        <v>895</v>
      </c>
      <c r="P288" s="68" t="e">
        <f>VLOOKUP(B288,#REF!,2,FALSE)</f>
        <v>#REF!</v>
      </c>
      <c r="Q288" s="68" t="e">
        <f>VLOOKUP(B288,#REF!,3,FALSE)</f>
        <v>#REF!</v>
      </c>
      <c r="R288" s="68" t="e">
        <f>VLOOKUP($W288,#REF!,2,FALSE)</f>
        <v>#REF!</v>
      </c>
      <c r="S288" s="73" t="e">
        <f>VLOOKUP($W288,#REF!,7,FALSE)</f>
        <v>#REF!</v>
      </c>
      <c r="U288" s="48">
        <v>1</v>
      </c>
      <c r="V288" s="57" t="e">
        <f>IF(ISNUMBER(U288),HLOOKUP(U288,#REF!,2,FALSE)*E288,"")</f>
        <v>#REF!</v>
      </c>
      <c r="W288" s="48" t="s">
        <v>904</v>
      </c>
      <c r="AA288" s="45"/>
      <c r="AB288" s="45"/>
    </row>
    <row r="289" spans="1:28" x14ac:dyDescent="0.25">
      <c r="A289" s="48">
        <v>1284</v>
      </c>
      <c r="B289" s="64" t="s">
        <v>686</v>
      </c>
      <c r="C289" s="45" t="s">
        <v>722</v>
      </c>
      <c r="D289" s="62" t="s">
        <v>724</v>
      </c>
      <c r="E289" s="45">
        <v>1</v>
      </c>
      <c r="F289" s="46">
        <v>125</v>
      </c>
      <c r="G289" s="47" t="s">
        <v>46</v>
      </c>
      <c r="I289" s="45" t="s">
        <v>221</v>
      </c>
      <c r="L289" s="62"/>
      <c r="N289" s="45" t="s">
        <v>899</v>
      </c>
      <c r="O289" s="45" t="s">
        <v>895</v>
      </c>
      <c r="P289" s="68" t="e">
        <f>VLOOKUP(B289,#REF!,2,FALSE)</f>
        <v>#REF!</v>
      </c>
      <c r="Q289" s="68" t="e">
        <f>VLOOKUP(B289,#REF!,3,FALSE)</f>
        <v>#REF!</v>
      </c>
      <c r="R289" s="68" t="e">
        <f>VLOOKUP($W289,#REF!,2,FALSE)</f>
        <v>#REF!</v>
      </c>
      <c r="S289" s="73" t="e">
        <f>VLOOKUP($W289,#REF!,7,FALSE)</f>
        <v>#REF!</v>
      </c>
      <c r="U289" s="48">
        <v>1</v>
      </c>
      <c r="V289" s="57" t="e">
        <f>IF(ISNUMBER(U289),HLOOKUP(U289,#REF!,2,FALSE)*E289,"")</f>
        <v>#REF!</v>
      </c>
      <c r="W289" s="48" t="s">
        <v>904</v>
      </c>
      <c r="AA289" s="45"/>
      <c r="AB289" s="45"/>
    </row>
    <row r="290" spans="1:28" ht="30" customHeight="1" x14ac:dyDescent="0.25">
      <c r="A290" s="48">
        <v>1285</v>
      </c>
      <c r="B290" s="64" t="s">
        <v>686</v>
      </c>
      <c r="C290" s="45" t="s">
        <v>722</v>
      </c>
      <c r="D290" s="62" t="s">
        <v>725</v>
      </c>
      <c r="E290" s="45">
        <v>1</v>
      </c>
      <c r="F290" s="46">
        <v>125</v>
      </c>
      <c r="G290" s="47" t="s">
        <v>46</v>
      </c>
      <c r="I290" s="45" t="s">
        <v>221</v>
      </c>
      <c r="L290" s="62"/>
      <c r="N290" s="45" t="s">
        <v>899</v>
      </c>
      <c r="O290" s="45" t="s">
        <v>895</v>
      </c>
      <c r="P290" s="68" t="e">
        <f>VLOOKUP(B290,#REF!,2,FALSE)</f>
        <v>#REF!</v>
      </c>
      <c r="Q290" s="68" t="e">
        <f>VLOOKUP(B290,#REF!,3,FALSE)</f>
        <v>#REF!</v>
      </c>
      <c r="R290" s="68" t="e">
        <f>VLOOKUP($W290,#REF!,2,FALSE)</f>
        <v>#REF!</v>
      </c>
      <c r="S290" s="73" t="e">
        <f>VLOOKUP($W290,#REF!,7,FALSE)</f>
        <v>#REF!</v>
      </c>
      <c r="U290" s="48">
        <v>1</v>
      </c>
      <c r="V290" s="57" t="e">
        <f>IF(ISNUMBER(U290),HLOOKUP(U290,#REF!,2,FALSE)*E290,"")</f>
        <v>#REF!</v>
      </c>
      <c r="W290" s="48" t="s">
        <v>904</v>
      </c>
      <c r="AA290" s="45"/>
      <c r="AB290" s="45"/>
    </row>
    <row r="291" spans="1:28" x14ac:dyDescent="0.25">
      <c r="A291" s="48">
        <v>1286</v>
      </c>
      <c r="B291" s="64" t="s">
        <v>686</v>
      </c>
      <c r="C291" s="45" t="s">
        <v>722</v>
      </c>
      <c r="D291" s="62" t="s">
        <v>726</v>
      </c>
      <c r="E291" s="45">
        <v>1</v>
      </c>
      <c r="F291" s="46">
        <v>125</v>
      </c>
      <c r="G291" s="47" t="s">
        <v>46</v>
      </c>
      <c r="I291" s="45" t="s">
        <v>221</v>
      </c>
      <c r="L291" s="62"/>
      <c r="N291" s="45" t="s">
        <v>899</v>
      </c>
      <c r="O291" s="45" t="s">
        <v>895</v>
      </c>
      <c r="P291" s="68" t="e">
        <f>VLOOKUP(B291,#REF!,2,FALSE)</f>
        <v>#REF!</v>
      </c>
      <c r="Q291" s="68" t="e">
        <f>VLOOKUP(B291,#REF!,3,FALSE)</f>
        <v>#REF!</v>
      </c>
      <c r="R291" s="68" t="e">
        <f>VLOOKUP($W291,#REF!,2,FALSE)</f>
        <v>#REF!</v>
      </c>
      <c r="S291" s="73" t="e">
        <f>VLOOKUP($W291,#REF!,7,FALSE)</f>
        <v>#REF!</v>
      </c>
      <c r="U291" s="48">
        <v>1</v>
      </c>
      <c r="V291" s="57" t="e">
        <f>IF(ISNUMBER(U291),HLOOKUP(U291,#REF!,2,FALSE)*E291,"")</f>
        <v>#REF!</v>
      </c>
      <c r="W291" s="48" t="s">
        <v>904</v>
      </c>
      <c r="AA291" s="45"/>
      <c r="AB291" s="45"/>
    </row>
    <row r="292" spans="1:28" x14ac:dyDescent="0.25">
      <c r="A292" s="48">
        <v>1287</v>
      </c>
      <c r="B292" s="64" t="s">
        <v>686</v>
      </c>
      <c r="C292" s="45" t="s">
        <v>729</v>
      </c>
      <c r="D292" s="62" t="s">
        <v>730</v>
      </c>
      <c r="E292" s="45">
        <v>1</v>
      </c>
      <c r="F292" s="46">
        <v>125</v>
      </c>
      <c r="G292" s="47" t="s">
        <v>236</v>
      </c>
      <c r="I292" s="45" t="s">
        <v>221</v>
      </c>
      <c r="L292" s="62"/>
      <c r="N292" s="45" t="s">
        <v>899</v>
      </c>
      <c r="O292" s="45" t="s">
        <v>895</v>
      </c>
      <c r="P292" s="68" t="e">
        <f>VLOOKUP(B292,#REF!,2,FALSE)</f>
        <v>#REF!</v>
      </c>
      <c r="Q292" s="68" t="e">
        <f>VLOOKUP(B292,#REF!,3,FALSE)</f>
        <v>#REF!</v>
      </c>
      <c r="R292" s="68" t="e">
        <f>VLOOKUP($W292,#REF!,2,FALSE)</f>
        <v>#REF!</v>
      </c>
      <c r="S292" s="73" t="e">
        <f>VLOOKUP($W292,#REF!,7,FALSE)</f>
        <v>#REF!</v>
      </c>
      <c r="U292" s="48">
        <v>1</v>
      </c>
      <c r="V292" s="57" t="e">
        <f>IF(ISNUMBER(U292),HLOOKUP(U292,#REF!,2,FALSE)*E292,"")</f>
        <v>#REF!</v>
      </c>
      <c r="W292" s="48" t="s">
        <v>904</v>
      </c>
      <c r="AA292" s="45"/>
      <c r="AB292" s="45"/>
    </row>
    <row r="293" spans="1:28" x14ac:dyDescent="0.25">
      <c r="A293" s="48">
        <v>1288</v>
      </c>
      <c r="B293" s="64" t="s">
        <v>686</v>
      </c>
      <c r="C293" s="45" t="s">
        <v>729</v>
      </c>
      <c r="D293" s="62" t="s">
        <v>815</v>
      </c>
      <c r="E293" s="45">
        <v>1</v>
      </c>
      <c r="F293" s="46">
        <v>125</v>
      </c>
      <c r="G293" s="47" t="s">
        <v>46</v>
      </c>
      <c r="I293" s="45" t="s">
        <v>221</v>
      </c>
      <c r="L293" s="62"/>
      <c r="N293" s="45" t="s">
        <v>899</v>
      </c>
      <c r="O293" s="45" t="s">
        <v>895</v>
      </c>
      <c r="P293" s="68" t="e">
        <f>VLOOKUP(B293,#REF!,2,FALSE)</f>
        <v>#REF!</v>
      </c>
      <c r="Q293" s="68" t="e">
        <f>VLOOKUP(B293,#REF!,3,FALSE)</f>
        <v>#REF!</v>
      </c>
      <c r="R293" s="68" t="e">
        <f>VLOOKUP($W293,#REF!,2,FALSE)</f>
        <v>#REF!</v>
      </c>
      <c r="S293" s="73" t="e">
        <f>VLOOKUP($W293,#REF!,7,FALSE)</f>
        <v>#REF!</v>
      </c>
      <c r="U293" s="48">
        <v>1</v>
      </c>
      <c r="V293" s="57" t="e">
        <f>IF(ISNUMBER(U293),HLOOKUP(U293,#REF!,2,FALSE)*E293,"")</f>
        <v>#REF!</v>
      </c>
      <c r="W293" s="48" t="s">
        <v>904</v>
      </c>
      <c r="AA293" s="45"/>
      <c r="AB293" s="45"/>
    </row>
    <row r="294" spans="1:28" x14ac:dyDescent="0.25">
      <c r="A294" s="48">
        <v>1289</v>
      </c>
      <c r="B294" s="64" t="s">
        <v>686</v>
      </c>
      <c r="C294" s="45" t="s">
        <v>729</v>
      </c>
      <c r="D294" s="62" t="s">
        <v>731</v>
      </c>
      <c r="E294" s="45">
        <v>1</v>
      </c>
      <c r="F294" s="46">
        <v>125</v>
      </c>
      <c r="G294" s="47" t="s">
        <v>46</v>
      </c>
      <c r="I294" s="45" t="s">
        <v>221</v>
      </c>
      <c r="L294" s="62"/>
      <c r="N294" s="45" t="s">
        <v>899</v>
      </c>
      <c r="O294" s="45" t="s">
        <v>895</v>
      </c>
      <c r="P294" s="68" t="e">
        <f>VLOOKUP(B294,#REF!,2,FALSE)</f>
        <v>#REF!</v>
      </c>
      <c r="Q294" s="68" t="e">
        <f>VLOOKUP(B294,#REF!,3,FALSE)</f>
        <v>#REF!</v>
      </c>
      <c r="R294" s="68" t="e">
        <f>VLOOKUP($W294,#REF!,2,FALSE)</f>
        <v>#REF!</v>
      </c>
      <c r="S294" s="73" t="e">
        <f>VLOOKUP($W294,#REF!,7,FALSE)</f>
        <v>#REF!</v>
      </c>
      <c r="U294" s="48">
        <v>1</v>
      </c>
      <c r="V294" s="57" t="e">
        <f>IF(ISNUMBER(U294),HLOOKUP(U294,#REF!,2,FALSE)*E294,"")</f>
        <v>#REF!</v>
      </c>
      <c r="W294" s="48" t="s">
        <v>904</v>
      </c>
      <c r="AA294" s="45"/>
      <c r="AB294" s="45"/>
    </row>
    <row r="295" spans="1:28" x14ac:dyDescent="0.25">
      <c r="A295" s="48">
        <v>1290</v>
      </c>
      <c r="B295" s="64" t="s">
        <v>686</v>
      </c>
      <c r="C295" s="45" t="s">
        <v>729</v>
      </c>
      <c r="D295" s="62" t="s">
        <v>732</v>
      </c>
      <c r="E295" s="45">
        <v>1</v>
      </c>
      <c r="F295" s="46">
        <v>125</v>
      </c>
      <c r="G295" s="47" t="s">
        <v>46</v>
      </c>
      <c r="I295" s="45" t="s">
        <v>221</v>
      </c>
      <c r="L295" s="62"/>
      <c r="N295" s="45" t="s">
        <v>899</v>
      </c>
      <c r="O295" s="45" t="s">
        <v>895</v>
      </c>
      <c r="P295" s="68" t="e">
        <f>VLOOKUP(B295,#REF!,2,FALSE)</f>
        <v>#REF!</v>
      </c>
      <c r="Q295" s="68" t="e">
        <f>VLOOKUP(B295,#REF!,3,FALSE)</f>
        <v>#REF!</v>
      </c>
      <c r="R295" s="68" t="e">
        <f>VLOOKUP($W295,#REF!,2,FALSE)</f>
        <v>#REF!</v>
      </c>
      <c r="S295" s="73" t="e">
        <f>VLOOKUP($W295,#REF!,7,FALSE)</f>
        <v>#REF!</v>
      </c>
      <c r="U295" s="48">
        <v>1</v>
      </c>
      <c r="V295" s="57" t="e">
        <f>IF(ISNUMBER(U295),HLOOKUP(U295,#REF!,2,FALSE)*E295,"")</f>
        <v>#REF!</v>
      </c>
      <c r="W295" s="48" t="s">
        <v>904</v>
      </c>
      <c r="AA295" s="45"/>
      <c r="AB295" s="45"/>
    </row>
    <row r="296" spans="1:28" ht="23.25" x14ac:dyDescent="0.25">
      <c r="A296" s="48">
        <v>1291</v>
      </c>
      <c r="B296" s="64" t="s">
        <v>686</v>
      </c>
      <c r="C296" s="45" t="s">
        <v>201</v>
      </c>
      <c r="D296" s="62" t="s">
        <v>1104</v>
      </c>
      <c r="E296" s="45">
        <v>1</v>
      </c>
      <c r="F296" s="46">
        <v>125</v>
      </c>
      <c r="G296" s="47" t="s">
        <v>259</v>
      </c>
      <c r="I296" s="45" t="s">
        <v>221</v>
      </c>
      <c r="N296" s="45" t="s">
        <v>899</v>
      </c>
      <c r="O296" s="45" t="s">
        <v>895</v>
      </c>
      <c r="P296" s="68" t="e">
        <f>VLOOKUP(B296,#REF!,2,FALSE)</f>
        <v>#REF!</v>
      </c>
      <c r="Q296" s="68" t="e">
        <f>VLOOKUP(B296,#REF!,3,FALSE)</f>
        <v>#REF!</v>
      </c>
      <c r="R296" s="68" t="e">
        <f>VLOOKUP($W296,#REF!,2,FALSE)</f>
        <v>#REF!</v>
      </c>
      <c r="S296" s="73" t="e">
        <f>VLOOKUP($W296,#REF!,7,FALSE)</f>
        <v>#REF!</v>
      </c>
      <c r="U296" s="48">
        <v>1</v>
      </c>
      <c r="V296" s="57" t="e">
        <f>IF(ISNUMBER(U296),HLOOKUP(U296,#REF!,2,FALSE)*E296,"")</f>
        <v>#REF!</v>
      </c>
      <c r="W296" s="48" t="s">
        <v>904</v>
      </c>
      <c r="AA296" s="45"/>
      <c r="AB296" s="45"/>
    </row>
    <row r="297" spans="1:28" x14ac:dyDescent="0.25">
      <c r="A297" s="48">
        <v>1292</v>
      </c>
      <c r="B297" s="64" t="s">
        <v>686</v>
      </c>
      <c r="C297" s="45" t="s">
        <v>201</v>
      </c>
      <c r="D297" s="62" t="s">
        <v>736</v>
      </c>
      <c r="E297" s="45">
        <v>1</v>
      </c>
      <c r="F297" s="46">
        <v>125</v>
      </c>
      <c r="G297" s="47" t="s">
        <v>46</v>
      </c>
      <c r="I297" s="45" t="s">
        <v>221</v>
      </c>
      <c r="M297" s="47" t="s">
        <v>1105</v>
      </c>
      <c r="N297" s="45" t="s">
        <v>899</v>
      </c>
      <c r="O297" s="45" t="s">
        <v>895</v>
      </c>
      <c r="P297" s="68" t="e">
        <f>VLOOKUP(B297,#REF!,2,FALSE)</f>
        <v>#REF!</v>
      </c>
      <c r="Q297" s="68" t="e">
        <f>VLOOKUP(B297,#REF!,3,FALSE)</f>
        <v>#REF!</v>
      </c>
      <c r="R297" s="68" t="e">
        <f>VLOOKUP($W297,#REF!,2,FALSE)</f>
        <v>#REF!</v>
      </c>
      <c r="S297" s="73" t="e">
        <f>VLOOKUP($W297,#REF!,7,FALSE)</f>
        <v>#REF!</v>
      </c>
      <c r="U297" s="48">
        <v>1</v>
      </c>
      <c r="V297" s="57" t="e">
        <f>IF(ISNUMBER(U297),HLOOKUP(U297,#REF!,2,FALSE)*E297,"")</f>
        <v>#REF!</v>
      </c>
      <c r="W297" s="48" t="s">
        <v>904</v>
      </c>
      <c r="AA297" s="45"/>
      <c r="AB297" s="45"/>
    </row>
    <row r="298" spans="1:28" x14ac:dyDescent="0.25">
      <c r="A298" s="48">
        <v>1293</v>
      </c>
      <c r="B298" s="64" t="s">
        <v>686</v>
      </c>
      <c r="C298" s="45" t="s">
        <v>737</v>
      </c>
      <c r="D298" s="62" t="s">
        <v>853</v>
      </c>
      <c r="E298" s="45">
        <v>1</v>
      </c>
      <c r="F298" s="46">
        <v>126</v>
      </c>
      <c r="G298" s="47" t="s">
        <v>236</v>
      </c>
      <c r="I298" s="45" t="s">
        <v>221</v>
      </c>
      <c r="L298" s="47" t="s">
        <v>738</v>
      </c>
      <c r="N298" s="45" t="s">
        <v>899</v>
      </c>
      <c r="O298" s="45" t="s">
        <v>895</v>
      </c>
      <c r="P298" s="68" t="e">
        <f>VLOOKUP(B298,#REF!,2,FALSE)</f>
        <v>#REF!</v>
      </c>
      <c r="Q298" s="68" t="e">
        <f>VLOOKUP(B298,#REF!,3,FALSE)</f>
        <v>#REF!</v>
      </c>
      <c r="R298" s="68" t="e">
        <f>VLOOKUP($W298,#REF!,2,FALSE)</f>
        <v>#REF!</v>
      </c>
      <c r="S298" s="73" t="e">
        <f>VLOOKUP($W298,#REF!,7,FALSE)</f>
        <v>#REF!</v>
      </c>
      <c r="U298" s="48">
        <v>0</v>
      </c>
      <c r="V298" s="57" t="e">
        <f>IF(ISNUMBER(U298),HLOOKUP(U298,#REF!,2,FALSE)*E298,"")</f>
        <v>#REF!</v>
      </c>
      <c r="W298" s="48" t="s">
        <v>904</v>
      </c>
      <c r="AA298" s="45"/>
      <c r="AB298" s="45"/>
    </row>
    <row r="299" spans="1:28" x14ac:dyDescent="0.25">
      <c r="A299" s="48">
        <v>1294</v>
      </c>
      <c r="B299" s="64" t="s">
        <v>686</v>
      </c>
      <c r="C299" s="45" t="s">
        <v>740</v>
      </c>
      <c r="D299" s="62" t="s">
        <v>741</v>
      </c>
      <c r="E299" s="45">
        <v>1</v>
      </c>
      <c r="F299" s="46">
        <v>126</v>
      </c>
      <c r="G299" s="47" t="s">
        <v>400</v>
      </c>
      <c r="I299" s="45" t="s">
        <v>221</v>
      </c>
      <c r="N299" s="45" t="s">
        <v>899</v>
      </c>
      <c r="O299" s="45" t="s">
        <v>895</v>
      </c>
      <c r="P299" s="68" t="e">
        <f>VLOOKUP(B299,#REF!,2,FALSE)</f>
        <v>#REF!</v>
      </c>
      <c r="Q299" s="68" t="e">
        <f>VLOOKUP(B299,#REF!,3,FALSE)</f>
        <v>#REF!</v>
      </c>
      <c r="R299" s="68" t="e">
        <f>VLOOKUP($W299,#REF!,2,FALSE)</f>
        <v>#REF!</v>
      </c>
      <c r="S299" s="73" t="e">
        <f>VLOOKUP($W299,#REF!,7,FALSE)</f>
        <v>#REF!</v>
      </c>
      <c r="U299" s="48">
        <v>1</v>
      </c>
      <c r="V299" s="57" t="e">
        <f>IF(ISNUMBER(U299),HLOOKUP(U299,#REF!,2,FALSE)*E299,"")</f>
        <v>#REF!</v>
      </c>
      <c r="W299" s="48" t="s">
        <v>904</v>
      </c>
      <c r="AA299" s="45"/>
      <c r="AB299" s="45"/>
    </row>
    <row r="300" spans="1:28" ht="45" x14ac:dyDescent="0.25">
      <c r="A300" s="48">
        <v>1295</v>
      </c>
      <c r="B300" s="64" t="s">
        <v>742</v>
      </c>
      <c r="C300" s="45" t="s">
        <v>743</v>
      </c>
      <c r="D300" s="62" t="s">
        <v>744</v>
      </c>
      <c r="E300" s="45">
        <v>1</v>
      </c>
      <c r="F300" s="46">
        <v>128</v>
      </c>
      <c r="G300" s="70" t="s">
        <v>1051</v>
      </c>
      <c r="I300" s="45" t="s">
        <v>219</v>
      </c>
      <c r="N300" s="45" t="s">
        <v>899</v>
      </c>
      <c r="O300" s="45" t="s">
        <v>897</v>
      </c>
      <c r="P300" s="68" t="e">
        <f>VLOOKUP(B300,#REF!,2,FALSE)</f>
        <v>#REF!</v>
      </c>
      <c r="Q300" s="68" t="e">
        <f>VLOOKUP(B300,#REF!,3,FALSE)</f>
        <v>#REF!</v>
      </c>
      <c r="R300" s="68" t="e">
        <f>VLOOKUP($W300,#REF!,2,FALSE)</f>
        <v>#REF!</v>
      </c>
      <c r="S300" s="73" t="e">
        <f>VLOOKUP($W300,#REF!,7,FALSE)</f>
        <v>#REF!</v>
      </c>
      <c r="T300" s="48">
        <v>8</v>
      </c>
      <c r="U300" s="48">
        <v>1</v>
      </c>
      <c r="V300" s="57" t="e">
        <f>IF(ISNUMBER(U300),HLOOKUP(U300,#REF!,2,FALSE)*E300,"")</f>
        <v>#REF!</v>
      </c>
      <c r="W300" s="48" t="s">
        <v>903</v>
      </c>
      <c r="AA300" s="45"/>
      <c r="AB300" s="45"/>
    </row>
    <row r="301" spans="1:28" x14ac:dyDescent="0.25">
      <c r="A301" s="48">
        <v>1296</v>
      </c>
      <c r="B301" s="64" t="s">
        <v>742</v>
      </c>
      <c r="C301" s="45" t="s">
        <v>743</v>
      </c>
      <c r="D301" s="62" t="s">
        <v>745</v>
      </c>
      <c r="E301" s="45">
        <v>1</v>
      </c>
      <c r="F301" s="46">
        <v>128</v>
      </c>
      <c r="G301" s="47" t="s">
        <v>46</v>
      </c>
      <c r="I301" s="45" t="s">
        <v>219</v>
      </c>
      <c r="N301" s="45" t="s">
        <v>899</v>
      </c>
      <c r="O301" s="45" t="s">
        <v>897</v>
      </c>
      <c r="P301" s="68" t="e">
        <f>VLOOKUP(B301,#REF!,2,FALSE)</f>
        <v>#REF!</v>
      </c>
      <c r="Q301" s="68" t="e">
        <f>VLOOKUP(B301,#REF!,3,FALSE)</f>
        <v>#REF!</v>
      </c>
      <c r="R301" s="68" t="e">
        <f>VLOOKUP($W301,#REF!,2,FALSE)</f>
        <v>#REF!</v>
      </c>
      <c r="S301" s="73" t="e">
        <f>VLOOKUP($W301,#REF!,7,FALSE)</f>
        <v>#REF!</v>
      </c>
      <c r="T301" s="48">
        <v>8</v>
      </c>
      <c r="U301" s="48">
        <v>1</v>
      </c>
      <c r="V301" s="57" t="e">
        <f>IF(ISNUMBER(U301),HLOOKUP(U301,#REF!,2,FALSE)*E301,"")</f>
        <v>#REF!</v>
      </c>
      <c r="W301" s="48" t="s">
        <v>903</v>
      </c>
      <c r="AA301" s="45"/>
      <c r="AB301" s="45"/>
    </row>
    <row r="302" spans="1:28" x14ac:dyDescent="0.25">
      <c r="A302" s="48">
        <v>1297</v>
      </c>
      <c r="B302" s="64" t="s">
        <v>742</v>
      </c>
      <c r="C302" s="45" t="s">
        <v>743</v>
      </c>
      <c r="D302" s="62" t="s">
        <v>746</v>
      </c>
      <c r="E302" s="45">
        <v>0</v>
      </c>
      <c r="F302" s="46">
        <v>128</v>
      </c>
      <c r="G302" s="47" t="s">
        <v>601</v>
      </c>
      <c r="I302" s="45" t="s">
        <v>219</v>
      </c>
      <c r="N302" s="45" t="s">
        <v>899</v>
      </c>
      <c r="O302" s="45" t="s">
        <v>897</v>
      </c>
      <c r="P302" s="68" t="e">
        <f>VLOOKUP(B302,#REF!,2,FALSE)</f>
        <v>#REF!</v>
      </c>
      <c r="Q302" s="68" t="e">
        <f>VLOOKUP(B302,#REF!,3,FALSE)</f>
        <v>#REF!</v>
      </c>
      <c r="R302" s="68" t="e">
        <f>VLOOKUP($W302,#REF!,2,FALSE)</f>
        <v>#REF!</v>
      </c>
      <c r="S302" s="73" t="e">
        <f>VLOOKUP($W302,#REF!,7,FALSE)</f>
        <v>#REF!</v>
      </c>
      <c r="T302" s="48">
        <v>8</v>
      </c>
      <c r="U302" s="48">
        <v>3</v>
      </c>
      <c r="V302" s="57" t="e">
        <f>IF(ISNUMBER(U302),HLOOKUP(U302,#REF!,2,FALSE)*E302,"")</f>
        <v>#REF!</v>
      </c>
      <c r="W302" s="48" t="s">
        <v>903</v>
      </c>
      <c r="AA302" s="45"/>
      <c r="AB302" s="45"/>
    </row>
    <row r="303" spans="1:28" x14ac:dyDescent="0.25">
      <c r="A303" s="48">
        <v>1298</v>
      </c>
      <c r="B303" s="64" t="s">
        <v>742</v>
      </c>
      <c r="C303" s="45" t="s">
        <v>743</v>
      </c>
      <c r="D303" s="62" t="s">
        <v>747</v>
      </c>
      <c r="E303" s="45">
        <v>0</v>
      </c>
      <c r="F303" s="46">
        <v>129</v>
      </c>
      <c r="G303" s="47" t="s">
        <v>601</v>
      </c>
      <c r="I303" s="45" t="s">
        <v>219</v>
      </c>
      <c r="N303" s="45" t="s">
        <v>899</v>
      </c>
      <c r="O303" s="45" t="s">
        <v>897</v>
      </c>
      <c r="P303" s="68" t="e">
        <f>VLOOKUP(B303,#REF!,2,FALSE)</f>
        <v>#REF!</v>
      </c>
      <c r="Q303" s="68" t="e">
        <f>VLOOKUP(B303,#REF!,3,FALSE)</f>
        <v>#REF!</v>
      </c>
      <c r="R303" s="68" t="e">
        <f>VLOOKUP($W303,#REF!,2,FALSE)</f>
        <v>#REF!</v>
      </c>
      <c r="S303" s="73" t="e">
        <f>VLOOKUP($W303,#REF!,7,FALSE)</f>
        <v>#REF!</v>
      </c>
      <c r="T303" s="48">
        <v>8</v>
      </c>
      <c r="U303" s="48">
        <v>3</v>
      </c>
      <c r="V303" s="57" t="e">
        <f>IF(ISNUMBER(U303),HLOOKUP(U303,#REF!,2,FALSE)*E303,"")</f>
        <v>#REF!</v>
      </c>
      <c r="W303" s="48" t="s">
        <v>903</v>
      </c>
      <c r="AA303" s="45"/>
      <c r="AB303" s="45"/>
    </row>
    <row r="304" spans="1:28" x14ac:dyDescent="0.25">
      <c r="A304" s="48">
        <v>1299</v>
      </c>
      <c r="B304" s="64" t="s">
        <v>742</v>
      </c>
      <c r="C304" s="45" t="s">
        <v>743</v>
      </c>
      <c r="D304" s="62" t="s">
        <v>748</v>
      </c>
      <c r="E304" s="45">
        <v>0</v>
      </c>
      <c r="F304" s="46">
        <v>130</v>
      </c>
      <c r="G304" s="47" t="s">
        <v>601</v>
      </c>
      <c r="I304" s="45" t="s">
        <v>219</v>
      </c>
      <c r="N304" s="45" t="s">
        <v>899</v>
      </c>
      <c r="O304" s="45" t="s">
        <v>897</v>
      </c>
      <c r="P304" s="68" t="e">
        <f>VLOOKUP(B304,#REF!,2,FALSE)</f>
        <v>#REF!</v>
      </c>
      <c r="Q304" s="68" t="e">
        <f>VLOOKUP(B304,#REF!,3,FALSE)</f>
        <v>#REF!</v>
      </c>
      <c r="R304" s="68" t="e">
        <f>VLOOKUP($W304,#REF!,2,FALSE)</f>
        <v>#REF!</v>
      </c>
      <c r="S304" s="73" t="e">
        <f>VLOOKUP($W304,#REF!,7,FALSE)</f>
        <v>#REF!</v>
      </c>
      <c r="T304" s="48">
        <v>8</v>
      </c>
      <c r="U304" s="48">
        <v>3</v>
      </c>
      <c r="V304" s="57" t="e">
        <f>IF(ISNUMBER(U304),HLOOKUP(U304,#REF!,2,FALSE)*E304,"")</f>
        <v>#REF!</v>
      </c>
      <c r="W304" s="48" t="s">
        <v>903</v>
      </c>
      <c r="AA304" s="45"/>
      <c r="AB304" s="45"/>
    </row>
    <row r="305" spans="1:28" x14ac:dyDescent="0.25">
      <c r="A305" s="48">
        <v>1300</v>
      </c>
      <c r="B305" s="64" t="s">
        <v>742</v>
      </c>
      <c r="C305" s="45" t="s">
        <v>750</v>
      </c>
      <c r="D305" s="62" t="s">
        <v>749</v>
      </c>
      <c r="E305" s="45">
        <v>1</v>
      </c>
      <c r="F305" s="46">
        <v>130</v>
      </c>
      <c r="G305" s="47" t="s">
        <v>755</v>
      </c>
      <c r="I305" s="45" t="s">
        <v>219</v>
      </c>
      <c r="N305" s="45" t="s">
        <v>899</v>
      </c>
      <c r="O305" s="45" t="s">
        <v>897</v>
      </c>
      <c r="P305" s="68" t="e">
        <f>VLOOKUP(B305,#REF!,2,FALSE)</f>
        <v>#REF!</v>
      </c>
      <c r="Q305" s="68" t="e">
        <f>VLOOKUP(B305,#REF!,3,FALSE)</f>
        <v>#REF!</v>
      </c>
      <c r="R305" s="68" t="e">
        <f>VLOOKUP($W305,#REF!,2,FALSE)</f>
        <v>#REF!</v>
      </c>
      <c r="S305" s="73" t="e">
        <f>VLOOKUP($W305,#REF!,7,FALSE)</f>
        <v>#REF!</v>
      </c>
      <c r="T305" s="48">
        <v>8</v>
      </c>
      <c r="U305" s="48">
        <v>2</v>
      </c>
      <c r="V305" s="57" t="e">
        <f>IF(ISNUMBER(U305),HLOOKUP(U305,#REF!,2,FALSE)*E305,"")</f>
        <v>#REF!</v>
      </c>
      <c r="W305" s="48" t="s">
        <v>903</v>
      </c>
      <c r="AA305" s="45"/>
      <c r="AB305" s="45"/>
    </row>
    <row r="306" spans="1:28" x14ac:dyDescent="0.25">
      <c r="A306" s="48">
        <v>1301</v>
      </c>
      <c r="B306" s="64" t="s">
        <v>742</v>
      </c>
      <c r="C306" s="45" t="s">
        <v>751</v>
      </c>
      <c r="D306" s="62" t="s">
        <v>1106</v>
      </c>
      <c r="E306" s="45">
        <v>1</v>
      </c>
      <c r="F306" s="46">
        <v>130</v>
      </c>
      <c r="G306" s="47" t="s">
        <v>259</v>
      </c>
      <c r="I306" s="45" t="s">
        <v>219</v>
      </c>
      <c r="M306" s="47" t="s">
        <v>1107</v>
      </c>
      <c r="N306" s="45" t="s">
        <v>899</v>
      </c>
      <c r="O306" s="45" t="s">
        <v>897</v>
      </c>
      <c r="P306" s="68" t="e">
        <f>VLOOKUP(B306,#REF!,2,FALSE)</f>
        <v>#REF!</v>
      </c>
      <c r="Q306" s="68" t="e">
        <f>VLOOKUP(B306,#REF!,3,FALSE)</f>
        <v>#REF!</v>
      </c>
      <c r="R306" s="68" t="e">
        <f>VLOOKUP($W306,#REF!,2,FALSE)</f>
        <v>#REF!</v>
      </c>
      <c r="S306" s="73" t="e">
        <f>VLOOKUP($W306,#REF!,7,FALSE)</f>
        <v>#REF!</v>
      </c>
      <c r="T306" s="48">
        <v>8</v>
      </c>
      <c r="U306" s="48">
        <v>1</v>
      </c>
      <c r="V306" s="57" t="e">
        <f>IF(ISNUMBER(U306),HLOOKUP(U306,#REF!,2,FALSE)*E306,"")</f>
        <v>#REF!</v>
      </c>
      <c r="W306" s="48" t="s">
        <v>903</v>
      </c>
      <c r="AA306" s="45"/>
      <c r="AB306" s="45"/>
    </row>
    <row r="307" spans="1:28" x14ac:dyDescent="0.25">
      <c r="A307" s="48">
        <v>1302</v>
      </c>
      <c r="B307" s="64" t="s">
        <v>742</v>
      </c>
      <c r="C307" s="45" t="s">
        <v>751</v>
      </c>
      <c r="D307" s="62" t="s">
        <v>753</v>
      </c>
      <c r="E307" s="45">
        <v>0</v>
      </c>
      <c r="F307" s="46">
        <v>130</v>
      </c>
      <c r="G307" s="47" t="s">
        <v>601</v>
      </c>
      <c r="I307" s="45" t="s">
        <v>219</v>
      </c>
      <c r="M307" s="47" t="s">
        <v>1108</v>
      </c>
      <c r="N307" s="45" t="s">
        <v>899</v>
      </c>
      <c r="O307" s="45" t="s">
        <v>897</v>
      </c>
      <c r="P307" s="68" t="e">
        <f>VLOOKUP(B307,#REF!,2,FALSE)</f>
        <v>#REF!</v>
      </c>
      <c r="Q307" s="68" t="e">
        <f>VLOOKUP(B307,#REF!,3,FALSE)</f>
        <v>#REF!</v>
      </c>
      <c r="R307" s="68" t="e">
        <f>VLOOKUP($W307,#REF!,2,FALSE)</f>
        <v>#REF!</v>
      </c>
      <c r="S307" s="73" t="e">
        <f>VLOOKUP($W307,#REF!,7,FALSE)</f>
        <v>#REF!</v>
      </c>
      <c r="T307" s="48">
        <v>8</v>
      </c>
      <c r="U307" s="48">
        <v>3</v>
      </c>
      <c r="V307" s="57" t="e">
        <f>IF(ISNUMBER(U307),HLOOKUP(U307,#REF!,2,FALSE)*E307,"")</f>
        <v>#REF!</v>
      </c>
      <c r="W307" s="48" t="s">
        <v>903</v>
      </c>
      <c r="AA307" s="45"/>
      <c r="AB307" s="45"/>
    </row>
    <row r="308" spans="1:28" x14ac:dyDescent="0.25">
      <c r="A308" s="48">
        <v>1303</v>
      </c>
      <c r="B308" s="64" t="s">
        <v>742</v>
      </c>
      <c r="C308" s="45" t="s">
        <v>751</v>
      </c>
      <c r="D308" s="62" t="s">
        <v>754</v>
      </c>
      <c r="E308" s="45">
        <v>0</v>
      </c>
      <c r="F308" s="46">
        <v>130</v>
      </c>
      <c r="G308" s="47" t="s">
        <v>601</v>
      </c>
      <c r="I308" s="45" t="s">
        <v>219</v>
      </c>
      <c r="N308" s="45" t="s">
        <v>899</v>
      </c>
      <c r="O308" s="45" t="s">
        <v>897</v>
      </c>
      <c r="P308" s="68" t="e">
        <f>VLOOKUP(B308,#REF!,2,FALSE)</f>
        <v>#REF!</v>
      </c>
      <c r="Q308" s="68" t="e">
        <f>VLOOKUP(B308,#REF!,3,FALSE)</f>
        <v>#REF!</v>
      </c>
      <c r="R308" s="68" t="e">
        <f>VLOOKUP($W308,#REF!,2,FALSE)</f>
        <v>#REF!</v>
      </c>
      <c r="S308" s="73" t="e">
        <f>VLOOKUP($W308,#REF!,7,FALSE)</f>
        <v>#REF!</v>
      </c>
      <c r="T308" s="48">
        <v>8</v>
      </c>
      <c r="U308" s="48">
        <v>3</v>
      </c>
      <c r="V308" s="57" t="e">
        <f>IF(ISNUMBER(U308),HLOOKUP(U308,#REF!,2,FALSE)*E308,"")</f>
        <v>#REF!</v>
      </c>
      <c r="W308" s="48" t="s">
        <v>903</v>
      </c>
      <c r="AA308" s="45"/>
      <c r="AB308" s="45"/>
    </row>
  </sheetData>
  <autoFilter ref="A1:AB308" xr:uid="{AE0CC317-0C6F-45F6-A039-10947180B1D2}"/>
  <sortState xmlns:xlrd2="http://schemas.microsoft.com/office/spreadsheetml/2017/richdata2" ref="A2:AB308">
    <sortCondition ref="A2:A308"/>
  </sortState>
  <phoneticPr fontId="10" type="noConversion"/>
  <conditionalFormatting sqref="D1:D1048576">
    <cfRule type="duplicateValues" dxfId="12" priority="4"/>
  </conditionalFormatting>
  <conditionalFormatting sqref="G94:H110 H113 G204:H262 G266:H266 G272:H1048576 G1:H50">
    <cfRule type="containsText" dxfId="11" priority="24" operator="containsText" text="header only">
      <formula>NOT(ISERROR(SEARCH("header only",G1)))</formula>
    </cfRule>
  </conditionalFormatting>
  <conditionalFormatting sqref="G52:H87 G111:G113 G114:H202">
    <cfRule type="containsText" dxfId="10" priority="1" operator="containsText" text="header only">
      <formula>NOT(ISERROR(SEARCH("header only",G52)))</formula>
    </cfRule>
  </conditionalFormatting>
  <conditionalFormatting sqref="G89:H92">
    <cfRule type="containsText" dxfId="9" priority="20" operator="containsText" text="header only">
      <formula>NOT(ISERROR(SEARCH("header only",G89)))</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81EF3-5695-4889-A0DB-D7FD5F3677FC}">
  <dimension ref="A1:AO196"/>
  <sheetViews>
    <sheetView topLeftCell="AB1" zoomScale="80" zoomScaleNormal="80" workbookViewId="0">
      <pane ySplit="7" topLeftCell="A23" activePane="bottomLeft" state="frozen"/>
      <selection pane="bottomLeft" activeCell="AN43" sqref="AN43"/>
    </sheetView>
  </sheetViews>
  <sheetFormatPr defaultRowHeight="15" x14ac:dyDescent="0.25"/>
  <cols>
    <col min="1" max="1" width="14.85546875" customWidth="1"/>
    <col min="2" max="2" width="59.140625" bestFit="1" customWidth="1"/>
    <col min="3" max="3" width="14.140625" bestFit="1" customWidth="1"/>
    <col min="4" max="4" width="16.28515625" bestFit="1" customWidth="1"/>
    <col min="5" max="5" width="12.7109375" bestFit="1" customWidth="1"/>
    <col min="6" max="6" width="12.140625" bestFit="1" customWidth="1"/>
    <col min="7" max="7" width="7.28515625" customWidth="1"/>
    <col min="8" max="8" width="11.140625" bestFit="1" customWidth="1"/>
    <col min="9" max="9" width="16.7109375" bestFit="1" customWidth="1"/>
    <col min="10" max="10" width="14.7109375" bestFit="1" customWidth="1"/>
    <col min="11" max="11" width="11.28515625" bestFit="1" customWidth="1"/>
    <col min="12" max="12" width="10" bestFit="1" customWidth="1"/>
    <col min="13" max="13" width="11" bestFit="1" customWidth="1"/>
    <col min="14" max="16" width="5.140625" customWidth="1"/>
    <col min="17" max="17" width="5.140625" style="15" customWidth="1"/>
    <col min="18" max="18" width="14.85546875" customWidth="1"/>
    <col min="19" max="19" width="59.140625" bestFit="1" customWidth="1"/>
    <col min="20" max="20" width="17.7109375" bestFit="1" customWidth="1"/>
    <col min="21" max="21" width="33.140625" bestFit="1" customWidth="1"/>
    <col min="22" max="22" width="45.7109375" bestFit="1" customWidth="1"/>
    <col min="26" max="26" width="4" style="15" customWidth="1"/>
    <col min="27" max="27" width="14.85546875" customWidth="1"/>
    <col min="28" max="28" width="59.140625" bestFit="1" customWidth="1"/>
    <col min="29" max="29" width="17.7109375" bestFit="1" customWidth="1"/>
    <col min="30" max="30" width="51.28515625" bestFit="1" customWidth="1"/>
    <col min="31" max="31" width="55.42578125" bestFit="1" customWidth="1"/>
    <col min="35" max="35" width="4" style="15" customWidth="1"/>
    <col min="36" max="36" width="14.85546875" customWidth="1"/>
    <col min="37" max="37" width="37.7109375" bestFit="1" customWidth="1"/>
    <col min="38" max="38" width="15.85546875" bestFit="1" customWidth="1"/>
    <col min="39" max="39" width="15.7109375" bestFit="1" customWidth="1"/>
    <col min="40" max="40" width="39" bestFit="1" customWidth="1"/>
  </cols>
  <sheetData>
    <row r="1" spans="1:41" x14ac:dyDescent="0.25">
      <c r="A1" s="44" t="s">
        <v>855</v>
      </c>
      <c r="B1" s="27"/>
      <c r="C1" s="27"/>
      <c r="D1" s="27"/>
      <c r="E1" s="27"/>
      <c r="F1" s="27"/>
      <c r="G1" s="27"/>
      <c r="H1" s="27"/>
      <c r="I1" s="27"/>
      <c r="J1" s="27"/>
      <c r="K1" s="27"/>
      <c r="L1" s="27"/>
      <c r="M1" s="27"/>
      <c r="R1" s="44" t="s">
        <v>846</v>
      </c>
      <c r="S1" s="27"/>
      <c r="T1" s="27"/>
      <c r="AA1" s="44" t="s">
        <v>847</v>
      </c>
      <c r="AB1" s="27"/>
      <c r="AC1" s="27"/>
      <c r="AJ1" s="44" t="s">
        <v>848</v>
      </c>
      <c r="AK1" s="27"/>
      <c r="AL1" s="27"/>
    </row>
    <row r="6" spans="1:41" x14ac:dyDescent="0.25">
      <c r="A6" s="17" t="s">
        <v>759</v>
      </c>
      <c r="C6" s="17" t="s">
        <v>220</v>
      </c>
      <c r="R6" s="17" t="s">
        <v>759</v>
      </c>
      <c r="AA6" s="17" t="s">
        <v>759</v>
      </c>
      <c r="AJ6" s="17" t="s">
        <v>759</v>
      </c>
    </row>
    <row r="7" spans="1:41" x14ac:dyDescent="0.25">
      <c r="A7" s="17" t="s">
        <v>334</v>
      </c>
      <c r="B7" s="17" t="s">
        <v>409</v>
      </c>
      <c r="C7" t="s">
        <v>230</v>
      </c>
      <c r="D7" t="s">
        <v>199</v>
      </c>
      <c r="E7" t="s">
        <v>235</v>
      </c>
      <c r="F7" t="s">
        <v>184</v>
      </c>
      <c r="G7" t="s">
        <v>218</v>
      </c>
      <c r="H7" t="s">
        <v>221</v>
      </c>
      <c r="I7" t="s">
        <v>186</v>
      </c>
      <c r="J7" t="s">
        <v>193</v>
      </c>
      <c r="K7" t="s">
        <v>191</v>
      </c>
      <c r="L7" t="s">
        <v>219</v>
      </c>
      <c r="M7" t="s">
        <v>238</v>
      </c>
      <c r="R7" s="17" t="s">
        <v>334</v>
      </c>
      <c r="S7" s="17" t="s">
        <v>319</v>
      </c>
      <c r="T7" s="17" t="s">
        <v>220</v>
      </c>
      <c r="U7" s="17" t="s">
        <v>166</v>
      </c>
      <c r="V7" s="17" t="s">
        <v>263</v>
      </c>
      <c r="W7" t="s">
        <v>758</v>
      </c>
      <c r="AA7" s="17" t="s">
        <v>334</v>
      </c>
      <c r="AB7" s="17" t="s">
        <v>319</v>
      </c>
      <c r="AC7" s="17" t="s">
        <v>220</v>
      </c>
      <c r="AD7" s="17" t="s">
        <v>166</v>
      </c>
      <c r="AE7" s="17" t="s">
        <v>263</v>
      </c>
      <c r="AF7" t="s">
        <v>758</v>
      </c>
      <c r="AJ7" s="17" t="s">
        <v>334</v>
      </c>
      <c r="AK7" s="17" t="s">
        <v>319</v>
      </c>
      <c r="AL7" s="17" t="s">
        <v>220</v>
      </c>
      <c r="AM7" s="17" t="s">
        <v>166</v>
      </c>
      <c r="AN7" s="17" t="s">
        <v>263</v>
      </c>
      <c r="AO7" t="s">
        <v>758</v>
      </c>
    </row>
    <row r="8" spans="1:41" x14ac:dyDescent="0.25">
      <c r="A8">
        <v>3</v>
      </c>
      <c r="B8" t="s">
        <v>418</v>
      </c>
      <c r="G8">
        <v>3</v>
      </c>
      <c r="M8">
        <v>3</v>
      </c>
      <c r="R8">
        <v>3</v>
      </c>
      <c r="S8" t="s">
        <v>746</v>
      </c>
      <c r="T8" t="s">
        <v>219</v>
      </c>
      <c r="U8" t="s">
        <v>601</v>
      </c>
      <c r="V8" t="s">
        <v>743</v>
      </c>
      <c r="W8">
        <v>1</v>
      </c>
      <c r="AA8">
        <v>1</v>
      </c>
      <c r="AB8" t="s">
        <v>440</v>
      </c>
      <c r="AC8" t="s">
        <v>219</v>
      </c>
      <c r="AD8" t="s">
        <v>462</v>
      </c>
      <c r="AE8" t="s">
        <v>179</v>
      </c>
      <c r="AF8">
        <v>1</v>
      </c>
      <c r="AJ8">
        <v>0</v>
      </c>
      <c r="AK8" t="s">
        <v>378</v>
      </c>
      <c r="AL8" t="s">
        <v>218</v>
      </c>
      <c r="AM8" t="s">
        <v>169</v>
      </c>
      <c r="AN8" t="s">
        <v>195</v>
      </c>
      <c r="AO8">
        <v>1</v>
      </c>
    </row>
    <row r="9" spans="1:41" x14ac:dyDescent="0.25">
      <c r="B9" t="s">
        <v>515</v>
      </c>
      <c r="I9">
        <v>4</v>
      </c>
      <c r="M9">
        <v>4</v>
      </c>
      <c r="S9" t="s">
        <v>747</v>
      </c>
      <c r="T9" t="s">
        <v>219</v>
      </c>
      <c r="U9" t="s">
        <v>601</v>
      </c>
      <c r="V9" t="s">
        <v>743</v>
      </c>
      <c r="W9">
        <v>1</v>
      </c>
      <c r="AB9" t="s">
        <v>442</v>
      </c>
      <c r="AC9" t="s">
        <v>219</v>
      </c>
      <c r="AD9" t="s">
        <v>462</v>
      </c>
      <c r="AE9" t="s">
        <v>179</v>
      </c>
      <c r="AF9">
        <v>1</v>
      </c>
      <c r="AK9" t="s">
        <v>441</v>
      </c>
      <c r="AL9" t="s">
        <v>219</v>
      </c>
      <c r="AM9" t="s">
        <v>169</v>
      </c>
      <c r="AN9" t="s">
        <v>179</v>
      </c>
      <c r="AO9">
        <v>1</v>
      </c>
    </row>
    <row r="10" spans="1:41" x14ac:dyDescent="0.25">
      <c r="B10" t="s">
        <v>328</v>
      </c>
      <c r="L10">
        <v>7</v>
      </c>
      <c r="M10">
        <v>7</v>
      </c>
      <c r="S10" t="s">
        <v>370</v>
      </c>
      <c r="T10" t="s">
        <v>218</v>
      </c>
      <c r="U10" t="s">
        <v>1015</v>
      </c>
      <c r="V10" t="s">
        <v>397</v>
      </c>
      <c r="W10">
        <v>1</v>
      </c>
      <c r="AB10" t="s">
        <v>558</v>
      </c>
      <c r="AC10" t="s">
        <v>193</v>
      </c>
      <c r="AD10" t="s">
        <v>259</v>
      </c>
      <c r="AE10" t="s">
        <v>196</v>
      </c>
      <c r="AF10">
        <v>1</v>
      </c>
      <c r="AK10" t="s">
        <v>571</v>
      </c>
      <c r="AL10" t="s">
        <v>219</v>
      </c>
      <c r="AM10" t="s">
        <v>169</v>
      </c>
      <c r="AN10" t="s">
        <v>179</v>
      </c>
      <c r="AO10">
        <v>1</v>
      </c>
    </row>
    <row r="11" spans="1:41" x14ac:dyDescent="0.25">
      <c r="B11" t="s">
        <v>742</v>
      </c>
      <c r="L11">
        <v>5</v>
      </c>
      <c r="M11">
        <v>5</v>
      </c>
      <c r="S11" t="s">
        <v>107</v>
      </c>
      <c r="T11" t="s">
        <v>219</v>
      </c>
      <c r="U11" t="s">
        <v>46</v>
      </c>
      <c r="V11" t="s">
        <v>94</v>
      </c>
      <c r="W11">
        <v>1</v>
      </c>
      <c r="AB11" t="s">
        <v>249</v>
      </c>
      <c r="AC11" t="s">
        <v>219</v>
      </c>
      <c r="AD11" t="s">
        <v>259</v>
      </c>
      <c r="AE11" t="s">
        <v>821</v>
      </c>
      <c r="AF11">
        <v>1</v>
      </c>
      <c r="AK11" t="s">
        <v>154</v>
      </c>
      <c r="AL11" t="s">
        <v>221</v>
      </c>
      <c r="AM11" t="s">
        <v>169</v>
      </c>
      <c r="AN11" t="s">
        <v>321</v>
      </c>
      <c r="AO11">
        <v>1</v>
      </c>
    </row>
    <row r="12" spans="1:41" x14ac:dyDescent="0.25">
      <c r="A12" s="66" t="s">
        <v>849</v>
      </c>
      <c r="B12" s="66"/>
      <c r="C12" s="66"/>
      <c r="D12" s="66"/>
      <c r="E12" s="66"/>
      <c r="F12" s="66"/>
      <c r="G12" s="66">
        <v>3</v>
      </c>
      <c r="H12" s="66"/>
      <c r="I12" s="66">
        <v>4</v>
      </c>
      <c r="J12" s="66"/>
      <c r="K12" s="66"/>
      <c r="L12" s="66">
        <v>12</v>
      </c>
      <c r="M12" s="66">
        <v>19</v>
      </c>
      <c r="S12" t="s">
        <v>753</v>
      </c>
      <c r="T12" t="s">
        <v>219</v>
      </c>
      <c r="U12" t="s">
        <v>601</v>
      </c>
      <c r="V12" t="s">
        <v>751</v>
      </c>
      <c r="W12">
        <v>1</v>
      </c>
      <c r="AB12" t="s">
        <v>730</v>
      </c>
      <c r="AC12" t="s">
        <v>221</v>
      </c>
      <c r="AD12" t="s">
        <v>236</v>
      </c>
      <c r="AE12" t="s">
        <v>729</v>
      </c>
      <c r="AF12">
        <v>1</v>
      </c>
      <c r="AK12" t="s">
        <v>466</v>
      </c>
      <c r="AL12" t="s">
        <v>219</v>
      </c>
      <c r="AM12" t="s">
        <v>169</v>
      </c>
      <c r="AN12" t="s">
        <v>177</v>
      </c>
      <c r="AO12">
        <v>1</v>
      </c>
    </row>
    <row r="13" spans="1:41" x14ac:dyDescent="0.25">
      <c r="A13">
        <v>2</v>
      </c>
      <c r="B13" t="s">
        <v>418</v>
      </c>
      <c r="G13">
        <v>9</v>
      </c>
      <c r="M13">
        <v>9</v>
      </c>
      <c r="S13" t="s">
        <v>12</v>
      </c>
      <c r="T13" t="s">
        <v>219</v>
      </c>
      <c r="U13" t="s">
        <v>252</v>
      </c>
      <c r="V13" t="s">
        <v>10</v>
      </c>
      <c r="W13">
        <v>1</v>
      </c>
      <c r="AB13" t="s">
        <v>480</v>
      </c>
      <c r="AC13" t="s">
        <v>219</v>
      </c>
      <c r="AD13" t="s">
        <v>46</v>
      </c>
      <c r="AE13" t="s">
        <v>871</v>
      </c>
      <c r="AF13">
        <v>1</v>
      </c>
      <c r="AK13" t="s">
        <v>465</v>
      </c>
      <c r="AL13" t="s">
        <v>219</v>
      </c>
      <c r="AM13" t="s">
        <v>169</v>
      </c>
      <c r="AN13" t="s">
        <v>177</v>
      </c>
      <c r="AO13">
        <v>1</v>
      </c>
    </row>
    <row r="14" spans="1:41" x14ac:dyDescent="0.25">
      <c r="B14" t="s">
        <v>410</v>
      </c>
      <c r="G14">
        <v>1</v>
      </c>
      <c r="M14">
        <v>1</v>
      </c>
      <c r="S14" t="s">
        <v>754</v>
      </c>
      <c r="T14" t="s">
        <v>219</v>
      </c>
      <c r="U14" t="s">
        <v>601</v>
      </c>
      <c r="V14" t="s">
        <v>751</v>
      </c>
      <c r="W14">
        <v>1</v>
      </c>
      <c r="AB14" t="s">
        <v>260</v>
      </c>
      <c r="AC14" t="s">
        <v>219</v>
      </c>
      <c r="AD14" t="s">
        <v>259</v>
      </c>
      <c r="AE14" t="s">
        <v>821</v>
      </c>
      <c r="AF14">
        <v>1</v>
      </c>
      <c r="AK14" t="s">
        <v>467</v>
      </c>
      <c r="AL14" t="s">
        <v>219</v>
      </c>
      <c r="AM14" t="s">
        <v>169</v>
      </c>
      <c r="AN14" t="s">
        <v>177</v>
      </c>
      <c r="AO14">
        <v>1</v>
      </c>
    </row>
    <row r="15" spans="1:41" x14ac:dyDescent="0.25">
      <c r="B15" t="s">
        <v>427</v>
      </c>
      <c r="G15">
        <v>1</v>
      </c>
      <c r="M15">
        <v>1</v>
      </c>
      <c r="S15" t="s">
        <v>109</v>
      </c>
      <c r="T15" t="s">
        <v>219</v>
      </c>
      <c r="U15" t="s">
        <v>216</v>
      </c>
      <c r="V15" t="s">
        <v>108</v>
      </c>
      <c r="W15">
        <v>1</v>
      </c>
      <c r="AB15" t="s">
        <v>123</v>
      </c>
      <c r="AC15" t="s">
        <v>219</v>
      </c>
      <c r="AD15" t="s">
        <v>259</v>
      </c>
      <c r="AE15" t="s">
        <v>821</v>
      </c>
      <c r="AF15">
        <v>1</v>
      </c>
      <c r="AK15" t="s">
        <v>155</v>
      </c>
      <c r="AL15" t="s">
        <v>218</v>
      </c>
      <c r="AM15" t="s">
        <v>169</v>
      </c>
      <c r="AN15" t="s">
        <v>195</v>
      </c>
      <c r="AO15">
        <v>1</v>
      </c>
    </row>
    <row r="16" spans="1:41" x14ac:dyDescent="0.25">
      <c r="B16" t="s">
        <v>494</v>
      </c>
      <c r="G16">
        <v>1</v>
      </c>
      <c r="M16">
        <v>1</v>
      </c>
      <c r="S16" t="s">
        <v>532</v>
      </c>
      <c r="T16" t="s">
        <v>186</v>
      </c>
      <c r="U16" t="s">
        <v>539</v>
      </c>
      <c r="V16" t="s">
        <v>188</v>
      </c>
      <c r="W16">
        <v>1</v>
      </c>
      <c r="AB16" t="s">
        <v>130</v>
      </c>
      <c r="AC16" t="s">
        <v>219</v>
      </c>
      <c r="AD16" t="s">
        <v>259</v>
      </c>
      <c r="AE16" t="s">
        <v>821</v>
      </c>
      <c r="AF16">
        <v>1</v>
      </c>
      <c r="AK16" t="s">
        <v>371</v>
      </c>
      <c r="AL16" t="s">
        <v>218</v>
      </c>
      <c r="AM16" t="s">
        <v>1015</v>
      </c>
      <c r="AN16" t="s">
        <v>397</v>
      </c>
      <c r="AO16">
        <v>1</v>
      </c>
    </row>
    <row r="17" spans="1:41" x14ac:dyDescent="0.25">
      <c r="B17" t="s">
        <v>328</v>
      </c>
      <c r="L17">
        <v>20</v>
      </c>
      <c r="M17">
        <v>20</v>
      </c>
      <c r="S17" t="s">
        <v>531</v>
      </c>
      <c r="T17" t="s">
        <v>186</v>
      </c>
      <c r="U17" t="s">
        <v>539</v>
      </c>
      <c r="V17" t="s">
        <v>188</v>
      </c>
      <c r="W17">
        <v>1</v>
      </c>
      <c r="AB17" t="s">
        <v>438</v>
      </c>
      <c r="AC17" t="s">
        <v>219</v>
      </c>
      <c r="AD17" t="s">
        <v>1022</v>
      </c>
      <c r="AE17" t="s">
        <v>179</v>
      </c>
      <c r="AF17">
        <v>1</v>
      </c>
      <c r="AK17" t="s">
        <v>472</v>
      </c>
      <c r="AL17" t="s">
        <v>219</v>
      </c>
      <c r="AM17" t="s">
        <v>1031</v>
      </c>
      <c r="AN17" t="s">
        <v>181</v>
      </c>
      <c r="AO17">
        <v>1</v>
      </c>
    </row>
    <row r="18" spans="1:41" x14ac:dyDescent="0.25">
      <c r="B18" t="s">
        <v>742</v>
      </c>
      <c r="L18">
        <v>1</v>
      </c>
      <c r="M18">
        <v>1</v>
      </c>
      <c r="S18" t="s">
        <v>11</v>
      </c>
      <c r="T18" t="s">
        <v>219</v>
      </c>
      <c r="U18" t="s">
        <v>1002</v>
      </c>
      <c r="V18" t="s">
        <v>10</v>
      </c>
      <c r="W18">
        <v>1</v>
      </c>
      <c r="AB18" t="s">
        <v>493</v>
      </c>
      <c r="AC18" t="s">
        <v>219</v>
      </c>
      <c r="AD18" t="s">
        <v>46</v>
      </c>
      <c r="AE18" t="s">
        <v>183</v>
      </c>
      <c r="AF18">
        <v>1</v>
      </c>
      <c r="AK18" t="s">
        <v>367</v>
      </c>
      <c r="AL18" t="s">
        <v>218</v>
      </c>
      <c r="AM18" t="s">
        <v>1019</v>
      </c>
      <c r="AN18" t="s">
        <v>397</v>
      </c>
      <c r="AO18">
        <v>1</v>
      </c>
    </row>
    <row r="19" spans="1:41" x14ac:dyDescent="0.25">
      <c r="B19" t="s">
        <v>435</v>
      </c>
      <c r="L19">
        <v>4</v>
      </c>
      <c r="M19">
        <v>4</v>
      </c>
      <c r="S19" t="s">
        <v>14</v>
      </c>
      <c r="T19" t="s">
        <v>219</v>
      </c>
      <c r="U19" t="s">
        <v>1004</v>
      </c>
      <c r="V19" t="s">
        <v>10</v>
      </c>
      <c r="W19">
        <v>1</v>
      </c>
      <c r="AB19" t="s">
        <v>20</v>
      </c>
      <c r="AC19" t="s">
        <v>186</v>
      </c>
      <c r="AD19" t="s">
        <v>46</v>
      </c>
      <c r="AE19" t="s">
        <v>190</v>
      </c>
      <c r="AF19">
        <v>1</v>
      </c>
      <c r="AK19" t="s">
        <v>549</v>
      </c>
      <c r="AL19" t="s">
        <v>193</v>
      </c>
      <c r="AM19" t="s">
        <v>169</v>
      </c>
      <c r="AN19" t="s">
        <v>195</v>
      </c>
      <c r="AO19">
        <v>1</v>
      </c>
    </row>
    <row r="20" spans="1:41" x14ac:dyDescent="0.25">
      <c r="A20" s="66" t="s">
        <v>850</v>
      </c>
      <c r="B20" s="66"/>
      <c r="C20" s="66"/>
      <c r="D20" s="66"/>
      <c r="E20" s="66"/>
      <c r="F20" s="66"/>
      <c r="G20" s="66">
        <v>12</v>
      </c>
      <c r="H20" s="66"/>
      <c r="I20" s="66"/>
      <c r="J20" s="66"/>
      <c r="K20" s="66"/>
      <c r="L20" s="66">
        <v>25</v>
      </c>
      <c r="M20" s="66">
        <v>37</v>
      </c>
      <c r="S20" t="s">
        <v>13</v>
      </c>
      <c r="T20" t="s">
        <v>219</v>
      </c>
      <c r="U20" t="s">
        <v>1003</v>
      </c>
      <c r="V20" t="s">
        <v>10</v>
      </c>
      <c r="W20">
        <v>1</v>
      </c>
      <c r="AB20" t="s">
        <v>199</v>
      </c>
      <c r="AC20" t="s">
        <v>218</v>
      </c>
      <c r="AD20" t="s">
        <v>251</v>
      </c>
      <c r="AE20" t="s">
        <v>171</v>
      </c>
      <c r="AF20">
        <v>1</v>
      </c>
      <c r="AK20" t="s">
        <v>548</v>
      </c>
      <c r="AL20" t="s">
        <v>193</v>
      </c>
      <c r="AM20" t="s">
        <v>169</v>
      </c>
      <c r="AN20" t="s">
        <v>195</v>
      </c>
      <c r="AO20">
        <v>1</v>
      </c>
    </row>
    <row r="21" spans="1:41" x14ac:dyDescent="0.25">
      <c r="A21">
        <v>1</v>
      </c>
      <c r="B21" t="s">
        <v>230</v>
      </c>
      <c r="C21">
        <v>2</v>
      </c>
      <c r="M21">
        <v>2</v>
      </c>
      <c r="S21" t="s">
        <v>748</v>
      </c>
      <c r="T21" t="s">
        <v>219</v>
      </c>
      <c r="U21" t="s">
        <v>601</v>
      </c>
      <c r="V21" t="s">
        <v>743</v>
      </c>
      <c r="W21">
        <v>1</v>
      </c>
      <c r="AB21" t="s">
        <v>497</v>
      </c>
      <c r="AC21" t="s">
        <v>218</v>
      </c>
      <c r="AD21" t="s">
        <v>259</v>
      </c>
      <c r="AE21" t="s">
        <v>212</v>
      </c>
      <c r="AF21">
        <v>1</v>
      </c>
      <c r="AK21" t="s">
        <v>550</v>
      </c>
      <c r="AL21" t="s">
        <v>193</v>
      </c>
      <c r="AM21" t="s">
        <v>169</v>
      </c>
      <c r="AN21" t="s">
        <v>195</v>
      </c>
      <c r="AO21">
        <v>1</v>
      </c>
    </row>
    <row r="22" spans="1:41" x14ac:dyDescent="0.25">
      <c r="B22" t="s">
        <v>566</v>
      </c>
      <c r="D22">
        <v>1</v>
      </c>
      <c r="M22">
        <v>1</v>
      </c>
      <c r="S22" t="s">
        <v>534</v>
      </c>
      <c r="T22" t="s">
        <v>186</v>
      </c>
      <c r="U22" t="s">
        <v>539</v>
      </c>
      <c r="V22" t="s">
        <v>188</v>
      </c>
      <c r="W22">
        <v>1</v>
      </c>
      <c r="AB22" t="s">
        <v>547</v>
      </c>
      <c r="AC22" t="s">
        <v>193</v>
      </c>
      <c r="AD22" t="s">
        <v>1045</v>
      </c>
      <c r="AE22" t="s">
        <v>194</v>
      </c>
      <c r="AF22">
        <v>1</v>
      </c>
      <c r="AK22" t="s">
        <v>344</v>
      </c>
      <c r="AL22" t="s">
        <v>221</v>
      </c>
      <c r="AM22" t="s">
        <v>169</v>
      </c>
      <c r="AN22" t="s">
        <v>321</v>
      </c>
      <c r="AO22">
        <v>1</v>
      </c>
    </row>
    <row r="23" spans="1:41" x14ac:dyDescent="0.25">
      <c r="B23" t="s">
        <v>795</v>
      </c>
      <c r="E23">
        <v>1</v>
      </c>
      <c r="M23">
        <v>1</v>
      </c>
      <c r="S23" t="s">
        <v>533</v>
      </c>
      <c r="T23" t="s">
        <v>186</v>
      </c>
      <c r="U23" t="s">
        <v>539</v>
      </c>
      <c r="V23" t="s">
        <v>188</v>
      </c>
      <c r="W23">
        <v>1</v>
      </c>
      <c r="AB23" t="s">
        <v>725</v>
      </c>
      <c r="AC23" t="s">
        <v>221</v>
      </c>
      <c r="AD23" t="s">
        <v>46</v>
      </c>
      <c r="AE23" t="s">
        <v>722</v>
      </c>
      <c r="AF23">
        <v>1</v>
      </c>
      <c r="AK23" t="s">
        <v>343</v>
      </c>
      <c r="AL23" t="s">
        <v>221</v>
      </c>
      <c r="AM23" t="s">
        <v>169</v>
      </c>
      <c r="AN23" t="s">
        <v>321</v>
      </c>
      <c r="AO23">
        <v>1</v>
      </c>
    </row>
    <row r="24" spans="1:41" x14ac:dyDescent="0.25">
      <c r="B24" t="s">
        <v>510</v>
      </c>
      <c r="E24">
        <v>1</v>
      </c>
      <c r="M24">
        <v>1</v>
      </c>
      <c r="S24" t="s">
        <v>374</v>
      </c>
      <c r="T24" t="s">
        <v>218</v>
      </c>
      <c r="U24" t="s">
        <v>1017</v>
      </c>
      <c r="V24" t="s">
        <v>397</v>
      </c>
      <c r="W24">
        <v>1</v>
      </c>
      <c r="AB24" t="s">
        <v>552</v>
      </c>
      <c r="AC24" t="s">
        <v>193</v>
      </c>
      <c r="AD24" t="s">
        <v>46</v>
      </c>
      <c r="AE24" t="s">
        <v>196</v>
      </c>
      <c r="AF24">
        <v>1</v>
      </c>
      <c r="AK24" t="s">
        <v>388</v>
      </c>
      <c r="AL24" t="s">
        <v>218</v>
      </c>
      <c r="AM24" t="s">
        <v>169</v>
      </c>
      <c r="AN24" t="s">
        <v>398</v>
      </c>
      <c r="AO24">
        <v>1</v>
      </c>
    </row>
    <row r="25" spans="1:41" x14ac:dyDescent="0.25">
      <c r="B25" t="s">
        <v>509</v>
      </c>
      <c r="F25">
        <v>2</v>
      </c>
      <c r="M25">
        <v>2</v>
      </c>
      <c r="S25" t="s">
        <v>372</v>
      </c>
      <c r="T25" t="s">
        <v>218</v>
      </c>
      <c r="U25" t="s">
        <v>1016</v>
      </c>
      <c r="V25" t="s">
        <v>397</v>
      </c>
      <c r="W25">
        <v>1</v>
      </c>
      <c r="AB25" t="s">
        <v>485</v>
      </c>
      <c r="AC25" t="s">
        <v>219</v>
      </c>
      <c r="AD25" t="s">
        <v>46</v>
      </c>
      <c r="AE25" t="s">
        <v>871</v>
      </c>
      <c r="AF25">
        <v>1</v>
      </c>
      <c r="AK25" t="s">
        <v>359</v>
      </c>
      <c r="AL25" t="s">
        <v>218</v>
      </c>
      <c r="AM25" t="s">
        <v>169</v>
      </c>
      <c r="AN25" t="s">
        <v>395</v>
      </c>
      <c r="AO25">
        <v>1</v>
      </c>
    </row>
    <row r="26" spans="1:41" x14ac:dyDescent="0.25">
      <c r="B26" t="s">
        <v>568</v>
      </c>
      <c r="G26">
        <v>2</v>
      </c>
      <c r="M26">
        <v>2</v>
      </c>
      <c r="S26" t="s">
        <v>882</v>
      </c>
      <c r="T26" t="s">
        <v>219</v>
      </c>
      <c r="U26" t="s">
        <v>259</v>
      </c>
      <c r="V26" t="s">
        <v>821</v>
      </c>
      <c r="W26">
        <v>1</v>
      </c>
      <c r="AB26" t="s">
        <v>491</v>
      </c>
      <c r="AC26" t="s">
        <v>219</v>
      </c>
      <c r="AD26" t="s">
        <v>46</v>
      </c>
      <c r="AE26" t="s">
        <v>183</v>
      </c>
      <c r="AF26">
        <v>1</v>
      </c>
      <c r="AK26" t="s">
        <v>389</v>
      </c>
      <c r="AL26" t="s">
        <v>218</v>
      </c>
      <c r="AM26" t="s">
        <v>169</v>
      </c>
      <c r="AN26" t="s">
        <v>398</v>
      </c>
      <c r="AO26">
        <v>1</v>
      </c>
    </row>
    <row r="27" spans="1:41" x14ac:dyDescent="0.25">
      <c r="B27" t="s">
        <v>418</v>
      </c>
      <c r="G27">
        <v>17</v>
      </c>
      <c r="M27">
        <v>17</v>
      </c>
      <c r="R27">
        <v>2</v>
      </c>
      <c r="S27" t="s">
        <v>161</v>
      </c>
      <c r="T27" t="s">
        <v>219</v>
      </c>
      <c r="U27" t="s">
        <v>999</v>
      </c>
      <c r="V27" t="s">
        <v>160</v>
      </c>
      <c r="W27">
        <v>1</v>
      </c>
      <c r="AB27" t="s">
        <v>452</v>
      </c>
      <c r="AC27" t="s">
        <v>219</v>
      </c>
      <c r="AD27" t="s">
        <v>46</v>
      </c>
      <c r="AE27" t="s">
        <v>179</v>
      </c>
      <c r="AF27">
        <v>1</v>
      </c>
      <c r="AK27" t="s">
        <v>390</v>
      </c>
      <c r="AL27" t="s">
        <v>218</v>
      </c>
      <c r="AM27" t="s">
        <v>169</v>
      </c>
      <c r="AN27" t="s">
        <v>398</v>
      </c>
      <c r="AO27">
        <v>1</v>
      </c>
    </row>
    <row r="28" spans="1:41" x14ac:dyDescent="0.25">
      <c r="B28" t="s">
        <v>410</v>
      </c>
      <c r="G28">
        <v>14</v>
      </c>
      <c r="M28">
        <v>14</v>
      </c>
      <c r="S28" t="s">
        <v>52</v>
      </c>
      <c r="T28" t="s">
        <v>219</v>
      </c>
      <c r="U28" t="s">
        <v>46</v>
      </c>
      <c r="V28" t="s">
        <v>10</v>
      </c>
      <c r="W28">
        <v>1</v>
      </c>
      <c r="AB28" t="s">
        <v>453</v>
      </c>
      <c r="AC28" t="s">
        <v>219</v>
      </c>
      <c r="AD28" t="s">
        <v>462</v>
      </c>
      <c r="AE28" t="s">
        <v>179</v>
      </c>
      <c r="AF28">
        <v>1</v>
      </c>
      <c r="AK28" t="s">
        <v>439</v>
      </c>
      <c r="AL28" t="s">
        <v>219</v>
      </c>
      <c r="AM28" t="s">
        <v>1023</v>
      </c>
      <c r="AN28" t="s">
        <v>179</v>
      </c>
      <c r="AO28">
        <v>1</v>
      </c>
    </row>
    <row r="29" spans="1:41" x14ac:dyDescent="0.25">
      <c r="B29" t="s">
        <v>416</v>
      </c>
      <c r="G29">
        <v>1</v>
      </c>
      <c r="M29">
        <v>1</v>
      </c>
      <c r="S29" t="s">
        <v>98</v>
      </c>
      <c r="T29" t="s">
        <v>219</v>
      </c>
      <c r="U29" t="s">
        <v>257</v>
      </c>
      <c r="V29" t="s">
        <v>94</v>
      </c>
      <c r="W29">
        <v>1</v>
      </c>
      <c r="AB29" t="s">
        <v>744</v>
      </c>
      <c r="AC29" t="s">
        <v>219</v>
      </c>
      <c r="AD29" t="s">
        <v>254</v>
      </c>
      <c r="AE29" t="s">
        <v>743</v>
      </c>
      <c r="AF29">
        <v>1</v>
      </c>
      <c r="AK29" t="s">
        <v>136</v>
      </c>
      <c r="AL29" t="s">
        <v>218</v>
      </c>
      <c r="AM29" t="s">
        <v>169</v>
      </c>
      <c r="AN29" t="s">
        <v>395</v>
      </c>
      <c r="AO29">
        <v>1</v>
      </c>
    </row>
    <row r="30" spans="1:41" x14ac:dyDescent="0.25">
      <c r="B30" t="s">
        <v>494</v>
      </c>
      <c r="G30">
        <v>6</v>
      </c>
      <c r="M30">
        <v>6</v>
      </c>
      <c r="S30" t="s">
        <v>749</v>
      </c>
      <c r="T30" t="s">
        <v>219</v>
      </c>
      <c r="U30" t="s">
        <v>755</v>
      </c>
      <c r="V30" t="s">
        <v>750</v>
      </c>
      <c r="W30">
        <v>1</v>
      </c>
      <c r="AB30" t="s">
        <v>503</v>
      </c>
      <c r="AC30" t="s">
        <v>218</v>
      </c>
      <c r="AD30" t="s">
        <v>1037</v>
      </c>
      <c r="AE30" t="s">
        <v>212</v>
      </c>
      <c r="AF30">
        <v>1</v>
      </c>
      <c r="AK30" t="s">
        <v>365</v>
      </c>
      <c r="AL30" t="s">
        <v>218</v>
      </c>
      <c r="AM30" t="s">
        <v>1018</v>
      </c>
      <c r="AN30" t="s">
        <v>397</v>
      </c>
      <c r="AO30">
        <v>1</v>
      </c>
    </row>
    <row r="31" spans="1:41" x14ac:dyDescent="0.25">
      <c r="B31" t="s">
        <v>810</v>
      </c>
      <c r="G31">
        <v>1</v>
      </c>
      <c r="M31">
        <v>1</v>
      </c>
      <c r="S31" t="s">
        <v>146</v>
      </c>
      <c r="T31" t="s">
        <v>219</v>
      </c>
      <c r="U31" t="s">
        <v>261</v>
      </c>
      <c r="V31" t="s">
        <v>145</v>
      </c>
      <c r="W31">
        <v>1</v>
      </c>
      <c r="AB31" t="s">
        <v>423</v>
      </c>
      <c r="AC31" t="s">
        <v>221</v>
      </c>
      <c r="AD31" t="s">
        <v>400</v>
      </c>
      <c r="AE31" t="s">
        <v>422</v>
      </c>
      <c r="AF31">
        <v>1</v>
      </c>
      <c r="AK31" t="s">
        <v>364</v>
      </c>
      <c r="AL31" t="s">
        <v>218</v>
      </c>
      <c r="AM31" t="s">
        <v>1018</v>
      </c>
      <c r="AN31" t="s">
        <v>397</v>
      </c>
      <c r="AO31">
        <v>1</v>
      </c>
    </row>
    <row r="32" spans="1:41" x14ac:dyDescent="0.25">
      <c r="B32" t="s">
        <v>570</v>
      </c>
      <c r="H32">
        <v>15</v>
      </c>
      <c r="M32">
        <v>15</v>
      </c>
      <c r="S32" t="s">
        <v>357</v>
      </c>
      <c r="T32" t="s">
        <v>218</v>
      </c>
      <c r="U32" t="s">
        <v>254</v>
      </c>
      <c r="V32" t="s">
        <v>395</v>
      </c>
      <c r="W32">
        <v>1</v>
      </c>
      <c r="AB32" t="s">
        <v>694</v>
      </c>
      <c r="AC32" t="s">
        <v>221</v>
      </c>
      <c r="AD32" t="s">
        <v>236</v>
      </c>
      <c r="AE32" t="s">
        <v>693</v>
      </c>
      <c r="AF32">
        <v>1</v>
      </c>
      <c r="AK32" t="s">
        <v>348</v>
      </c>
      <c r="AL32" t="s">
        <v>218</v>
      </c>
      <c r="AM32" t="s">
        <v>1049</v>
      </c>
      <c r="AN32" t="s">
        <v>395</v>
      </c>
      <c r="AO32">
        <v>1</v>
      </c>
    </row>
    <row r="33" spans="1:41" x14ac:dyDescent="0.25">
      <c r="B33" t="s">
        <v>686</v>
      </c>
      <c r="H33">
        <v>15</v>
      </c>
      <c r="M33">
        <v>15</v>
      </c>
      <c r="S33" t="s">
        <v>112</v>
      </c>
      <c r="T33" t="s">
        <v>219</v>
      </c>
      <c r="U33" t="s">
        <v>1005</v>
      </c>
      <c r="V33" t="s">
        <v>821</v>
      </c>
      <c r="W33">
        <v>1</v>
      </c>
      <c r="AB33" t="s">
        <v>235</v>
      </c>
      <c r="AC33" t="s">
        <v>218</v>
      </c>
      <c r="AD33" t="s">
        <v>251</v>
      </c>
      <c r="AE33" t="s">
        <v>171</v>
      </c>
      <c r="AF33">
        <v>1</v>
      </c>
      <c r="AK33" t="s">
        <v>599</v>
      </c>
      <c r="AL33" t="s">
        <v>221</v>
      </c>
      <c r="AM33" t="s">
        <v>169</v>
      </c>
      <c r="AN33" t="s">
        <v>580</v>
      </c>
      <c r="AO33">
        <v>1</v>
      </c>
    </row>
    <row r="34" spans="1:41" x14ac:dyDescent="0.25">
      <c r="B34" t="s">
        <v>417</v>
      </c>
      <c r="H34">
        <v>6</v>
      </c>
      <c r="M34">
        <v>6</v>
      </c>
      <c r="S34" t="s">
        <v>350</v>
      </c>
      <c r="T34" t="s">
        <v>218</v>
      </c>
      <c r="U34" t="s">
        <v>1008</v>
      </c>
      <c r="V34" t="s">
        <v>395</v>
      </c>
      <c r="W34">
        <v>1</v>
      </c>
      <c r="AB34" t="s">
        <v>239</v>
      </c>
      <c r="AC34" t="s">
        <v>218</v>
      </c>
      <c r="AD34" t="s">
        <v>251</v>
      </c>
      <c r="AE34" t="s">
        <v>171</v>
      </c>
      <c r="AF34">
        <v>1</v>
      </c>
      <c r="AK34" t="s">
        <v>598</v>
      </c>
      <c r="AL34" t="s">
        <v>221</v>
      </c>
      <c r="AM34" t="s">
        <v>169</v>
      </c>
      <c r="AN34" t="s">
        <v>580</v>
      </c>
      <c r="AO34">
        <v>1</v>
      </c>
    </row>
    <row r="35" spans="1:41" x14ac:dyDescent="0.25">
      <c r="B35" t="s">
        <v>419</v>
      </c>
      <c r="H35">
        <v>2</v>
      </c>
      <c r="M35">
        <v>2</v>
      </c>
      <c r="S35" t="s">
        <v>362</v>
      </c>
      <c r="T35" t="s">
        <v>218</v>
      </c>
      <c r="U35" t="s">
        <v>1012</v>
      </c>
      <c r="V35" t="s">
        <v>396</v>
      </c>
      <c r="W35">
        <v>1</v>
      </c>
      <c r="AB35" t="s">
        <v>132</v>
      </c>
      <c r="AC35" t="s">
        <v>219</v>
      </c>
      <c r="AD35" t="s">
        <v>259</v>
      </c>
      <c r="AE35" t="s">
        <v>821</v>
      </c>
      <c r="AF35">
        <v>1</v>
      </c>
      <c r="AK35" t="s">
        <v>501</v>
      </c>
      <c r="AL35" t="s">
        <v>218</v>
      </c>
      <c r="AM35" t="s">
        <v>169</v>
      </c>
      <c r="AN35" t="s">
        <v>212</v>
      </c>
      <c r="AO35">
        <v>1</v>
      </c>
    </row>
    <row r="36" spans="1:41" x14ac:dyDescent="0.25">
      <c r="B36" t="s">
        <v>515</v>
      </c>
      <c r="I36">
        <v>20</v>
      </c>
      <c r="M36">
        <v>20</v>
      </c>
      <c r="S36" t="s">
        <v>363</v>
      </c>
      <c r="T36" t="s">
        <v>218</v>
      </c>
      <c r="U36" t="s">
        <v>1013</v>
      </c>
      <c r="V36" t="s">
        <v>396</v>
      </c>
      <c r="W36">
        <v>1</v>
      </c>
      <c r="AB36" t="s">
        <v>513</v>
      </c>
      <c r="AC36" t="s">
        <v>191</v>
      </c>
      <c r="AD36" t="s">
        <v>1038</v>
      </c>
      <c r="AE36" t="s">
        <v>192</v>
      </c>
      <c r="AF36">
        <v>1</v>
      </c>
      <c r="AK36" t="s">
        <v>502</v>
      </c>
      <c r="AL36" t="s">
        <v>218</v>
      </c>
      <c r="AM36" t="s">
        <v>169</v>
      </c>
      <c r="AN36" t="s">
        <v>212</v>
      </c>
      <c r="AO36">
        <v>1</v>
      </c>
    </row>
    <row r="37" spans="1:41" x14ac:dyDescent="0.25">
      <c r="B37" t="s">
        <v>542</v>
      </c>
      <c r="J37">
        <v>15</v>
      </c>
      <c r="M37">
        <v>15</v>
      </c>
      <c r="S37" t="s">
        <v>137</v>
      </c>
      <c r="T37" t="s">
        <v>219</v>
      </c>
      <c r="U37" t="s">
        <v>261</v>
      </c>
      <c r="V37" t="s">
        <v>135</v>
      </c>
      <c r="W37">
        <v>1</v>
      </c>
      <c r="AB37" t="s">
        <v>392</v>
      </c>
      <c r="AC37" t="s">
        <v>218</v>
      </c>
      <c r="AD37" t="s">
        <v>254</v>
      </c>
      <c r="AE37" t="s">
        <v>401</v>
      </c>
      <c r="AF37">
        <v>1</v>
      </c>
      <c r="AK37" t="s">
        <v>691</v>
      </c>
      <c r="AL37" t="s">
        <v>221</v>
      </c>
      <c r="AM37" t="s">
        <v>169</v>
      </c>
      <c r="AN37" t="s">
        <v>687</v>
      </c>
      <c r="AO37">
        <v>1</v>
      </c>
    </row>
    <row r="38" spans="1:41" x14ac:dyDescent="0.25">
      <c r="B38" t="s">
        <v>461</v>
      </c>
      <c r="K38">
        <v>4</v>
      </c>
      <c r="M38">
        <v>4</v>
      </c>
      <c r="S38" t="s">
        <v>159</v>
      </c>
      <c r="T38" t="s">
        <v>219</v>
      </c>
      <c r="U38" t="s">
        <v>46</v>
      </c>
      <c r="V38" t="s">
        <v>158</v>
      </c>
      <c r="W38">
        <v>1</v>
      </c>
      <c r="AB38" t="s">
        <v>538</v>
      </c>
      <c r="AC38" t="s">
        <v>186</v>
      </c>
      <c r="AD38" t="s">
        <v>236</v>
      </c>
      <c r="AE38" t="s">
        <v>322</v>
      </c>
      <c r="AF38">
        <v>1</v>
      </c>
      <c r="AK38" t="s">
        <v>499</v>
      </c>
      <c r="AL38" t="s">
        <v>218</v>
      </c>
      <c r="AM38" t="s">
        <v>169</v>
      </c>
      <c r="AN38" t="s">
        <v>212</v>
      </c>
      <c r="AO38">
        <v>1</v>
      </c>
    </row>
    <row r="39" spans="1:41" x14ac:dyDescent="0.25">
      <c r="B39" t="s">
        <v>328</v>
      </c>
      <c r="H39">
        <v>1</v>
      </c>
      <c r="L39">
        <v>21</v>
      </c>
      <c r="M39">
        <v>22</v>
      </c>
      <c r="S39" t="s">
        <v>126</v>
      </c>
      <c r="T39" t="s">
        <v>219</v>
      </c>
      <c r="U39" t="s">
        <v>46</v>
      </c>
      <c r="V39" t="s">
        <v>821</v>
      </c>
      <c r="W39">
        <v>1</v>
      </c>
      <c r="AB39" t="s">
        <v>752</v>
      </c>
      <c r="AC39" t="s">
        <v>219</v>
      </c>
      <c r="AD39" t="s">
        <v>259</v>
      </c>
      <c r="AE39" t="s">
        <v>751</v>
      </c>
      <c r="AF39">
        <v>1</v>
      </c>
      <c r="AK39" t="s">
        <v>500</v>
      </c>
      <c r="AL39" t="s">
        <v>218</v>
      </c>
      <c r="AM39" t="s">
        <v>169</v>
      </c>
      <c r="AN39" t="s">
        <v>212</v>
      </c>
      <c r="AO39">
        <v>1</v>
      </c>
    </row>
    <row r="40" spans="1:41" x14ac:dyDescent="0.25">
      <c r="B40" t="s">
        <v>742</v>
      </c>
      <c r="L40">
        <v>3</v>
      </c>
      <c r="M40">
        <v>3</v>
      </c>
      <c r="S40" t="s">
        <v>131</v>
      </c>
      <c r="T40" t="s">
        <v>219</v>
      </c>
      <c r="U40" t="s">
        <v>46</v>
      </c>
      <c r="V40" t="s">
        <v>821</v>
      </c>
      <c r="W40">
        <v>1</v>
      </c>
      <c r="AB40" t="s">
        <v>555</v>
      </c>
      <c r="AC40" t="s">
        <v>193</v>
      </c>
      <c r="AD40" t="s">
        <v>46</v>
      </c>
      <c r="AE40" t="s">
        <v>196</v>
      </c>
      <c r="AF40">
        <v>1</v>
      </c>
      <c r="AK40" t="s">
        <v>444</v>
      </c>
      <c r="AL40" t="s">
        <v>219</v>
      </c>
      <c r="AM40" t="s">
        <v>169</v>
      </c>
      <c r="AN40" t="s">
        <v>179</v>
      </c>
      <c r="AO40">
        <v>1</v>
      </c>
    </row>
    <row r="41" spans="1:41" x14ac:dyDescent="0.25">
      <c r="B41" t="s">
        <v>435</v>
      </c>
      <c r="L41">
        <v>38</v>
      </c>
      <c r="M41">
        <v>38</v>
      </c>
      <c r="S41" t="s">
        <v>151</v>
      </c>
      <c r="T41" t="s">
        <v>219</v>
      </c>
      <c r="U41" t="s">
        <v>46</v>
      </c>
      <c r="V41" t="s">
        <v>145</v>
      </c>
      <c r="W41">
        <v>1</v>
      </c>
      <c r="AB41" t="s">
        <v>495</v>
      </c>
      <c r="AC41" t="s">
        <v>218</v>
      </c>
      <c r="AD41" t="s">
        <v>1035</v>
      </c>
      <c r="AE41" t="s">
        <v>212</v>
      </c>
      <c r="AF41">
        <v>1</v>
      </c>
      <c r="AK41" t="s">
        <v>543</v>
      </c>
      <c r="AL41" t="s">
        <v>193</v>
      </c>
      <c r="AM41" t="s">
        <v>169</v>
      </c>
      <c r="AN41" t="s">
        <v>194</v>
      </c>
      <c r="AO41">
        <v>1</v>
      </c>
    </row>
    <row r="42" spans="1:41" x14ac:dyDescent="0.25">
      <c r="A42" s="66" t="s">
        <v>851</v>
      </c>
      <c r="B42" s="66"/>
      <c r="C42" s="66">
        <v>2</v>
      </c>
      <c r="D42" s="66">
        <v>1</v>
      </c>
      <c r="E42" s="66">
        <v>2</v>
      </c>
      <c r="F42" s="66">
        <v>2</v>
      </c>
      <c r="G42" s="66">
        <v>41</v>
      </c>
      <c r="H42" s="66">
        <v>39</v>
      </c>
      <c r="I42" s="66">
        <v>20</v>
      </c>
      <c r="J42" s="66">
        <v>15</v>
      </c>
      <c r="K42" s="66">
        <v>4</v>
      </c>
      <c r="L42" s="66">
        <v>62</v>
      </c>
      <c r="M42" s="66">
        <v>188</v>
      </c>
      <c r="S42" t="s">
        <v>358</v>
      </c>
      <c r="T42" t="s">
        <v>218</v>
      </c>
      <c r="U42" t="s">
        <v>1011</v>
      </c>
      <c r="V42" t="s">
        <v>395</v>
      </c>
      <c r="W42">
        <v>1</v>
      </c>
      <c r="AB42" t="s">
        <v>576</v>
      </c>
      <c r="AC42" t="s">
        <v>221</v>
      </c>
      <c r="AD42" t="s">
        <v>1047</v>
      </c>
      <c r="AE42" t="s">
        <v>575</v>
      </c>
      <c r="AF42">
        <v>1</v>
      </c>
      <c r="AK42" t="s">
        <v>471</v>
      </c>
      <c r="AL42" t="s">
        <v>219</v>
      </c>
      <c r="AM42" t="s">
        <v>1030</v>
      </c>
      <c r="AN42" t="s">
        <v>181</v>
      </c>
      <c r="AO42">
        <v>1</v>
      </c>
    </row>
    <row r="43" spans="1:41" x14ac:dyDescent="0.25">
      <c r="A43">
        <v>0</v>
      </c>
      <c r="B43" t="s">
        <v>418</v>
      </c>
      <c r="G43">
        <v>23</v>
      </c>
      <c r="M43">
        <v>23</v>
      </c>
      <c r="S43" t="s">
        <v>349</v>
      </c>
      <c r="T43" t="s">
        <v>218</v>
      </c>
      <c r="U43" t="s">
        <v>1007</v>
      </c>
      <c r="V43" t="s">
        <v>395</v>
      </c>
      <c r="W43">
        <v>1</v>
      </c>
      <c r="AB43" t="s">
        <v>736</v>
      </c>
      <c r="AC43" t="s">
        <v>221</v>
      </c>
      <c r="AD43" t="s">
        <v>46</v>
      </c>
      <c r="AE43" t="s">
        <v>201</v>
      </c>
      <c r="AF43">
        <v>1</v>
      </c>
      <c r="AK43" t="s">
        <v>449</v>
      </c>
      <c r="AL43" t="s">
        <v>219</v>
      </c>
      <c r="AM43" t="s">
        <v>169</v>
      </c>
      <c r="AN43" t="s">
        <v>179</v>
      </c>
      <c r="AO43">
        <v>1</v>
      </c>
    </row>
    <row r="44" spans="1:41" x14ac:dyDescent="0.25">
      <c r="B44" t="s">
        <v>494</v>
      </c>
      <c r="G44">
        <v>4</v>
      </c>
      <c r="M44">
        <v>4</v>
      </c>
      <c r="S44" t="s">
        <v>215</v>
      </c>
      <c r="T44" t="s">
        <v>219</v>
      </c>
      <c r="U44" t="s">
        <v>1000</v>
      </c>
      <c r="V44" t="s">
        <v>135</v>
      </c>
      <c r="W44">
        <v>1</v>
      </c>
      <c r="AB44" t="s">
        <v>184</v>
      </c>
      <c r="AC44" t="s">
        <v>218</v>
      </c>
      <c r="AD44" t="s">
        <v>251</v>
      </c>
      <c r="AE44" t="s">
        <v>171</v>
      </c>
      <c r="AF44">
        <v>1</v>
      </c>
      <c r="AK44" t="s">
        <v>219</v>
      </c>
      <c r="AL44" t="s">
        <v>219</v>
      </c>
      <c r="AM44" t="s">
        <v>251</v>
      </c>
      <c r="AN44" t="s">
        <v>171</v>
      </c>
      <c r="AO44">
        <v>1</v>
      </c>
    </row>
    <row r="45" spans="1:41" x14ac:dyDescent="0.25">
      <c r="B45" t="s">
        <v>570</v>
      </c>
      <c r="H45">
        <v>3</v>
      </c>
      <c r="M45">
        <v>3</v>
      </c>
      <c r="S45" t="s">
        <v>148</v>
      </c>
      <c r="T45" t="s">
        <v>219</v>
      </c>
      <c r="U45" t="s">
        <v>46</v>
      </c>
      <c r="V45" t="s">
        <v>145</v>
      </c>
      <c r="W45">
        <v>1</v>
      </c>
      <c r="AB45" t="s">
        <v>351</v>
      </c>
      <c r="AC45" t="s">
        <v>218</v>
      </c>
      <c r="AD45" t="s">
        <v>46</v>
      </c>
      <c r="AE45" t="s">
        <v>395</v>
      </c>
      <c r="AF45">
        <v>1</v>
      </c>
      <c r="AK45" t="s">
        <v>413</v>
      </c>
      <c r="AL45" t="s">
        <v>219</v>
      </c>
      <c r="AM45" t="s">
        <v>169</v>
      </c>
      <c r="AN45" t="s">
        <v>174</v>
      </c>
      <c r="AO45">
        <v>1</v>
      </c>
    </row>
    <row r="46" spans="1:41" x14ac:dyDescent="0.25">
      <c r="B46" t="s">
        <v>686</v>
      </c>
      <c r="H46">
        <v>2</v>
      </c>
      <c r="M46">
        <v>2</v>
      </c>
      <c r="S46" t="s">
        <v>147</v>
      </c>
      <c r="T46" t="s">
        <v>219</v>
      </c>
      <c r="U46" t="s">
        <v>46</v>
      </c>
      <c r="V46" t="s">
        <v>145</v>
      </c>
      <c r="W46">
        <v>1</v>
      </c>
      <c r="AB46" t="s">
        <v>443</v>
      </c>
      <c r="AC46" t="s">
        <v>219</v>
      </c>
      <c r="AD46" t="s">
        <v>1024</v>
      </c>
      <c r="AE46" t="s">
        <v>179</v>
      </c>
      <c r="AF46">
        <v>1</v>
      </c>
      <c r="AK46" t="s">
        <v>412</v>
      </c>
      <c r="AL46" t="s">
        <v>219</v>
      </c>
      <c r="AM46" t="s">
        <v>169</v>
      </c>
      <c r="AN46" t="s">
        <v>174</v>
      </c>
      <c r="AO46">
        <v>1</v>
      </c>
    </row>
    <row r="47" spans="1:41" x14ac:dyDescent="0.25">
      <c r="B47" t="s">
        <v>417</v>
      </c>
      <c r="H47">
        <v>7</v>
      </c>
      <c r="M47">
        <v>7</v>
      </c>
      <c r="S47" t="s">
        <v>150</v>
      </c>
      <c r="T47" t="s">
        <v>219</v>
      </c>
      <c r="U47" t="s">
        <v>46</v>
      </c>
      <c r="V47" t="s">
        <v>145</v>
      </c>
      <c r="W47">
        <v>1</v>
      </c>
      <c r="AB47" t="s">
        <v>564</v>
      </c>
      <c r="AC47" t="s">
        <v>199</v>
      </c>
      <c r="AD47" t="s">
        <v>46</v>
      </c>
      <c r="AE47" t="s">
        <v>200</v>
      </c>
      <c r="AF47">
        <v>1</v>
      </c>
      <c r="AK47" t="s">
        <v>411</v>
      </c>
      <c r="AL47" t="s">
        <v>219</v>
      </c>
      <c r="AM47" t="s">
        <v>169</v>
      </c>
      <c r="AN47" t="s">
        <v>174</v>
      </c>
      <c r="AO47">
        <v>1</v>
      </c>
    </row>
    <row r="48" spans="1:41" x14ac:dyDescent="0.25">
      <c r="B48" t="s">
        <v>542</v>
      </c>
      <c r="J48">
        <v>4</v>
      </c>
      <c r="M48">
        <v>4</v>
      </c>
      <c r="S48" t="s">
        <v>149</v>
      </c>
      <c r="T48" t="s">
        <v>219</v>
      </c>
      <c r="U48" t="s">
        <v>46</v>
      </c>
      <c r="V48" t="s">
        <v>145</v>
      </c>
      <c r="W48">
        <v>1</v>
      </c>
      <c r="AB48" t="s">
        <v>476</v>
      </c>
      <c r="AC48" t="s">
        <v>219</v>
      </c>
      <c r="AD48" t="s">
        <v>46</v>
      </c>
      <c r="AE48" t="s">
        <v>197</v>
      </c>
      <c r="AF48">
        <v>1</v>
      </c>
      <c r="AK48" t="s">
        <v>473</v>
      </c>
      <c r="AL48" t="s">
        <v>219</v>
      </c>
      <c r="AM48" t="s">
        <v>1033</v>
      </c>
      <c r="AN48" t="s">
        <v>181</v>
      </c>
      <c r="AO48">
        <v>1</v>
      </c>
    </row>
    <row r="49" spans="1:41" x14ac:dyDescent="0.25">
      <c r="B49" t="s">
        <v>328</v>
      </c>
      <c r="L49">
        <v>6</v>
      </c>
      <c r="M49">
        <v>6</v>
      </c>
      <c r="S49" t="s">
        <v>129</v>
      </c>
      <c r="T49" t="s">
        <v>219</v>
      </c>
      <c r="U49" t="s">
        <v>1006</v>
      </c>
      <c r="V49" t="s">
        <v>821</v>
      </c>
      <c r="W49">
        <v>1</v>
      </c>
      <c r="AB49" t="s">
        <v>376</v>
      </c>
      <c r="AC49" t="s">
        <v>218</v>
      </c>
      <c r="AD49" t="s">
        <v>407</v>
      </c>
      <c r="AE49" t="s">
        <v>195</v>
      </c>
      <c r="AF49">
        <v>1</v>
      </c>
      <c r="AK49" t="s">
        <v>474</v>
      </c>
      <c r="AL49" t="s">
        <v>219</v>
      </c>
      <c r="AM49" t="s">
        <v>1033</v>
      </c>
      <c r="AN49" t="s">
        <v>181</v>
      </c>
      <c r="AO49">
        <v>1</v>
      </c>
    </row>
    <row r="50" spans="1:41" x14ac:dyDescent="0.25">
      <c r="B50" t="s">
        <v>435</v>
      </c>
      <c r="G50">
        <v>1</v>
      </c>
      <c r="L50">
        <v>12</v>
      </c>
      <c r="M50">
        <v>13</v>
      </c>
      <c r="S50" t="s">
        <v>15</v>
      </c>
      <c r="T50" t="s">
        <v>219</v>
      </c>
      <c r="U50" t="s">
        <v>255</v>
      </c>
      <c r="V50" t="s">
        <v>10</v>
      </c>
      <c r="W50">
        <v>1</v>
      </c>
      <c r="AB50" t="s">
        <v>399</v>
      </c>
      <c r="AC50" t="s">
        <v>218</v>
      </c>
      <c r="AD50" t="s">
        <v>400</v>
      </c>
      <c r="AE50" t="s">
        <v>398</v>
      </c>
      <c r="AF50">
        <v>1</v>
      </c>
      <c r="AK50" t="s">
        <v>369</v>
      </c>
      <c r="AL50" t="s">
        <v>218</v>
      </c>
      <c r="AM50" t="s">
        <v>1020</v>
      </c>
      <c r="AN50" t="s">
        <v>397</v>
      </c>
      <c r="AO50">
        <v>1</v>
      </c>
    </row>
    <row r="51" spans="1:41" x14ac:dyDescent="0.25">
      <c r="B51" t="s">
        <v>431</v>
      </c>
      <c r="G51">
        <v>1</v>
      </c>
      <c r="M51">
        <v>1</v>
      </c>
      <c r="S51" t="s">
        <v>95</v>
      </c>
      <c r="T51" t="s">
        <v>219</v>
      </c>
      <c r="U51" t="s">
        <v>256</v>
      </c>
      <c r="V51" t="s">
        <v>94</v>
      </c>
      <c r="W51">
        <v>1</v>
      </c>
      <c r="AB51" t="s">
        <v>516</v>
      </c>
      <c r="AC51" t="s">
        <v>186</v>
      </c>
      <c r="AD51" t="s">
        <v>46</v>
      </c>
      <c r="AE51" t="s">
        <v>187</v>
      </c>
      <c r="AF51">
        <v>1</v>
      </c>
      <c r="AK51" t="s">
        <v>368</v>
      </c>
      <c r="AL51" t="s">
        <v>218</v>
      </c>
      <c r="AM51" t="s">
        <v>1020</v>
      </c>
      <c r="AN51" t="s">
        <v>397</v>
      </c>
      <c r="AO51">
        <v>1</v>
      </c>
    </row>
    <row r="52" spans="1:41" x14ac:dyDescent="0.25">
      <c r="A52" s="66" t="s">
        <v>852</v>
      </c>
      <c r="B52" s="66"/>
      <c r="C52" s="66"/>
      <c r="D52" s="66"/>
      <c r="E52" s="66"/>
      <c r="F52" s="66"/>
      <c r="G52" s="66">
        <v>29</v>
      </c>
      <c r="H52" s="66">
        <v>12</v>
      </c>
      <c r="I52" s="66"/>
      <c r="J52" s="66">
        <v>4</v>
      </c>
      <c r="K52" s="66"/>
      <c r="L52" s="66">
        <v>18</v>
      </c>
      <c r="M52" s="66">
        <v>63</v>
      </c>
      <c r="S52" t="s">
        <v>96</v>
      </c>
      <c r="T52" t="s">
        <v>219</v>
      </c>
      <c r="U52" t="s">
        <v>257</v>
      </c>
      <c r="V52" t="s">
        <v>94</v>
      </c>
      <c r="W52">
        <v>1</v>
      </c>
      <c r="AB52" t="s">
        <v>481</v>
      </c>
      <c r="AC52" t="s">
        <v>219</v>
      </c>
      <c r="AD52" t="s">
        <v>46</v>
      </c>
      <c r="AE52" t="s">
        <v>871</v>
      </c>
      <c r="AF52">
        <v>1</v>
      </c>
      <c r="AK52" t="s">
        <v>375</v>
      </c>
      <c r="AL52" t="s">
        <v>218</v>
      </c>
      <c r="AM52" t="s">
        <v>1017</v>
      </c>
      <c r="AN52" t="s">
        <v>397</v>
      </c>
      <c r="AO52">
        <v>1</v>
      </c>
    </row>
    <row r="53" spans="1:41" x14ac:dyDescent="0.25">
      <c r="A53" t="s">
        <v>238</v>
      </c>
      <c r="C53">
        <v>2</v>
      </c>
      <c r="D53">
        <v>1</v>
      </c>
      <c r="E53">
        <v>2</v>
      </c>
      <c r="F53">
        <v>2</v>
      </c>
      <c r="G53">
        <v>85</v>
      </c>
      <c r="H53">
        <v>51</v>
      </c>
      <c r="I53">
        <v>24</v>
      </c>
      <c r="J53">
        <v>19</v>
      </c>
      <c r="K53">
        <v>4</v>
      </c>
      <c r="L53">
        <v>117</v>
      </c>
      <c r="M53">
        <v>307</v>
      </c>
      <c r="S53" t="s">
        <v>475</v>
      </c>
      <c r="T53" t="s">
        <v>218</v>
      </c>
      <c r="U53" t="s">
        <v>1014</v>
      </c>
      <c r="V53" t="s">
        <v>396</v>
      </c>
      <c r="W53">
        <v>1</v>
      </c>
      <c r="AB53" t="s">
        <v>386</v>
      </c>
      <c r="AC53" t="s">
        <v>218</v>
      </c>
      <c r="AD53" t="s">
        <v>46</v>
      </c>
      <c r="AE53" t="s">
        <v>195</v>
      </c>
      <c r="AF53">
        <v>1</v>
      </c>
      <c r="AK53" t="s">
        <v>393</v>
      </c>
      <c r="AL53" t="s">
        <v>218</v>
      </c>
      <c r="AM53" t="s">
        <v>169</v>
      </c>
      <c r="AN53" t="s">
        <v>401</v>
      </c>
      <c r="AO53">
        <v>1</v>
      </c>
    </row>
    <row r="54" spans="1:41" x14ac:dyDescent="0.25">
      <c r="S54" t="s">
        <v>391</v>
      </c>
      <c r="T54" t="s">
        <v>218</v>
      </c>
      <c r="U54" t="s">
        <v>46</v>
      </c>
      <c r="V54" t="s">
        <v>398</v>
      </c>
      <c r="W54">
        <v>1</v>
      </c>
      <c r="AB54" t="s">
        <v>482</v>
      </c>
      <c r="AC54" t="s">
        <v>219</v>
      </c>
      <c r="AD54" t="s">
        <v>254</v>
      </c>
      <c r="AE54" t="s">
        <v>871</v>
      </c>
      <c r="AF54">
        <v>1</v>
      </c>
      <c r="AK54" t="s">
        <v>373</v>
      </c>
      <c r="AL54" t="s">
        <v>218</v>
      </c>
      <c r="AM54" t="s">
        <v>1016</v>
      </c>
      <c r="AN54" t="s">
        <v>397</v>
      </c>
      <c r="AO54">
        <v>1</v>
      </c>
    </row>
    <row r="55" spans="1:41" x14ac:dyDescent="0.25">
      <c r="S55" t="s">
        <v>246</v>
      </c>
      <c r="T55" t="s">
        <v>218</v>
      </c>
      <c r="U55" t="s">
        <v>259</v>
      </c>
      <c r="V55" t="s">
        <v>10</v>
      </c>
      <c r="W55">
        <v>1</v>
      </c>
      <c r="AB55" t="s">
        <v>342</v>
      </c>
      <c r="AC55" t="s">
        <v>221</v>
      </c>
      <c r="AD55" t="s">
        <v>46</v>
      </c>
      <c r="AE55" t="s">
        <v>321</v>
      </c>
      <c r="AF55">
        <v>1</v>
      </c>
      <c r="AK55" t="s">
        <v>345</v>
      </c>
      <c r="AL55" t="s">
        <v>221</v>
      </c>
      <c r="AM55" t="s">
        <v>169</v>
      </c>
      <c r="AN55" t="s">
        <v>321</v>
      </c>
      <c r="AO55">
        <v>1</v>
      </c>
    </row>
    <row r="56" spans="1:41" x14ac:dyDescent="0.25">
      <c r="S56" t="s">
        <v>468</v>
      </c>
      <c r="T56" t="s">
        <v>219</v>
      </c>
      <c r="U56" t="s">
        <v>1029</v>
      </c>
      <c r="V56" t="s">
        <v>180</v>
      </c>
      <c r="W56">
        <v>1</v>
      </c>
      <c r="AB56" t="s">
        <v>545</v>
      </c>
      <c r="AC56" t="s">
        <v>193</v>
      </c>
      <c r="AD56" t="s">
        <v>1043</v>
      </c>
      <c r="AE56" t="s">
        <v>194</v>
      </c>
      <c r="AF56">
        <v>1</v>
      </c>
      <c r="AK56" t="s">
        <v>341</v>
      </c>
      <c r="AL56" t="s">
        <v>221</v>
      </c>
      <c r="AM56" t="s">
        <v>169</v>
      </c>
      <c r="AN56" t="s">
        <v>321</v>
      </c>
      <c r="AO56">
        <v>1</v>
      </c>
    </row>
    <row r="57" spans="1:41" x14ac:dyDescent="0.25">
      <c r="S57" t="s">
        <v>353</v>
      </c>
      <c r="T57" t="s">
        <v>218</v>
      </c>
      <c r="U57" t="s">
        <v>1010</v>
      </c>
      <c r="V57" t="s">
        <v>395</v>
      </c>
      <c r="W57">
        <v>1</v>
      </c>
      <c r="AB57" t="s">
        <v>382</v>
      </c>
      <c r="AC57" t="s">
        <v>218</v>
      </c>
      <c r="AD57" t="s">
        <v>46</v>
      </c>
      <c r="AE57" t="s">
        <v>195</v>
      </c>
      <c r="AF57">
        <v>1</v>
      </c>
      <c r="AK57" t="s">
        <v>157</v>
      </c>
      <c r="AL57" t="s">
        <v>219</v>
      </c>
      <c r="AM57" t="s">
        <v>169</v>
      </c>
      <c r="AN57" t="s">
        <v>152</v>
      </c>
      <c r="AO57">
        <v>1</v>
      </c>
    </row>
    <row r="58" spans="1:41" x14ac:dyDescent="0.25">
      <c r="S58" t="s">
        <v>506</v>
      </c>
      <c r="T58" t="s">
        <v>218</v>
      </c>
      <c r="U58" t="s">
        <v>1040</v>
      </c>
      <c r="V58" t="s">
        <v>198</v>
      </c>
      <c r="W58">
        <v>1</v>
      </c>
      <c r="AB58" t="s">
        <v>356</v>
      </c>
      <c r="AC58" t="s">
        <v>218</v>
      </c>
      <c r="AD58" t="s">
        <v>46</v>
      </c>
      <c r="AE58" t="s">
        <v>395</v>
      </c>
      <c r="AF58">
        <v>1</v>
      </c>
      <c r="AK58" t="s">
        <v>383</v>
      </c>
      <c r="AL58" t="s">
        <v>218</v>
      </c>
      <c r="AM58" t="s">
        <v>169</v>
      </c>
      <c r="AN58" t="s">
        <v>195</v>
      </c>
      <c r="AO58">
        <v>1</v>
      </c>
    </row>
    <row r="59" spans="1:41" x14ac:dyDescent="0.25">
      <c r="S59" t="s">
        <v>247</v>
      </c>
      <c r="T59" t="s">
        <v>218</v>
      </c>
      <c r="U59" t="s">
        <v>259</v>
      </c>
      <c r="V59" t="s">
        <v>10</v>
      </c>
      <c r="W59">
        <v>1</v>
      </c>
      <c r="AB59" t="s">
        <v>360</v>
      </c>
      <c r="AC59" t="s">
        <v>218</v>
      </c>
      <c r="AD59" t="s">
        <v>405</v>
      </c>
      <c r="AE59" t="s">
        <v>395</v>
      </c>
      <c r="AF59">
        <v>1</v>
      </c>
      <c r="AK59" t="s">
        <v>156</v>
      </c>
      <c r="AL59" t="s">
        <v>221</v>
      </c>
      <c r="AM59" t="s">
        <v>169</v>
      </c>
      <c r="AN59" t="s">
        <v>321</v>
      </c>
      <c r="AO59">
        <v>1</v>
      </c>
    </row>
    <row r="60" spans="1:41" x14ac:dyDescent="0.25">
      <c r="S60" t="s">
        <v>818</v>
      </c>
      <c r="T60" t="s">
        <v>219</v>
      </c>
      <c r="U60" t="s">
        <v>46</v>
      </c>
      <c r="V60" t="s">
        <v>10</v>
      </c>
      <c r="W60">
        <v>1</v>
      </c>
      <c r="AB60" t="s">
        <v>115</v>
      </c>
      <c r="AC60" t="s">
        <v>219</v>
      </c>
      <c r="AD60" t="s">
        <v>259</v>
      </c>
      <c r="AE60" t="s">
        <v>821</v>
      </c>
      <c r="AF60">
        <v>1</v>
      </c>
      <c r="AK60" t="s">
        <v>414</v>
      </c>
      <c r="AL60" t="s">
        <v>219</v>
      </c>
      <c r="AM60" t="s">
        <v>169</v>
      </c>
      <c r="AN60" t="s">
        <v>174</v>
      </c>
      <c r="AO60">
        <v>1</v>
      </c>
    </row>
    <row r="61" spans="1:41" x14ac:dyDescent="0.25">
      <c r="S61" t="s">
        <v>917</v>
      </c>
      <c r="T61" t="s">
        <v>219</v>
      </c>
      <c r="U61" t="s">
        <v>259</v>
      </c>
      <c r="V61" t="s">
        <v>397</v>
      </c>
      <c r="W61">
        <v>1</v>
      </c>
      <c r="AB61" t="s">
        <v>505</v>
      </c>
      <c r="AC61" t="s">
        <v>218</v>
      </c>
      <c r="AD61" t="s">
        <v>259</v>
      </c>
      <c r="AE61" t="s">
        <v>198</v>
      </c>
      <c r="AF61">
        <v>1</v>
      </c>
      <c r="AK61" t="s">
        <v>384</v>
      </c>
      <c r="AL61" t="s">
        <v>218</v>
      </c>
      <c r="AM61" t="s">
        <v>169</v>
      </c>
      <c r="AN61" t="s">
        <v>195</v>
      </c>
      <c r="AO61">
        <v>1</v>
      </c>
    </row>
    <row r="62" spans="1:41" x14ac:dyDescent="0.25">
      <c r="S62" t="s">
        <v>954</v>
      </c>
      <c r="T62" t="s">
        <v>219</v>
      </c>
      <c r="U62" t="s">
        <v>462</v>
      </c>
      <c r="V62" t="s">
        <v>179</v>
      </c>
      <c r="W62">
        <v>1</v>
      </c>
      <c r="AB62" t="s">
        <v>244</v>
      </c>
      <c r="AC62" t="s">
        <v>219</v>
      </c>
      <c r="AD62" t="s">
        <v>259</v>
      </c>
      <c r="AE62" t="s">
        <v>10</v>
      </c>
      <c r="AF62">
        <v>1</v>
      </c>
      <c r="AK62" t="s">
        <v>385</v>
      </c>
      <c r="AL62" t="s">
        <v>218</v>
      </c>
      <c r="AM62" t="s">
        <v>169</v>
      </c>
      <c r="AN62" t="s">
        <v>195</v>
      </c>
      <c r="AO62">
        <v>1</v>
      </c>
    </row>
    <row r="63" spans="1:41" x14ac:dyDescent="0.25">
      <c r="S63" t="s">
        <v>960</v>
      </c>
      <c r="T63" t="s">
        <v>219</v>
      </c>
      <c r="U63" t="s">
        <v>1028</v>
      </c>
      <c r="V63" t="s">
        <v>179</v>
      </c>
      <c r="W63">
        <v>1</v>
      </c>
      <c r="AB63" t="s">
        <v>451</v>
      </c>
      <c r="AC63" t="s">
        <v>219</v>
      </c>
      <c r="AD63" t="s">
        <v>259</v>
      </c>
      <c r="AE63" t="s">
        <v>179</v>
      </c>
      <c r="AF63">
        <v>1</v>
      </c>
      <c r="AK63" t="s">
        <v>387</v>
      </c>
      <c r="AL63" t="s">
        <v>218</v>
      </c>
      <c r="AM63" t="s">
        <v>169</v>
      </c>
      <c r="AN63" t="s">
        <v>195</v>
      </c>
      <c r="AO63">
        <v>1</v>
      </c>
    </row>
    <row r="64" spans="1:41" x14ac:dyDescent="0.25">
      <c r="R64" t="s">
        <v>238</v>
      </c>
      <c r="W64">
        <v>56</v>
      </c>
      <c r="AB64" t="s">
        <v>125</v>
      </c>
      <c r="AC64" t="s">
        <v>219</v>
      </c>
      <c r="AD64" t="s">
        <v>259</v>
      </c>
      <c r="AE64" t="s">
        <v>821</v>
      </c>
      <c r="AF64">
        <v>1</v>
      </c>
      <c r="AK64" t="s">
        <v>213</v>
      </c>
      <c r="AL64" t="s">
        <v>218</v>
      </c>
      <c r="AM64" t="s">
        <v>169</v>
      </c>
      <c r="AN64" t="s">
        <v>170</v>
      </c>
      <c r="AO64">
        <v>1</v>
      </c>
    </row>
    <row r="65" spans="28:41" x14ac:dyDescent="0.25">
      <c r="AB65" t="s">
        <v>245</v>
      </c>
      <c r="AC65" t="s">
        <v>219</v>
      </c>
      <c r="AD65" t="s">
        <v>259</v>
      </c>
      <c r="AE65" t="s">
        <v>10</v>
      </c>
      <c r="AF65">
        <v>1</v>
      </c>
      <c r="AK65" t="s">
        <v>785</v>
      </c>
      <c r="AL65" t="s">
        <v>218</v>
      </c>
      <c r="AM65" t="s">
        <v>169</v>
      </c>
      <c r="AN65" t="s">
        <v>398</v>
      </c>
      <c r="AO65">
        <v>1</v>
      </c>
    </row>
    <row r="66" spans="28:41" x14ac:dyDescent="0.25">
      <c r="AB66" t="s">
        <v>124</v>
      </c>
      <c r="AC66" t="s">
        <v>219</v>
      </c>
      <c r="AD66" t="s">
        <v>259</v>
      </c>
      <c r="AE66" t="s">
        <v>821</v>
      </c>
      <c r="AF66">
        <v>1</v>
      </c>
      <c r="AK66" t="s">
        <v>790</v>
      </c>
      <c r="AL66" t="s">
        <v>221</v>
      </c>
      <c r="AM66" t="s">
        <v>169</v>
      </c>
      <c r="AN66" t="s">
        <v>580</v>
      </c>
      <c r="AO66">
        <v>1</v>
      </c>
    </row>
    <row r="67" spans="28:41" x14ac:dyDescent="0.25">
      <c r="AB67" t="s">
        <v>361</v>
      </c>
      <c r="AC67" t="s">
        <v>218</v>
      </c>
      <c r="AD67" t="s">
        <v>406</v>
      </c>
      <c r="AE67" t="s">
        <v>395</v>
      </c>
      <c r="AF67">
        <v>1</v>
      </c>
      <c r="AK67" t="s">
        <v>830</v>
      </c>
      <c r="AL67" t="s">
        <v>221</v>
      </c>
      <c r="AM67" t="s">
        <v>169</v>
      </c>
      <c r="AN67" t="s">
        <v>321</v>
      </c>
      <c r="AO67">
        <v>1</v>
      </c>
    </row>
    <row r="68" spans="28:41" x14ac:dyDescent="0.25">
      <c r="AB68" t="s">
        <v>380</v>
      </c>
      <c r="AC68" t="s">
        <v>218</v>
      </c>
      <c r="AD68" t="s">
        <v>46</v>
      </c>
      <c r="AE68" t="s">
        <v>195</v>
      </c>
      <c r="AF68">
        <v>1</v>
      </c>
      <c r="AK68" t="s">
        <v>832</v>
      </c>
      <c r="AL68" t="s">
        <v>218</v>
      </c>
      <c r="AM68" t="s">
        <v>169</v>
      </c>
      <c r="AN68" t="s">
        <v>871</v>
      </c>
      <c r="AO68">
        <v>1</v>
      </c>
    </row>
    <row r="69" spans="28:41" x14ac:dyDescent="0.25">
      <c r="AB69" t="s">
        <v>218</v>
      </c>
      <c r="AC69" t="s">
        <v>219</v>
      </c>
      <c r="AD69" t="s">
        <v>251</v>
      </c>
      <c r="AE69" t="s">
        <v>171</v>
      </c>
      <c r="AF69">
        <v>1</v>
      </c>
      <c r="AK69" t="s">
        <v>853</v>
      </c>
      <c r="AL69" t="s">
        <v>221</v>
      </c>
      <c r="AM69" t="s">
        <v>236</v>
      </c>
      <c r="AN69" t="s">
        <v>737</v>
      </c>
      <c r="AO69">
        <v>1</v>
      </c>
    </row>
    <row r="70" spans="28:41" x14ac:dyDescent="0.25">
      <c r="AB70" t="s">
        <v>681</v>
      </c>
      <c r="AC70" t="s">
        <v>221</v>
      </c>
      <c r="AD70" t="s">
        <v>236</v>
      </c>
      <c r="AE70" t="s">
        <v>677</v>
      </c>
      <c r="AF70">
        <v>1</v>
      </c>
      <c r="AK70" t="s">
        <v>991</v>
      </c>
      <c r="AL70" t="s">
        <v>218</v>
      </c>
      <c r="AM70" t="s">
        <v>1019</v>
      </c>
      <c r="AN70" t="s">
        <v>397</v>
      </c>
      <c r="AO70">
        <v>1</v>
      </c>
    </row>
    <row r="71" spans="28:41" x14ac:dyDescent="0.25">
      <c r="AB71" t="s">
        <v>479</v>
      </c>
      <c r="AC71" t="s">
        <v>219</v>
      </c>
      <c r="AD71" t="s">
        <v>46</v>
      </c>
      <c r="AE71" t="s">
        <v>871</v>
      </c>
      <c r="AF71">
        <v>1</v>
      </c>
      <c r="AJ71" t="s">
        <v>238</v>
      </c>
      <c r="AO71">
        <v>63</v>
      </c>
    </row>
    <row r="72" spans="28:41" x14ac:dyDescent="0.25">
      <c r="AB72" t="s">
        <v>424</v>
      </c>
      <c r="AC72" t="s">
        <v>221</v>
      </c>
      <c r="AD72" t="s">
        <v>425</v>
      </c>
      <c r="AE72" t="s">
        <v>422</v>
      </c>
      <c r="AF72">
        <v>1</v>
      </c>
    </row>
    <row r="73" spans="28:41" x14ac:dyDescent="0.25">
      <c r="AB73" t="s">
        <v>221</v>
      </c>
      <c r="AC73" t="s">
        <v>218</v>
      </c>
      <c r="AD73" t="s">
        <v>251</v>
      </c>
      <c r="AE73" t="s">
        <v>171</v>
      </c>
      <c r="AF73">
        <v>1</v>
      </c>
    </row>
    <row r="74" spans="28:41" x14ac:dyDescent="0.25">
      <c r="AB74" t="s">
        <v>496</v>
      </c>
      <c r="AC74" t="s">
        <v>218</v>
      </c>
      <c r="AD74" t="s">
        <v>1036</v>
      </c>
      <c r="AE74" t="s">
        <v>212</v>
      </c>
      <c r="AF74">
        <v>1</v>
      </c>
    </row>
    <row r="75" spans="28:41" x14ac:dyDescent="0.25">
      <c r="AB75" t="s">
        <v>562</v>
      </c>
      <c r="AC75" t="s">
        <v>230</v>
      </c>
      <c r="AD75" t="s">
        <v>1046</v>
      </c>
      <c r="AE75" t="s">
        <v>202</v>
      </c>
      <c r="AF75">
        <v>1</v>
      </c>
    </row>
    <row r="76" spans="28:41" x14ac:dyDescent="0.25">
      <c r="AB76" t="s">
        <v>175</v>
      </c>
      <c r="AC76" t="s">
        <v>221</v>
      </c>
      <c r="AD76" t="s">
        <v>46</v>
      </c>
      <c r="AE76" t="s">
        <v>175</v>
      </c>
      <c r="AF76">
        <v>1</v>
      </c>
    </row>
    <row r="77" spans="28:41" x14ac:dyDescent="0.25">
      <c r="AB77" t="s">
        <v>688</v>
      </c>
      <c r="AC77" t="s">
        <v>221</v>
      </c>
      <c r="AD77" t="s">
        <v>254</v>
      </c>
      <c r="AE77" t="s">
        <v>687</v>
      </c>
      <c r="AF77">
        <v>1</v>
      </c>
    </row>
    <row r="78" spans="28:41" x14ac:dyDescent="0.25">
      <c r="AB78" t="s">
        <v>460</v>
      </c>
      <c r="AC78" t="s">
        <v>191</v>
      </c>
      <c r="AD78" t="s">
        <v>46</v>
      </c>
      <c r="AE78" t="s">
        <v>179</v>
      </c>
      <c r="AF78">
        <v>1</v>
      </c>
    </row>
    <row r="79" spans="28:41" x14ac:dyDescent="0.25">
      <c r="AB79" t="s">
        <v>520</v>
      </c>
      <c r="AC79" t="s">
        <v>186</v>
      </c>
      <c r="AD79" t="s">
        <v>46</v>
      </c>
      <c r="AE79" t="s">
        <v>187</v>
      </c>
      <c r="AF79">
        <v>1</v>
      </c>
    </row>
    <row r="80" spans="28:41" x14ac:dyDescent="0.25">
      <c r="AB80" t="s">
        <v>521</v>
      </c>
      <c r="AC80" t="s">
        <v>186</v>
      </c>
      <c r="AD80" t="s">
        <v>169</v>
      </c>
      <c r="AE80" t="s">
        <v>187</v>
      </c>
      <c r="AF80">
        <v>1</v>
      </c>
    </row>
    <row r="81" spans="28:32" x14ac:dyDescent="0.25">
      <c r="AB81" t="s">
        <v>355</v>
      </c>
      <c r="AC81" t="s">
        <v>218</v>
      </c>
      <c r="AD81" t="s">
        <v>46</v>
      </c>
      <c r="AE81" t="s">
        <v>395</v>
      </c>
      <c r="AF81">
        <v>1</v>
      </c>
    </row>
    <row r="82" spans="28:32" x14ac:dyDescent="0.25">
      <c r="AB82" t="s">
        <v>519</v>
      </c>
      <c r="AC82" t="s">
        <v>186</v>
      </c>
      <c r="AD82" t="s">
        <v>169</v>
      </c>
      <c r="AE82" t="s">
        <v>187</v>
      </c>
      <c r="AF82">
        <v>1</v>
      </c>
    </row>
    <row r="83" spans="28:32" x14ac:dyDescent="0.25">
      <c r="AB83" t="s">
        <v>518</v>
      </c>
      <c r="AC83" t="s">
        <v>186</v>
      </c>
      <c r="AD83" t="s">
        <v>46</v>
      </c>
      <c r="AE83" t="s">
        <v>187</v>
      </c>
      <c r="AF83">
        <v>1</v>
      </c>
    </row>
    <row r="84" spans="28:32" x14ac:dyDescent="0.25">
      <c r="AB84" t="s">
        <v>514</v>
      </c>
      <c r="AC84" t="s">
        <v>191</v>
      </c>
      <c r="AD84" t="s">
        <v>259</v>
      </c>
      <c r="AE84" t="s">
        <v>192</v>
      </c>
      <c r="AF84">
        <v>1</v>
      </c>
    </row>
    <row r="85" spans="28:32" x14ac:dyDescent="0.25">
      <c r="AB85" t="s">
        <v>354</v>
      </c>
      <c r="AC85" t="s">
        <v>218</v>
      </c>
      <c r="AD85" t="s">
        <v>46</v>
      </c>
      <c r="AE85" t="s">
        <v>395</v>
      </c>
      <c r="AF85">
        <v>1</v>
      </c>
    </row>
    <row r="86" spans="28:32" x14ac:dyDescent="0.25">
      <c r="AB86" t="s">
        <v>483</v>
      </c>
      <c r="AC86" t="s">
        <v>219</v>
      </c>
      <c r="AD86" t="s">
        <v>46</v>
      </c>
      <c r="AE86" t="s">
        <v>871</v>
      </c>
      <c r="AF86">
        <v>1</v>
      </c>
    </row>
    <row r="87" spans="28:32" x14ac:dyDescent="0.25">
      <c r="AB87" t="s">
        <v>560</v>
      </c>
      <c r="AC87" t="s">
        <v>193</v>
      </c>
      <c r="AD87" t="s">
        <v>46</v>
      </c>
      <c r="AE87" t="s">
        <v>559</v>
      </c>
      <c r="AF87">
        <v>1</v>
      </c>
    </row>
    <row r="88" spans="28:32" x14ac:dyDescent="0.25">
      <c r="AB88" t="s">
        <v>484</v>
      </c>
      <c r="AC88" t="s">
        <v>219</v>
      </c>
      <c r="AD88" t="s">
        <v>254</v>
      </c>
      <c r="AE88" t="s">
        <v>871</v>
      </c>
      <c r="AF88">
        <v>1</v>
      </c>
    </row>
    <row r="89" spans="28:32" x14ac:dyDescent="0.25">
      <c r="AB89" t="s">
        <v>732</v>
      </c>
      <c r="AC89" t="s">
        <v>221</v>
      </c>
      <c r="AD89" t="s">
        <v>46</v>
      </c>
      <c r="AE89" t="s">
        <v>729</v>
      </c>
      <c r="AF89">
        <v>1</v>
      </c>
    </row>
    <row r="90" spans="28:32" x14ac:dyDescent="0.25">
      <c r="AB90" t="s">
        <v>487</v>
      </c>
      <c r="AC90" t="s">
        <v>219</v>
      </c>
      <c r="AD90" t="s">
        <v>46</v>
      </c>
      <c r="AE90" t="s">
        <v>871</v>
      </c>
      <c r="AF90">
        <v>1</v>
      </c>
    </row>
    <row r="91" spans="28:32" x14ac:dyDescent="0.25">
      <c r="AB91" t="s">
        <v>554</v>
      </c>
      <c r="AC91" t="s">
        <v>193</v>
      </c>
      <c r="AD91" t="s">
        <v>46</v>
      </c>
      <c r="AE91" t="s">
        <v>196</v>
      </c>
      <c r="AF91">
        <v>1</v>
      </c>
    </row>
    <row r="92" spans="28:32" x14ac:dyDescent="0.25">
      <c r="AB92" t="s">
        <v>186</v>
      </c>
      <c r="AC92" t="s">
        <v>218</v>
      </c>
      <c r="AD92" t="s">
        <v>251</v>
      </c>
      <c r="AE92" t="s">
        <v>171</v>
      </c>
      <c r="AF92">
        <v>1</v>
      </c>
    </row>
    <row r="93" spans="28:32" x14ac:dyDescent="0.25">
      <c r="AB93" t="s">
        <v>724</v>
      </c>
      <c r="AC93" t="s">
        <v>221</v>
      </c>
      <c r="AD93" t="s">
        <v>46</v>
      </c>
      <c r="AE93" t="s">
        <v>722</v>
      </c>
      <c r="AF93">
        <v>1</v>
      </c>
    </row>
    <row r="94" spans="28:32" x14ac:dyDescent="0.25">
      <c r="AB94" t="s">
        <v>731</v>
      </c>
      <c r="AC94" t="s">
        <v>221</v>
      </c>
      <c r="AD94" t="s">
        <v>46</v>
      </c>
      <c r="AE94" t="s">
        <v>729</v>
      </c>
      <c r="AF94">
        <v>1</v>
      </c>
    </row>
    <row r="95" spans="28:32" x14ac:dyDescent="0.25">
      <c r="AB95" t="s">
        <v>454</v>
      </c>
      <c r="AC95" t="s">
        <v>219</v>
      </c>
      <c r="AD95" t="s">
        <v>1027</v>
      </c>
      <c r="AE95" t="s">
        <v>179</v>
      </c>
      <c r="AF95">
        <v>1</v>
      </c>
    </row>
    <row r="96" spans="28:32" x14ac:dyDescent="0.25">
      <c r="AB96" t="s">
        <v>445</v>
      </c>
      <c r="AC96" t="s">
        <v>219</v>
      </c>
      <c r="AD96" t="s">
        <v>1025</v>
      </c>
      <c r="AE96" t="s">
        <v>179</v>
      </c>
      <c r="AF96">
        <v>1</v>
      </c>
    </row>
    <row r="97" spans="28:32" x14ac:dyDescent="0.25">
      <c r="AB97" t="s">
        <v>99</v>
      </c>
      <c r="AC97" t="s">
        <v>186</v>
      </c>
      <c r="AD97" t="s">
        <v>46</v>
      </c>
      <c r="AE97" t="s">
        <v>190</v>
      </c>
      <c r="AF97">
        <v>1</v>
      </c>
    </row>
    <row r="98" spans="28:32" x14ac:dyDescent="0.25">
      <c r="AB98" t="s">
        <v>535</v>
      </c>
      <c r="AC98" t="s">
        <v>186</v>
      </c>
      <c r="AD98" t="s">
        <v>46</v>
      </c>
      <c r="AE98" t="s">
        <v>189</v>
      </c>
      <c r="AF98">
        <v>1</v>
      </c>
    </row>
    <row r="99" spans="28:32" x14ac:dyDescent="0.25">
      <c r="AB99" t="s">
        <v>536</v>
      </c>
      <c r="AC99" t="s">
        <v>186</v>
      </c>
      <c r="AD99" t="s">
        <v>46</v>
      </c>
      <c r="AE99" t="s">
        <v>189</v>
      </c>
      <c r="AF99">
        <v>1</v>
      </c>
    </row>
    <row r="100" spans="28:32" x14ac:dyDescent="0.25">
      <c r="AB100" t="s">
        <v>537</v>
      </c>
      <c r="AC100" t="s">
        <v>186</v>
      </c>
      <c r="AD100" t="s">
        <v>46</v>
      </c>
      <c r="AE100" t="s">
        <v>189</v>
      </c>
      <c r="AF100">
        <v>1</v>
      </c>
    </row>
    <row r="101" spans="28:32" x14ac:dyDescent="0.25">
      <c r="AB101" t="s">
        <v>486</v>
      </c>
      <c r="AC101" t="s">
        <v>219</v>
      </c>
      <c r="AD101" t="s">
        <v>46</v>
      </c>
      <c r="AE101" t="s">
        <v>871</v>
      </c>
      <c r="AF101">
        <v>1</v>
      </c>
    </row>
    <row r="102" spans="28:32" x14ac:dyDescent="0.25">
      <c r="AB102" t="s">
        <v>561</v>
      </c>
      <c r="AC102" t="s">
        <v>193</v>
      </c>
      <c r="AD102" t="s">
        <v>1042</v>
      </c>
      <c r="AE102" t="s">
        <v>194</v>
      </c>
      <c r="AF102">
        <v>1</v>
      </c>
    </row>
    <row r="103" spans="28:32" x14ac:dyDescent="0.25">
      <c r="AB103" t="s">
        <v>240</v>
      </c>
      <c r="AC103" t="s">
        <v>218</v>
      </c>
      <c r="AD103" t="s">
        <v>251</v>
      </c>
      <c r="AE103" t="s">
        <v>171</v>
      </c>
      <c r="AF103">
        <v>1</v>
      </c>
    </row>
    <row r="104" spans="28:32" x14ac:dyDescent="0.25">
      <c r="AB104" t="s">
        <v>241</v>
      </c>
      <c r="AC104" t="s">
        <v>218</v>
      </c>
      <c r="AD104" t="s">
        <v>251</v>
      </c>
      <c r="AE104" t="s">
        <v>171</v>
      </c>
      <c r="AF104">
        <v>1</v>
      </c>
    </row>
    <row r="105" spans="28:32" x14ac:dyDescent="0.25">
      <c r="AB105" t="s">
        <v>512</v>
      </c>
      <c r="AC105" t="s">
        <v>191</v>
      </c>
      <c r="AD105" t="s">
        <v>259</v>
      </c>
      <c r="AE105" t="s">
        <v>192</v>
      </c>
      <c r="AF105">
        <v>1</v>
      </c>
    </row>
    <row r="106" spans="28:32" x14ac:dyDescent="0.25">
      <c r="AB106" t="s">
        <v>490</v>
      </c>
      <c r="AC106" t="s">
        <v>219</v>
      </c>
      <c r="AD106" t="s">
        <v>46</v>
      </c>
      <c r="AE106" t="s">
        <v>183</v>
      </c>
      <c r="AF106">
        <v>1</v>
      </c>
    </row>
    <row r="107" spans="28:32" x14ac:dyDescent="0.25">
      <c r="AB107" t="s">
        <v>446</v>
      </c>
      <c r="AC107" t="s">
        <v>219</v>
      </c>
      <c r="AD107" t="s">
        <v>1026</v>
      </c>
      <c r="AE107" t="s">
        <v>179</v>
      </c>
      <c r="AF107">
        <v>1</v>
      </c>
    </row>
    <row r="108" spans="28:32" x14ac:dyDescent="0.25">
      <c r="AB108" t="s">
        <v>695</v>
      </c>
      <c r="AC108" t="s">
        <v>221</v>
      </c>
      <c r="AD108" t="s">
        <v>46</v>
      </c>
      <c r="AE108" t="s">
        <v>693</v>
      </c>
      <c r="AF108">
        <v>1</v>
      </c>
    </row>
    <row r="109" spans="28:32" x14ac:dyDescent="0.25">
      <c r="AB109" t="s">
        <v>689</v>
      </c>
      <c r="AC109" t="s">
        <v>221</v>
      </c>
      <c r="AD109" t="s">
        <v>254</v>
      </c>
      <c r="AE109" t="s">
        <v>687</v>
      </c>
      <c r="AF109">
        <v>1</v>
      </c>
    </row>
    <row r="110" spans="28:32" x14ac:dyDescent="0.25">
      <c r="AB110" t="s">
        <v>141</v>
      </c>
      <c r="AC110" t="s">
        <v>186</v>
      </c>
      <c r="AD110" t="s">
        <v>46</v>
      </c>
      <c r="AE110" t="s">
        <v>190</v>
      </c>
      <c r="AF110">
        <v>1</v>
      </c>
    </row>
    <row r="111" spans="28:32" x14ac:dyDescent="0.25">
      <c r="AB111" t="s">
        <v>478</v>
      </c>
      <c r="AC111" t="s">
        <v>219</v>
      </c>
      <c r="AD111" t="s">
        <v>46</v>
      </c>
      <c r="AE111" t="s">
        <v>197</v>
      </c>
      <c r="AF111">
        <v>1</v>
      </c>
    </row>
    <row r="112" spans="28:32" x14ac:dyDescent="0.25">
      <c r="AB112" t="s">
        <v>557</v>
      </c>
      <c r="AC112" t="s">
        <v>193</v>
      </c>
      <c r="AD112" t="s">
        <v>259</v>
      </c>
      <c r="AE112" t="s">
        <v>196</v>
      </c>
      <c r="AF112">
        <v>1</v>
      </c>
    </row>
    <row r="113" spans="28:32" x14ac:dyDescent="0.25">
      <c r="AB113" t="s">
        <v>269</v>
      </c>
      <c r="AC113" t="s">
        <v>218</v>
      </c>
      <c r="AD113" t="s">
        <v>270</v>
      </c>
      <c r="AE113" t="s">
        <v>269</v>
      </c>
      <c r="AF113">
        <v>1</v>
      </c>
    </row>
    <row r="114" spans="28:32" x14ac:dyDescent="0.25">
      <c r="AB114" t="s">
        <v>128</v>
      </c>
      <c r="AC114" t="s">
        <v>219</v>
      </c>
      <c r="AD114" t="s">
        <v>259</v>
      </c>
      <c r="AE114" t="s">
        <v>821</v>
      </c>
      <c r="AF114">
        <v>1</v>
      </c>
    </row>
    <row r="115" spans="28:32" x14ac:dyDescent="0.25">
      <c r="AB115" t="s">
        <v>45</v>
      </c>
      <c r="AC115" t="s">
        <v>219</v>
      </c>
      <c r="AD115" t="s">
        <v>46</v>
      </c>
      <c r="AE115" t="s">
        <v>10</v>
      </c>
      <c r="AF115">
        <v>1</v>
      </c>
    </row>
    <row r="116" spans="28:32" x14ac:dyDescent="0.25">
      <c r="AB116" t="s">
        <v>469</v>
      </c>
      <c r="AC116" t="s">
        <v>219</v>
      </c>
      <c r="AD116" t="s">
        <v>1030</v>
      </c>
      <c r="AE116" t="s">
        <v>181</v>
      </c>
      <c r="AF116">
        <v>1</v>
      </c>
    </row>
    <row r="117" spans="28:32" x14ac:dyDescent="0.25">
      <c r="AB117" t="s">
        <v>437</v>
      </c>
      <c r="AC117" t="s">
        <v>219</v>
      </c>
      <c r="AD117" t="s">
        <v>254</v>
      </c>
      <c r="AE117" t="s">
        <v>179</v>
      </c>
      <c r="AF117">
        <v>1</v>
      </c>
    </row>
    <row r="118" spans="28:32" x14ac:dyDescent="0.25">
      <c r="AB118" t="s">
        <v>436</v>
      </c>
      <c r="AC118" t="s">
        <v>219</v>
      </c>
      <c r="AD118" t="s">
        <v>46</v>
      </c>
      <c r="AE118" t="s">
        <v>179</v>
      </c>
      <c r="AF118">
        <v>1</v>
      </c>
    </row>
    <row r="119" spans="28:32" x14ac:dyDescent="0.25">
      <c r="AB119" t="s">
        <v>726</v>
      </c>
      <c r="AC119" t="s">
        <v>221</v>
      </c>
      <c r="AD119" t="s">
        <v>46</v>
      </c>
      <c r="AE119" t="s">
        <v>722</v>
      </c>
      <c r="AF119">
        <v>1</v>
      </c>
    </row>
    <row r="120" spans="28:32" x14ac:dyDescent="0.25">
      <c r="AB120" t="s">
        <v>191</v>
      </c>
      <c r="AC120" t="s">
        <v>218</v>
      </c>
      <c r="AD120" t="s">
        <v>251</v>
      </c>
      <c r="AE120" t="s">
        <v>171</v>
      </c>
      <c r="AF120">
        <v>1</v>
      </c>
    </row>
    <row r="121" spans="28:32" x14ac:dyDescent="0.25">
      <c r="AB121" t="s">
        <v>352</v>
      </c>
      <c r="AC121" t="s">
        <v>218</v>
      </c>
      <c r="AD121" t="s">
        <v>46</v>
      </c>
      <c r="AE121" t="s">
        <v>395</v>
      </c>
      <c r="AF121">
        <v>1</v>
      </c>
    </row>
    <row r="122" spans="28:32" x14ac:dyDescent="0.25">
      <c r="AB122" t="s">
        <v>435</v>
      </c>
      <c r="AC122" t="s">
        <v>221</v>
      </c>
      <c r="AD122" t="s">
        <v>236</v>
      </c>
      <c r="AE122" t="s">
        <v>677</v>
      </c>
      <c r="AF122">
        <v>1</v>
      </c>
    </row>
    <row r="123" spans="28:32" x14ac:dyDescent="0.25">
      <c r="AB123" t="s">
        <v>745</v>
      </c>
      <c r="AC123" t="s">
        <v>219</v>
      </c>
      <c r="AD123" t="s">
        <v>46</v>
      </c>
      <c r="AE123" t="s">
        <v>743</v>
      </c>
      <c r="AF123">
        <v>1</v>
      </c>
    </row>
    <row r="124" spans="28:32" x14ac:dyDescent="0.25">
      <c r="AB124" t="s">
        <v>470</v>
      </c>
      <c r="AC124" t="s">
        <v>219</v>
      </c>
      <c r="AD124" t="s">
        <v>1032</v>
      </c>
      <c r="AE124" t="s">
        <v>181</v>
      </c>
      <c r="AF124">
        <v>1</v>
      </c>
    </row>
    <row r="125" spans="28:32" x14ac:dyDescent="0.25">
      <c r="AB125" t="s">
        <v>546</v>
      </c>
      <c r="AC125" t="s">
        <v>193</v>
      </c>
      <c r="AD125" t="s">
        <v>1044</v>
      </c>
      <c r="AE125" t="s">
        <v>194</v>
      </c>
      <c r="AF125">
        <v>1</v>
      </c>
    </row>
    <row r="126" spans="28:32" x14ac:dyDescent="0.25">
      <c r="AB126" t="s">
        <v>271</v>
      </c>
      <c r="AC126" t="s">
        <v>219</v>
      </c>
      <c r="AD126" t="s">
        <v>259</v>
      </c>
      <c r="AE126" t="s">
        <v>160</v>
      </c>
      <c r="AF126">
        <v>1</v>
      </c>
    </row>
    <row r="127" spans="28:32" x14ac:dyDescent="0.25">
      <c r="AB127" t="s">
        <v>40</v>
      </c>
      <c r="AC127" t="s">
        <v>221</v>
      </c>
      <c r="AD127" t="s">
        <v>46</v>
      </c>
      <c r="AE127" t="s">
        <v>10</v>
      </c>
      <c r="AF127">
        <v>1</v>
      </c>
    </row>
    <row r="128" spans="28:32" x14ac:dyDescent="0.25">
      <c r="AB128" t="s">
        <v>243</v>
      </c>
      <c r="AC128" t="s">
        <v>218</v>
      </c>
      <c r="AD128" t="s">
        <v>415</v>
      </c>
      <c r="AE128" t="s">
        <v>264</v>
      </c>
      <c r="AF128">
        <v>1</v>
      </c>
    </row>
    <row r="129" spans="28:32" x14ac:dyDescent="0.25">
      <c r="AB129" t="s">
        <v>685</v>
      </c>
      <c r="AC129" t="s">
        <v>221</v>
      </c>
      <c r="AD129" t="s">
        <v>400</v>
      </c>
      <c r="AE129" t="s">
        <v>677</v>
      </c>
      <c r="AF129">
        <v>1</v>
      </c>
    </row>
    <row r="130" spans="28:32" x14ac:dyDescent="0.25">
      <c r="AB130" t="s">
        <v>49</v>
      </c>
      <c r="AC130" t="s">
        <v>219</v>
      </c>
      <c r="AD130" t="s">
        <v>1001</v>
      </c>
      <c r="AE130" t="s">
        <v>10</v>
      </c>
      <c r="AF130">
        <v>1</v>
      </c>
    </row>
    <row r="131" spans="28:32" x14ac:dyDescent="0.25">
      <c r="AB131" t="s">
        <v>79</v>
      </c>
      <c r="AC131" t="s">
        <v>219</v>
      </c>
      <c r="AD131" t="s">
        <v>259</v>
      </c>
      <c r="AE131" t="s">
        <v>179</v>
      </c>
      <c r="AF131">
        <v>1</v>
      </c>
    </row>
    <row r="132" spans="28:32" x14ac:dyDescent="0.25">
      <c r="AB132" t="s">
        <v>447</v>
      </c>
      <c r="AC132" t="s">
        <v>219</v>
      </c>
      <c r="AD132" t="s">
        <v>988</v>
      </c>
      <c r="AE132" t="s">
        <v>179</v>
      </c>
      <c r="AF132">
        <v>1</v>
      </c>
    </row>
    <row r="133" spans="28:32" x14ac:dyDescent="0.25">
      <c r="AB133" t="s">
        <v>477</v>
      </c>
      <c r="AC133" t="s">
        <v>219</v>
      </c>
      <c r="AD133" t="s">
        <v>1034</v>
      </c>
      <c r="AE133" t="s">
        <v>197</v>
      </c>
      <c r="AF133">
        <v>1</v>
      </c>
    </row>
    <row r="134" spans="28:32" x14ac:dyDescent="0.25">
      <c r="AB134" t="s">
        <v>450</v>
      </c>
      <c r="AC134" t="s">
        <v>219</v>
      </c>
      <c r="AD134" t="s">
        <v>1009</v>
      </c>
      <c r="AE134" t="s">
        <v>179</v>
      </c>
      <c r="AF134">
        <v>1</v>
      </c>
    </row>
    <row r="135" spans="28:32" x14ac:dyDescent="0.25">
      <c r="AB135" t="s">
        <v>526</v>
      </c>
      <c r="AC135" t="s">
        <v>186</v>
      </c>
      <c r="AD135" t="s">
        <v>254</v>
      </c>
      <c r="AE135" t="s">
        <v>187</v>
      </c>
      <c r="AF135">
        <v>1</v>
      </c>
    </row>
    <row r="136" spans="28:32" x14ac:dyDescent="0.25">
      <c r="AB136" t="s">
        <v>523</v>
      </c>
      <c r="AC136" t="s">
        <v>186</v>
      </c>
      <c r="AD136" t="s">
        <v>46</v>
      </c>
      <c r="AE136" t="s">
        <v>187</v>
      </c>
      <c r="AF136">
        <v>1</v>
      </c>
    </row>
    <row r="137" spans="28:32" x14ac:dyDescent="0.25">
      <c r="AB137" t="s">
        <v>524</v>
      </c>
      <c r="AC137" t="s">
        <v>186</v>
      </c>
      <c r="AD137" t="s">
        <v>169</v>
      </c>
      <c r="AE137" t="s">
        <v>187</v>
      </c>
      <c r="AF137">
        <v>1</v>
      </c>
    </row>
    <row r="138" spans="28:32" x14ac:dyDescent="0.25">
      <c r="AB138" t="s">
        <v>102</v>
      </c>
      <c r="AC138" t="s">
        <v>219</v>
      </c>
      <c r="AD138" t="s">
        <v>46</v>
      </c>
      <c r="AE138" t="s">
        <v>94</v>
      </c>
      <c r="AF138">
        <v>1</v>
      </c>
    </row>
    <row r="139" spans="28:32" x14ac:dyDescent="0.25">
      <c r="AB139" t="s">
        <v>97</v>
      </c>
      <c r="AC139" t="s">
        <v>219</v>
      </c>
      <c r="AD139" t="s">
        <v>258</v>
      </c>
      <c r="AE139" t="s">
        <v>94</v>
      </c>
      <c r="AF139">
        <v>1</v>
      </c>
    </row>
    <row r="140" spans="28:32" x14ac:dyDescent="0.25">
      <c r="AB140" t="s">
        <v>448</v>
      </c>
      <c r="AC140" t="s">
        <v>219</v>
      </c>
      <c r="AD140" t="s">
        <v>462</v>
      </c>
      <c r="AE140" t="s">
        <v>179</v>
      </c>
      <c r="AF140">
        <v>1</v>
      </c>
    </row>
    <row r="141" spans="28:32" x14ac:dyDescent="0.25">
      <c r="AB141" t="s">
        <v>508</v>
      </c>
      <c r="AC141" t="s">
        <v>184</v>
      </c>
      <c r="AD141" t="s">
        <v>1039</v>
      </c>
      <c r="AE141" t="s">
        <v>185</v>
      </c>
      <c r="AF141">
        <v>1</v>
      </c>
    </row>
    <row r="142" spans="28:32" x14ac:dyDescent="0.25">
      <c r="AB142" t="s">
        <v>556</v>
      </c>
      <c r="AC142" t="s">
        <v>193</v>
      </c>
      <c r="AD142" t="s">
        <v>46</v>
      </c>
      <c r="AE142" t="s">
        <v>196</v>
      </c>
      <c r="AF142">
        <v>1</v>
      </c>
    </row>
    <row r="143" spans="28:32" x14ac:dyDescent="0.25">
      <c r="AB143" t="s">
        <v>394</v>
      </c>
      <c r="AC143" t="s">
        <v>218</v>
      </c>
      <c r="AD143" t="s">
        <v>1021</v>
      </c>
      <c r="AE143" t="s">
        <v>401</v>
      </c>
      <c r="AF143">
        <v>1</v>
      </c>
    </row>
    <row r="144" spans="28:32" x14ac:dyDescent="0.25">
      <c r="AB144" t="s">
        <v>579</v>
      </c>
      <c r="AC144" t="s">
        <v>221</v>
      </c>
      <c r="AD144" t="s">
        <v>46</v>
      </c>
      <c r="AE144" t="s">
        <v>580</v>
      </c>
      <c r="AF144">
        <v>1</v>
      </c>
    </row>
    <row r="145" spans="28:32" x14ac:dyDescent="0.25">
      <c r="AB145" t="s">
        <v>488</v>
      </c>
      <c r="AC145" t="s">
        <v>219</v>
      </c>
      <c r="AD145" t="s">
        <v>259</v>
      </c>
      <c r="AE145" t="s">
        <v>871</v>
      </c>
      <c r="AF145">
        <v>1</v>
      </c>
    </row>
    <row r="146" spans="28:32" x14ac:dyDescent="0.25">
      <c r="AB146" t="s">
        <v>455</v>
      </c>
      <c r="AC146" t="s">
        <v>219</v>
      </c>
      <c r="AD146" t="s">
        <v>46</v>
      </c>
      <c r="AE146" t="s">
        <v>179</v>
      </c>
      <c r="AF146">
        <v>1</v>
      </c>
    </row>
    <row r="147" spans="28:32" x14ac:dyDescent="0.25">
      <c r="AB147" t="s">
        <v>544</v>
      </c>
      <c r="AC147" t="s">
        <v>193</v>
      </c>
      <c r="AD147" t="s">
        <v>1041</v>
      </c>
      <c r="AE147" t="s">
        <v>194</v>
      </c>
      <c r="AF147">
        <v>1</v>
      </c>
    </row>
    <row r="148" spans="28:32" x14ac:dyDescent="0.25">
      <c r="AB148" t="s">
        <v>553</v>
      </c>
      <c r="AC148" t="s">
        <v>193</v>
      </c>
      <c r="AD148" t="s">
        <v>254</v>
      </c>
      <c r="AE148" t="s">
        <v>196</v>
      </c>
      <c r="AF148">
        <v>1</v>
      </c>
    </row>
    <row r="149" spans="28:32" x14ac:dyDescent="0.25">
      <c r="AB149" t="s">
        <v>741</v>
      </c>
      <c r="AC149" t="s">
        <v>221</v>
      </c>
      <c r="AD149" t="s">
        <v>400</v>
      </c>
      <c r="AE149" t="s">
        <v>740</v>
      </c>
      <c r="AF149">
        <v>1</v>
      </c>
    </row>
    <row r="150" spans="28:32" x14ac:dyDescent="0.25">
      <c r="AB150" t="s">
        <v>250</v>
      </c>
      <c r="AC150" t="s">
        <v>219</v>
      </c>
      <c r="AD150" t="s">
        <v>259</v>
      </c>
      <c r="AE150" t="s">
        <v>821</v>
      </c>
      <c r="AF150">
        <v>1</v>
      </c>
    </row>
    <row r="151" spans="28:32" x14ac:dyDescent="0.25">
      <c r="AB151" t="s">
        <v>120</v>
      </c>
      <c r="AC151" t="s">
        <v>219</v>
      </c>
      <c r="AD151" t="s">
        <v>259</v>
      </c>
      <c r="AE151" t="s">
        <v>821</v>
      </c>
      <c r="AF151">
        <v>1</v>
      </c>
    </row>
    <row r="152" spans="28:32" x14ac:dyDescent="0.25">
      <c r="AB152" t="s">
        <v>492</v>
      </c>
      <c r="AC152" t="s">
        <v>219</v>
      </c>
      <c r="AD152" t="s">
        <v>46</v>
      </c>
      <c r="AE152" t="s">
        <v>183</v>
      </c>
      <c r="AF152">
        <v>1</v>
      </c>
    </row>
    <row r="153" spans="28:32" x14ac:dyDescent="0.25">
      <c r="AB153" t="s">
        <v>517</v>
      </c>
      <c r="AC153" t="s">
        <v>186</v>
      </c>
      <c r="AD153" t="s">
        <v>527</v>
      </c>
      <c r="AE153" t="s">
        <v>187</v>
      </c>
      <c r="AF153">
        <v>1</v>
      </c>
    </row>
    <row r="154" spans="28:32" x14ac:dyDescent="0.25">
      <c r="AB154" t="s">
        <v>381</v>
      </c>
      <c r="AC154" t="s">
        <v>218</v>
      </c>
      <c r="AD154" t="s">
        <v>46</v>
      </c>
      <c r="AE154" t="s">
        <v>195</v>
      </c>
      <c r="AF154">
        <v>1</v>
      </c>
    </row>
    <row r="155" spans="28:32" x14ac:dyDescent="0.25">
      <c r="AB155" t="s">
        <v>735</v>
      </c>
      <c r="AC155" t="s">
        <v>221</v>
      </c>
      <c r="AD155" t="s">
        <v>259</v>
      </c>
      <c r="AE155" t="s">
        <v>201</v>
      </c>
      <c r="AF155">
        <v>1</v>
      </c>
    </row>
    <row r="156" spans="28:32" x14ac:dyDescent="0.25">
      <c r="AB156" t="s">
        <v>489</v>
      </c>
      <c r="AC156" t="s">
        <v>219</v>
      </c>
      <c r="AD156" t="s">
        <v>46</v>
      </c>
      <c r="AE156" t="s">
        <v>183</v>
      </c>
      <c r="AF156">
        <v>1</v>
      </c>
    </row>
    <row r="157" spans="28:32" x14ac:dyDescent="0.25">
      <c r="AB157" t="s">
        <v>377</v>
      </c>
      <c r="AC157" t="s">
        <v>218</v>
      </c>
      <c r="AD157" t="s">
        <v>46</v>
      </c>
      <c r="AE157" t="s">
        <v>195</v>
      </c>
      <c r="AF157">
        <v>1</v>
      </c>
    </row>
    <row r="158" spans="28:32" x14ac:dyDescent="0.25">
      <c r="AB158" t="s">
        <v>379</v>
      </c>
      <c r="AC158" t="s">
        <v>218</v>
      </c>
      <c r="AD158" t="s">
        <v>46</v>
      </c>
      <c r="AE158" t="s">
        <v>195</v>
      </c>
      <c r="AF158">
        <v>1</v>
      </c>
    </row>
    <row r="159" spans="28:32" x14ac:dyDescent="0.25">
      <c r="AB159" t="s">
        <v>573</v>
      </c>
      <c r="AC159" t="s">
        <v>221</v>
      </c>
      <c r="AD159" t="s">
        <v>46</v>
      </c>
      <c r="AE159" t="s">
        <v>572</v>
      </c>
      <c r="AF159">
        <v>1</v>
      </c>
    </row>
    <row r="160" spans="28:32" x14ac:dyDescent="0.25">
      <c r="AB160" t="s">
        <v>574</v>
      </c>
      <c r="AC160" t="s">
        <v>221</v>
      </c>
      <c r="AD160" t="s">
        <v>46</v>
      </c>
      <c r="AE160" t="s">
        <v>572</v>
      </c>
      <c r="AF160">
        <v>1</v>
      </c>
    </row>
    <row r="161" spans="28:32" x14ac:dyDescent="0.25">
      <c r="AB161" t="s">
        <v>772</v>
      </c>
      <c r="AC161" t="s">
        <v>221</v>
      </c>
      <c r="AD161" t="s">
        <v>236</v>
      </c>
      <c r="AE161" t="s">
        <v>677</v>
      </c>
      <c r="AF161">
        <v>1</v>
      </c>
    </row>
    <row r="162" spans="28:32" x14ac:dyDescent="0.25">
      <c r="AB162" t="s">
        <v>789</v>
      </c>
      <c r="AC162" t="s">
        <v>219</v>
      </c>
      <c r="AD162" t="s">
        <v>46</v>
      </c>
      <c r="AE162" t="s">
        <v>871</v>
      </c>
      <c r="AF162">
        <v>1</v>
      </c>
    </row>
    <row r="163" spans="28:32" x14ac:dyDescent="0.25">
      <c r="AB163" t="s">
        <v>839</v>
      </c>
      <c r="AC163" t="s">
        <v>218</v>
      </c>
      <c r="AD163" t="s">
        <v>251</v>
      </c>
      <c r="AE163" t="s">
        <v>171</v>
      </c>
      <c r="AF163">
        <v>1</v>
      </c>
    </row>
    <row r="164" spans="28:32" x14ac:dyDescent="0.25">
      <c r="AB164" t="s">
        <v>840</v>
      </c>
      <c r="AC164" t="s">
        <v>218</v>
      </c>
      <c r="AD164" t="s">
        <v>251</v>
      </c>
      <c r="AE164" t="s">
        <v>171</v>
      </c>
      <c r="AF164">
        <v>1</v>
      </c>
    </row>
    <row r="165" spans="28:32" x14ac:dyDescent="0.25">
      <c r="AB165" t="s">
        <v>813</v>
      </c>
      <c r="AC165" t="s">
        <v>218</v>
      </c>
      <c r="AD165" t="s">
        <v>46</v>
      </c>
      <c r="AE165" t="s">
        <v>836</v>
      </c>
      <c r="AF165">
        <v>1</v>
      </c>
    </row>
    <row r="166" spans="28:32" x14ac:dyDescent="0.25">
      <c r="AB166" t="s">
        <v>843</v>
      </c>
      <c r="AC166" t="s">
        <v>221</v>
      </c>
      <c r="AD166" t="s">
        <v>46</v>
      </c>
      <c r="AE166" t="s">
        <v>321</v>
      </c>
      <c r="AF166">
        <v>1</v>
      </c>
    </row>
    <row r="167" spans="28:32" x14ac:dyDescent="0.25">
      <c r="AB167" t="s">
        <v>838</v>
      </c>
      <c r="AC167" t="s">
        <v>221</v>
      </c>
      <c r="AD167" t="s">
        <v>46</v>
      </c>
      <c r="AE167" t="s">
        <v>321</v>
      </c>
      <c r="AF167">
        <v>1</v>
      </c>
    </row>
    <row r="168" spans="28:32" x14ac:dyDescent="0.25">
      <c r="AB168" t="s">
        <v>829</v>
      </c>
      <c r="AC168" t="s">
        <v>221</v>
      </c>
      <c r="AD168" t="s">
        <v>46</v>
      </c>
      <c r="AE168" t="s">
        <v>321</v>
      </c>
      <c r="AF168">
        <v>1</v>
      </c>
    </row>
    <row r="169" spans="28:32" x14ac:dyDescent="0.25">
      <c r="AB169" t="s">
        <v>812</v>
      </c>
      <c r="AC169" t="s">
        <v>221</v>
      </c>
      <c r="AD169" t="s">
        <v>46</v>
      </c>
      <c r="AE169" t="s">
        <v>836</v>
      </c>
      <c r="AF169">
        <v>1</v>
      </c>
    </row>
    <row r="170" spans="28:32" x14ac:dyDescent="0.25">
      <c r="AB170" t="s">
        <v>811</v>
      </c>
      <c r="AC170" t="s">
        <v>218</v>
      </c>
      <c r="AD170" t="s">
        <v>46</v>
      </c>
      <c r="AE170" t="s">
        <v>836</v>
      </c>
      <c r="AF170">
        <v>1</v>
      </c>
    </row>
    <row r="171" spans="28:32" x14ac:dyDescent="0.25">
      <c r="AB171" t="s">
        <v>808</v>
      </c>
      <c r="AC171" t="s">
        <v>218</v>
      </c>
      <c r="AD171" t="s">
        <v>46</v>
      </c>
      <c r="AE171" t="s">
        <v>836</v>
      </c>
      <c r="AF171">
        <v>1</v>
      </c>
    </row>
    <row r="172" spans="28:32" x14ac:dyDescent="0.25">
      <c r="AB172" t="s">
        <v>809</v>
      </c>
      <c r="AC172" t="s">
        <v>184</v>
      </c>
      <c r="AD172" t="s">
        <v>46</v>
      </c>
      <c r="AE172" t="s">
        <v>836</v>
      </c>
      <c r="AF172">
        <v>1</v>
      </c>
    </row>
    <row r="173" spans="28:32" x14ac:dyDescent="0.25">
      <c r="AB173" t="s">
        <v>803</v>
      </c>
      <c r="AC173" t="s">
        <v>235</v>
      </c>
      <c r="AD173" t="s">
        <v>46</v>
      </c>
      <c r="AE173" t="s">
        <v>178</v>
      </c>
      <c r="AF173">
        <v>1</v>
      </c>
    </row>
    <row r="174" spans="28:32" x14ac:dyDescent="0.25">
      <c r="AB174" t="s">
        <v>792</v>
      </c>
      <c r="AC174" t="s">
        <v>186</v>
      </c>
      <c r="AD174" t="s">
        <v>46</v>
      </c>
      <c r="AE174" t="s">
        <v>187</v>
      </c>
      <c r="AF174">
        <v>1</v>
      </c>
    </row>
    <row r="175" spans="28:32" x14ac:dyDescent="0.25">
      <c r="AB175" t="s">
        <v>841</v>
      </c>
      <c r="AC175" t="s">
        <v>186</v>
      </c>
      <c r="AD175" t="s">
        <v>46</v>
      </c>
      <c r="AE175" t="s">
        <v>187</v>
      </c>
      <c r="AF175">
        <v>1</v>
      </c>
    </row>
    <row r="176" spans="28:32" x14ac:dyDescent="0.25">
      <c r="AB176" t="s">
        <v>793</v>
      </c>
      <c r="AC176" t="s">
        <v>186</v>
      </c>
      <c r="AD176" t="s">
        <v>46</v>
      </c>
      <c r="AE176" t="s">
        <v>187</v>
      </c>
      <c r="AF176">
        <v>1</v>
      </c>
    </row>
    <row r="177" spans="28:32" x14ac:dyDescent="0.25">
      <c r="AB177" t="s">
        <v>802</v>
      </c>
      <c r="AC177" t="s">
        <v>186</v>
      </c>
      <c r="AD177" t="s">
        <v>46</v>
      </c>
      <c r="AE177" t="s">
        <v>190</v>
      </c>
      <c r="AF177">
        <v>1</v>
      </c>
    </row>
    <row r="178" spans="28:32" x14ac:dyDescent="0.25">
      <c r="AB178" t="s">
        <v>837</v>
      </c>
      <c r="AC178" t="s">
        <v>193</v>
      </c>
      <c r="AD178" t="s">
        <v>46</v>
      </c>
      <c r="AE178" t="s">
        <v>196</v>
      </c>
      <c r="AF178">
        <v>1</v>
      </c>
    </row>
    <row r="179" spans="28:32" x14ac:dyDescent="0.25">
      <c r="AB179" t="s">
        <v>801</v>
      </c>
      <c r="AC179" t="s">
        <v>193</v>
      </c>
      <c r="AD179" t="s">
        <v>46</v>
      </c>
      <c r="AE179" t="s">
        <v>559</v>
      </c>
      <c r="AF179">
        <v>1</v>
      </c>
    </row>
    <row r="180" spans="28:32" x14ac:dyDescent="0.25">
      <c r="AB180" t="s">
        <v>805</v>
      </c>
      <c r="AC180" t="s">
        <v>230</v>
      </c>
      <c r="AD180" t="s">
        <v>46</v>
      </c>
      <c r="AE180" t="s">
        <v>202</v>
      </c>
      <c r="AF180">
        <v>1</v>
      </c>
    </row>
    <row r="181" spans="28:32" x14ac:dyDescent="0.25">
      <c r="AB181" t="s">
        <v>804</v>
      </c>
      <c r="AC181" t="s">
        <v>235</v>
      </c>
      <c r="AD181" t="s">
        <v>46</v>
      </c>
      <c r="AE181" t="s">
        <v>836</v>
      </c>
      <c r="AF181">
        <v>1</v>
      </c>
    </row>
    <row r="182" spans="28:32" x14ac:dyDescent="0.25">
      <c r="AB182" t="s">
        <v>806</v>
      </c>
      <c r="AC182" t="s">
        <v>218</v>
      </c>
      <c r="AD182" t="s">
        <v>251</v>
      </c>
      <c r="AE182" t="s">
        <v>204</v>
      </c>
      <c r="AF182">
        <v>1</v>
      </c>
    </row>
    <row r="183" spans="28:32" x14ac:dyDescent="0.25">
      <c r="AB183" t="s">
        <v>807</v>
      </c>
      <c r="AC183" t="s">
        <v>218</v>
      </c>
      <c r="AD183" t="s">
        <v>46</v>
      </c>
      <c r="AE183" t="s">
        <v>204</v>
      </c>
      <c r="AF183">
        <v>1</v>
      </c>
    </row>
    <row r="184" spans="28:32" x14ac:dyDescent="0.25">
      <c r="AB184" t="s">
        <v>796</v>
      </c>
      <c r="AC184" t="s">
        <v>221</v>
      </c>
      <c r="AD184" t="s">
        <v>46</v>
      </c>
      <c r="AE184" t="s">
        <v>677</v>
      </c>
      <c r="AF184">
        <v>1</v>
      </c>
    </row>
    <row r="185" spans="28:32" x14ac:dyDescent="0.25">
      <c r="AB185" t="s">
        <v>800</v>
      </c>
      <c r="AC185" t="s">
        <v>221</v>
      </c>
      <c r="AD185" t="s">
        <v>46</v>
      </c>
      <c r="AE185" t="s">
        <v>677</v>
      </c>
      <c r="AF185">
        <v>1</v>
      </c>
    </row>
    <row r="186" spans="28:32" x14ac:dyDescent="0.25">
      <c r="AB186" t="s">
        <v>791</v>
      </c>
      <c r="AC186" t="s">
        <v>221</v>
      </c>
      <c r="AD186" t="s">
        <v>236</v>
      </c>
      <c r="AE186" t="s">
        <v>677</v>
      </c>
      <c r="AF186">
        <v>1</v>
      </c>
    </row>
    <row r="187" spans="28:32" x14ac:dyDescent="0.25">
      <c r="AB187" t="s">
        <v>798</v>
      </c>
      <c r="AC187" t="s">
        <v>221</v>
      </c>
      <c r="AD187" t="s">
        <v>46</v>
      </c>
      <c r="AE187" t="s">
        <v>677</v>
      </c>
      <c r="AF187">
        <v>1</v>
      </c>
    </row>
    <row r="188" spans="28:32" x14ac:dyDescent="0.25">
      <c r="AB188" t="s">
        <v>799</v>
      </c>
      <c r="AC188" t="s">
        <v>221</v>
      </c>
      <c r="AD188" t="s">
        <v>46</v>
      </c>
      <c r="AE188" t="s">
        <v>677</v>
      </c>
      <c r="AF188">
        <v>1</v>
      </c>
    </row>
    <row r="189" spans="28:32" x14ac:dyDescent="0.25">
      <c r="AB189" t="s">
        <v>193</v>
      </c>
      <c r="AC189" t="s">
        <v>221</v>
      </c>
      <c r="AD189" t="s">
        <v>236</v>
      </c>
      <c r="AE189" t="s">
        <v>677</v>
      </c>
      <c r="AF189">
        <v>1</v>
      </c>
    </row>
    <row r="190" spans="28:32" x14ac:dyDescent="0.25">
      <c r="AB190" t="s">
        <v>797</v>
      </c>
      <c r="AC190" t="s">
        <v>221</v>
      </c>
      <c r="AD190" t="s">
        <v>46</v>
      </c>
      <c r="AE190" t="s">
        <v>677</v>
      </c>
      <c r="AF190">
        <v>1</v>
      </c>
    </row>
    <row r="191" spans="28:32" x14ac:dyDescent="0.25">
      <c r="AB191" t="s">
        <v>814</v>
      </c>
      <c r="AC191" t="s">
        <v>221</v>
      </c>
      <c r="AD191" t="s">
        <v>46</v>
      </c>
      <c r="AE191" t="s">
        <v>693</v>
      </c>
      <c r="AF191">
        <v>1</v>
      </c>
    </row>
    <row r="192" spans="28:32" x14ac:dyDescent="0.25">
      <c r="AB192" t="s">
        <v>815</v>
      </c>
      <c r="AC192" t="s">
        <v>221</v>
      </c>
      <c r="AD192" t="s">
        <v>46</v>
      </c>
      <c r="AE192" t="s">
        <v>729</v>
      </c>
      <c r="AF192">
        <v>1</v>
      </c>
    </row>
    <row r="193" spans="27:32" x14ac:dyDescent="0.25">
      <c r="AB193" t="s">
        <v>854</v>
      </c>
      <c r="AC193" t="s">
        <v>218</v>
      </c>
      <c r="AD193" t="s">
        <v>338</v>
      </c>
      <c r="AE193" t="s">
        <v>320</v>
      </c>
      <c r="AF193">
        <v>1</v>
      </c>
    </row>
    <row r="194" spans="27:32" x14ac:dyDescent="0.25">
      <c r="AB194" t="s">
        <v>920</v>
      </c>
      <c r="AC194" t="s">
        <v>219</v>
      </c>
      <c r="AD194" t="s">
        <v>259</v>
      </c>
      <c r="AE194" t="s">
        <v>821</v>
      </c>
      <c r="AF194">
        <v>1</v>
      </c>
    </row>
    <row r="195" spans="27:32" x14ac:dyDescent="0.25">
      <c r="AB195" t="s">
        <v>16</v>
      </c>
      <c r="AC195" t="s">
        <v>219</v>
      </c>
      <c r="AD195" t="s">
        <v>944</v>
      </c>
      <c r="AE195" t="s">
        <v>10</v>
      </c>
      <c r="AF195">
        <v>1</v>
      </c>
    </row>
    <row r="196" spans="27:32" x14ac:dyDescent="0.25">
      <c r="AA196" t="s">
        <v>238</v>
      </c>
      <c r="AF196">
        <v>188</v>
      </c>
    </row>
  </sheetData>
  <conditionalFormatting sqref="AB1:AB1048576">
    <cfRule type="duplicateValues" dxfId="8"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21BD3-8E1C-4031-9114-F255E6B5F70E}">
  <dimension ref="A1:S514"/>
  <sheetViews>
    <sheetView zoomScale="90" zoomScaleNormal="90" workbookViewId="0">
      <pane xSplit="4" ySplit="3" topLeftCell="E168" activePane="bottomRight" state="frozen"/>
      <selection pane="topRight" activeCell="D1" sqref="D1"/>
      <selection pane="bottomLeft" activeCell="A4" sqref="A4"/>
      <selection pane="bottomRight" activeCell="D168" sqref="D168:D436"/>
    </sheetView>
  </sheetViews>
  <sheetFormatPr defaultRowHeight="15" outlineLevelCol="1" x14ac:dyDescent="0.25"/>
  <cols>
    <col min="1" max="1" width="9.7109375" customWidth="1"/>
    <col min="2" max="2" width="24.28515625" bestFit="1" customWidth="1"/>
    <col min="3" max="3" width="27.7109375" customWidth="1"/>
    <col min="4" max="4" width="23.42578125" style="19" customWidth="1" outlineLevel="1"/>
    <col min="5" max="5" width="6.85546875" customWidth="1" outlineLevel="1"/>
    <col min="6" max="6" width="13.5703125" style="13" customWidth="1" outlineLevel="1"/>
    <col min="7" max="7" width="29.28515625" style="11" customWidth="1" outlineLevel="1"/>
    <col min="8" max="8" width="15.5703125" customWidth="1"/>
    <col min="9" max="9" width="14.42578125" customWidth="1"/>
    <col min="10" max="10" width="12.42578125" customWidth="1"/>
    <col min="11" max="11" width="40.85546875" customWidth="1" outlineLevel="1"/>
    <col min="12" max="12" width="24" customWidth="1" outlineLevel="1"/>
    <col min="13" max="13" width="8.85546875" customWidth="1" outlineLevel="1"/>
    <col min="14" max="14" width="8.85546875" style="31"/>
    <col min="15" max="15" width="11.5703125" style="31" customWidth="1"/>
    <col min="16" max="16" width="8.85546875" style="31"/>
    <col min="17" max="17" width="9.28515625" style="31" bestFit="1" customWidth="1"/>
  </cols>
  <sheetData>
    <row r="1" spans="1:19" x14ac:dyDescent="0.25">
      <c r="A1" s="3" t="s">
        <v>237</v>
      </c>
      <c r="B1" s="3"/>
      <c r="C1" s="3"/>
      <c r="G1" s="11" t="s">
        <v>315</v>
      </c>
      <c r="J1" s="3" t="s">
        <v>316</v>
      </c>
      <c r="K1" s="3"/>
      <c r="N1" s="28"/>
      <c r="O1" s="29" t="s">
        <v>326</v>
      </c>
      <c r="P1" s="30">
        <v>3</v>
      </c>
      <c r="Q1" s="30">
        <v>2</v>
      </c>
      <c r="R1" s="30">
        <v>1</v>
      </c>
      <c r="S1" s="37">
        <v>0</v>
      </c>
    </row>
    <row r="2" spans="1:19" ht="14.45" customHeight="1" thickBot="1" x14ac:dyDescent="0.3">
      <c r="J2" s="3" t="s">
        <v>317</v>
      </c>
      <c r="K2" s="3"/>
      <c r="O2" s="32" t="s">
        <v>327</v>
      </c>
      <c r="P2" s="33">
        <v>1.5</v>
      </c>
      <c r="Q2" s="33">
        <v>1</v>
      </c>
      <c r="R2" s="33">
        <v>0.5</v>
      </c>
      <c r="S2" s="38">
        <v>0</v>
      </c>
    </row>
    <row r="3" spans="1:19" s="1" customFormat="1" ht="81" x14ac:dyDescent="0.25">
      <c r="A3" s="12" t="s">
        <v>262</v>
      </c>
      <c r="B3" s="12" t="s">
        <v>409</v>
      </c>
      <c r="C3" s="18" t="s">
        <v>263</v>
      </c>
      <c r="D3" s="25" t="s">
        <v>319</v>
      </c>
      <c r="E3" s="16" t="s">
        <v>231</v>
      </c>
      <c r="F3" s="14" t="s">
        <v>214</v>
      </c>
      <c r="G3" s="12" t="s">
        <v>166</v>
      </c>
      <c r="H3" s="18" t="s">
        <v>220</v>
      </c>
      <c r="I3" s="42" t="s">
        <v>336</v>
      </c>
      <c r="J3" s="12" t="s">
        <v>273</v>
      </c>
      <c r="K3" s="1" t="s">
        <v>167</v>
      </c>
      <c r="L3" s="1" t="s">
        <v>232</v>
      </c>
      <c r="M3" s="1" t="s">
        <v>168</v>
      </c>
      <c r="N3" s="39" t="s">
        <v>318</v>
      </c>
      <c r="O3" s="40" t="s">
        <v>334</v>
      </c>
      <c r="P3" s="41" t="s">
        <v>325</v>
      </c>
      <c r="Q3" s="41" t="s">
        <v>329</v>
      </c>
    </row>
    <row r="4" spans="1:19" x14ac:dyDescent="0.25">
      <c r="A4">
        <v>1</v>
      </c>
      <c r="B4" s="15" t="s">
        <v>328</v>
      </c>
      <c r="C4" t="s">
        <v>174</v>
      </c>
      <c r="D4" s="19" t="s">
        <v>411</v>
      </c>
      <c r="E4">
        <v>0</v>
      </c>
      <c r="F4" s="13">
        <v>23</v>
      </c>
      <c r="G4" s="11" t="s">
        <v>169</v>
      </c>
      <c r="H4" t="s">
        <v>219</v>
      </c>
      <c r="O4" s="31">
        <v>0</v>
      </c>
      <c r="P4" s="34">
        <f t="shared" ref="P4:P67" si="0">IF(ISNUMBER(O4),HLOOKUP(O4,$O$1:$S$2,2,FALSE)*E4,"")</f>
        <v>0</v>
      </c>
    </row>
    <row r="5" spans="1:19" x14ac:dyDescent="0.25">
      <c r="A5">
        <v>2</v>
      </c>
      <c r="B5" s="15" t="s">
        <v>328</v>
      </c>
      <c r="C5" t="s">
        <v>174</v>
      </c>
      <c r="D5" s="19" t="s">
        <v>412</v>
      </c>
      <c r="E5">
        <v>0</v>
      </c>
      <c r="F5" s="13">
        <v>23</v>
      </c>
      <c r="G5" s="11" t="s">
        <v>169</v>
      </c>
      <c r="H5" t="s">
        <v>219</v>
      </c>
      <c r="O5" s="31">
        <v>0</v>
      </c>
      <c r="P5" s="34">
        <f t="shared" si="0"/>
        <v>0</v>
      </c>
    </row>
    <row r="6" spans="1:19" x14ac:dyDescent="0.25">
      <c r="A6">
        <v>3</v>
      </c>
      <c r="B6" s="15" t="s">
        <v>328</v>
      </c>
      <c r="C6" t="s">
        <v>174</v>
      </c>
      <c r="D6" s="19" t="s">
        <v>413</v>
      </c>
      <c r="E6">
        <v>0</v>
      </c>
      <c r="F6" s="13">
        <v>23</v>
      </c>
      <c r="G6" s="11" t="s">
        <v>169</v>
      </c>
      <c r="H6" t="s">
        <v>219</v>
      </c>
      <c r="O6" s="31">
        <v>0</v>
      </c>
      <c r="P6" s="34">
        <f t="shared" si="0"/>
        <v>0</v>
      </c>
    </row>
    <row r="7" spans="1:19" x14ac:dyDescent="0.25">
      <c r="A7">
        <v>4</v>
      </c>
      <c r="B7" s="15" t="s">
        <v>328</v>
      </c>
      <c r="C7" t="s">
        <v>174</v>
      </c>
      <c r="D7" s="19" t="s">
        <v>414</v>
      </c>
      <c r="E7">
        <v>0</v>
      </c>
      <c r="F7" s="13">
        <v>23</v>
      </c>
      <c r="G7" s="11" t="s">
        <v>169</v>
      </c>
      <c r="H7" t="s">
        <v>219</v>
      </c>
      <c r="O7" s="31">
        <v>0</v>
      </c>
      <c r="P7" s="34">
        <f t="shared" si="0"/>
        <v>0</v>
      </c>
    </row>
    <row r="8" spans="1:19" x14ac:dyDescent="0.25">
      <c r="A8">
        <v>5</v>
      </c>
      <c r="B8" s="15" t="s">
        <v>328</v>
      </c>
      <c r="C8" t="s">
        <v>171</v>
      </c>
      <c r="D8" s="19" t="s">
        <v>219</v>
      </c>
      <c r="E8">
        <v>0</v>
      </c>
      <c r="F8" s="13">
        <v>23</v>
      </c>
      <c r="G8" s="11" t="s">
        <v>169</v>
      </c>
      <c r="H8" t="s">
        <v>219</v>
      </c>
      <c r="O8" s="31">
        <v>0</v>
      </c>
      <c r="P8" s="34">
        <f t="shared" si="0"/>
        <v>0</v>
      </c>
    </row>
    <row r="9" spans="1:19" x14ac:dyDescent="0.25">
      <c r="A9">
        <v>6</v>
      </c>
      <c r="B9" s="15" t="s">
        <v>328</v>
      </c>
      <c r="C9" t="s">
        <v>171</v>
      </c>
      <c r="D9" s="19" t="s">
        <v>218</v>
      </c>
      <c r="E9">
        <v>1</v>
      </c>
      <c r="F9" s="13" t="s">
        <v>224</v>
      </c>
      <c r="G9" s="11" t="s">
        <v>251</v>
      </c>
      <c r="H9" t="s">
        <v>219</v>
      </c>
      <c r="I9" t="s">
        <v>218</v>
      </c>
      <c r="N9" s="31">
        <v>4</v>
      </c>
      <c r="O9" s="31">
        <v>1</v>
      </c>
      <c r="P9" s="34">
        <f t="shared" si="0"/>
        <v>0.5</v>
      </c>
      <c r="Q9" s="31" t="s">
        <v>333</v>
      </c>
    </row>
    <row r="10" spans="1:19" x14ac:dyDescent="0.25">
      <c r="A10">
        <v>7</v>
      </c>
      <c r="B10" s="15" t="s">
        <v>328</v>
      </c>
      <c r="C10" t="s">
        <v>10</v>
      </c>
      <c r="D10" s="19" t="s">
        <v>12</v>
      </c>
      <c r="E10">
        <v>1</v>
      </c>
      <c r="F10" s="13">
        <v>24</v>
      </c>
      <c r="G10" s="11" t="s">
        <v>252</v>
      </c>
      <c r="H10" t="s">
        <v>219</v>
      </c>
      <c r="J10" t="s">
        <v>313</v>
      </c>
      <c r="L10" t="s">
        <v>172</v>
      </c>
      <c r="M10" t="s">
        <v>173</v>
      </c>
      <c r="N10" s="31">
        <v>1</v>
      </c>
      <c r="O10" s="31">
        <v>3</v>
      </c>
      <c r="P10" s="34">
        <f t="shared" si="0"/>
        <v>1.5</v>
      </c>
      <c r="Q10" s="35" t="s">
        <v>330</v>
      </c>
    </row>
    <row r="11" spans="1:19" x14ac:dyDescent="0.25">
      <c r="A11">
        <v>8</v>
      </c>
      <c r="B11" s="15" t="s">
        <v>328</v>
      </c>
      <c r="C11" t="s">
        <v>10</v>
      </c>
      <c r="D11" s="19" t="s">
        <v>11</v>
      </c>
      <c r="E11">
        <v>1</v>
      </c>
      <c r="F11" s="13">
        <v>24</v>
      </c>
      <c r="G11" s="11" t="s">
        <v>253</v>
      </c>
      <c r="H11" t="s">
        <v>219</v>
      </c>
      <c r="J11" s="21" t="s">
        <v>272</v>
      </c>
      <c r="L11" t="s">
        <v>172</v>
      </c>
      <c r="M11" t="s">
        <v>173</v>
      </c>
      <c r="N11" s="31">
        <v>1</v>
      </c>
      <c r="O11" s="31">
        <v>3</v>
      </c>
      <c r="P11" s="34">
        <f t="shared" si="0"/>
        <v>1.5</v>
      </c>
      <c r="Q11" s="35" t="s">
        <v>330</v>
      </c>
    </row>
    <row r="12" spans="1:19" x14ac:dyDescent="0.25">
      <c r="A12">
        <v>9</v>
      </c>
      <c r="B12" s="15" t="s">
        <v>328</v>
      </c>
      <c r="C12" t="s">
        <v>10</v>
      </c>
      <c r="D12" s="19" t="s">
        <v>13</v>
      </c>
      <c r="E12">
        <v>1</v>
      </c>
      <c r="F12" s="13">
        <v>24</v>
      </c>
      <c r="G12" s="11" t="s">
        <v>254</v>
      </c>
      <c r="H12" t="s">
        <v>219</v>
      </c>
      <c r="J12" t="s">
        <v>312</v>
      </c>
      <c r="K12" t="s">
        <v>457</v>
      </c>
      <c r="L12" t="s">
        <v>172</v>
      </c>
      <c r="M12" t="s">
        <v>173</v>
      </c>
      <c r="N12" s="31">
        <v>1</v>
      </c>
      <c r="O12" s="31">
        <v>3</v>
      </c>
      <c r="P12" s="34">
        <f t="shared" si="0"/>
        <v>1.5</v>
      </c>
      <c r="Q12" s="35" t="s">
        <v>330</v>
      </c>
    </row>
    <row r="13" spans="1:19" x14ac:dyDescent="0.25">
      <c r="A13">
        <v>10</v>
      </c>
      <c r="B13" s="15" t="s">
        <v>328</v>
      </c>
      <c r="C13" t="s">
        <v>10</v>
      </c>
      <c r="D13" s="19" t="s">
        <v>14</v>
      </c>
      <c r="E13">
        <v>1</v>
      </c>
      <c r="F13" s="13">
        <v>24</v>
      </c>
      <c r="G13" s="11" t="s">
        <v>254</v>
      </c>
      <c r="H13" t="s">
        <v>219</v>
      </c>
      <c r="J13" t="s">
        <v>311</v>
      </c>
      <c r="K13" t="s">
        <v>458</v>
      </c>
      <c r="L13" t="s">
        <v>172</v>
      </c>
      <c r="M13" t="s">
        <v>173</v>
      </c>
      <c r="N13" s="31">
        <v>1</v>
      </c>
      <c r="O13" s="31">
        <v>3</v>
      </c>
      <c r="P13" s="34">
        <f t="shared" si="0"/>
        <v>1.5</v>
      </c>
      <c r="Q13" s="35" t="s">
        <v>330</v>
      </c>
    </row>
    <row r="14" spans="1:19" x14ac:dyDescent="0.25">
      <c r="A14">
        <v>11</v>
      </c>
      <c r="B14" s="15" t="s">
        <v>328</v>
      </c>
      <c r="C14" t="s">
        <v>10</v>
      </c>
      <c r="D14" s="19" t="s">
        <v>244</v>
      </c>
      <c r="E14">
        <v>1</v>
      </c>
      <c r="F14" s="13">
        <v>24</v>
      </c>
      <c r="G14" s="11" t="s">
        <v>259</v>
      </c>
      <c r="H14" t="s">
        <v>219</v>
      </c>
      <c r="J14" s="21" t="s">
        <v>272</v>
      </c>
      <c r="N14" s="31">
        <v>1</v>
      </c>
      <c r="O14" s="31">
        <v>1</v>
      </c>
      <c r="P14" s="34">
        <f t="shared" si="0"/>
        <v>0.5</v>
      </c>
      <c r="Q14" s="35" t="s">
        <v>330</v>
      </c>
    </row>
    <row r="15" spans="1:19" x14ac:dyDescent="0.25">
      <c r="A15">
        <v>12</v>
      </c>
      <c r="B15" s="15" t="s">
        <v>328</v>
      </c>
      <c r="C15" t="s">
        <v>10</v>
      </c>
      <c r="D15" s="19" t="s">
        <v>245</v>
      </c>
      <c r="E15">
        <v>1</v>
      </c>
      <c r="F15" s="13">
        <v>24</v>
      </c>
      <c r="G15" s="11" t="s">
        <v>259</v>
      </c>
      <c r="H15" t="s">
        <v>219</v>
      </c>
      <c r="J15" s="21" t="s">
        <v>272</v>
      </c>
      <c r="N15" s="31">
        <v>1</v>
      </c>
      <c r="O15" s="31">
        <v>1</v>
      </c>
      <c r="P15" s="34">
        <f t="shared" si="0"/>
        <v>0.5</v>
      </c>
      <c r="Q15" s="35" t="s">
        <v>330</v>
      </c>
    </row>
    <row r="16" spans="1:19" x14ac:dyDescent="0.25">
      <c r="A16">
        <v>13</v>
      </c>
      <c r="B16" s="15" t="s">
        <v>328</v>
      </c>
      <c r="C16" t="s">
        <v>10</v>
      </c>
      <c r="D16" s="19" t="s">
        <v>40</v>
      </c>
      <c r="E16">
        <v>0</v>
      </c>
      <c r="F16" s="13" t="s">
        <v>314</v>
      </c>
      <c r="G16" s="11" t="s">
        <v>46</v>
      </c>
      <c r="H16" t="s">
        <v>221</v>
      </c>
      <c r="O16" s="31">
        <v>1</v>
      </c>
      <c r="P16" s="34">
        <f t="shared" si="0"/>
        <v>0</v>
      </c>
    </row>
    <row r="17" spans="1:17" x14ac:dyDescent="0.25">
      <c r="A17">
        <v>14</v>
      </c>
      <c r="B17" s="15" t="s">
        <v>328</v>
      </c>
      <c r="C17" t="s">
        <v>10</v>
      </c>
      <c r="D17" s="19" t="s">
        <v>15</v>
      </c>
      <c r="E17">
        <v>1</v>
      </c>
      <c r="F17" s="13">
        <v>24</v>
      </c>
      <c r="G17" s="11" t="s">
        <v>255</v>
      </c>
      <c r="H17" t="s">
        <v>219</v>
      </c>
      <c r="J17" t="s">
        <v>310</v>
      </c>
      <c r="N17" s="31">
        <v>1</v>
      </c>
      <c r="O17" s="31">
        <v>2</v>
      </c>
      <c r="P17" s="34">
        <f t="shared" si="0"/>
        <v>1</v>
      </c>
      <c r="Q17" s="35" t="s">
        <v>330</v>
      </c>
    </row>
    <row r="18" spans="1:17" x14ac:dyDescent="0.25">
      <c r="A18">
        <v>15</v>
      </c>
      <c r="B18" s="15" t="s">
        <v>328</v>
      </c>
      <c r="C18" t="s">
        <v>10</v>
      </c>
      <c r="D18" s="19" t="s">
        <v>45</v>
      </c>
      <c r="E18">
        <v>1</v>
      </c>
      <c r="F18" s="13">
        <v>24</v>
      </c>
      <c r="G18" s="11" t="s">
        <v>46</v>
      </c>
      <c r="H18" t="s">
        <v>219</v>
      </c>
      <c r="J18" t="s">
        <v>309</v>
      </c>
      <c r="K18" t="s">
        <v>323</v>
      </c>
      <c r="N18" s="31">
        <v>1</v>
      </c>
      <c r="O18" s="31">
        <v>1</v>
      </c>
      <c r="P18" s="34">
        <f t="shared" si="0"/>
        <v>0.5</v>
      </c>
      <c r="Q18" s="35" t="s">
        <v>330</v>
      </c>
    </row>
    <row r="19" spans="1:17" x14ac:dyDescent="0.25">
      <c r="A19">
        <v>16</v>
      </c>
      <c r="B19" s="21"/>
      <c r="C19" s="21" t="s">
        <v>10</v>
      </c>
      <c r="D19" s="22" t="s">
        <v>49</v>
      </c>
      <c r="E19" s="21">
        <v>1</v>
      </c>
      <c r="F19" s="23"/>
      <c r="G19" s="24" t="s">
        <v>254</v>
      </c>
      <c r="H19" s="21" t="s">
        <v>219</v>
      </c>
      <c r="I19" s="21"/>
      <c r="J19" s="21" t="s">
        <v>308</v>
      </c>
      <c r="K19" s="21" t="s">
        <v>276</v>
      </c>
      <c r="L19" s="21"/>
      <c r="M19" s="21"/>
      <c r="N19" s="36">
        <v>1</v>
      </c>
      <c r="O19" s="36">
        <v>3</v>
      </c>
      <c r="P19" s="34">
        <f t="shared" si="0"/>
        <v>1.5</v>
      </c>
      <c r="Q19" s="35" t="s">
        <v>330</v>
      </c>
    </row>
    <row r="20" spans="1:17" x14ac:dyDescent="0.25">
      <c r="A20">
        <v>17</v>
      </c>
      <c r="B20" s="15" t="s">
        <v>328</v>
      </c>
      <c r="C20" t="s">
        <v>10</v>
      </c>
      <c r="D20" s="19" t="s">
        <v>52</v>
      </c>
      <c r="E20">
        <v>1</v>
      </c>
      <c r="F20" s="13" t="s">
        <v>226</v>
      </c>
      <c r="G20" s="11" t="s">
        <v>46</v>
      </c>
      <c r="H20" t="s">
        <v>219</v>
      </c>
      <c r="I20" t="s">
        <v>218</v>
      </c>
      <c r="J20" t="s">
        <v>307</v>
      </c>
      <c r="K20" t="s">
        <v>217</v>
      </c>
      <c r="N20" s="31">
        <v>1</v>
      </c>
      <c r="O20" s="31">
        <v>2</v>
      </c>
      <c r="P20" s="34">
        <f t="shared" si="0"/>
        <v>1</v>
      </c>
      <c r="Q20" s="35" t="s">
        <v>331</v>
      </c>
    </row>
    <row r="21" spans="1:17" ht="30" x14ac:dyDescent="0.25">
      <c r="A21">
        <v>18</v>
      </c>
      <c r="B21" s="15" t="s">
        <v>328</v>
      </c>
      <c r="C21" t="s">
        <v>10</v>
      </c>
      <c r="D21" s="19" t="s">
        <v>54</v>
      </c>
      <c r="E21">
        <v>1</v>
      </c>
      <c r="F21" s="13" t="s">
        <v>226</v>
      </c>
      <c r="G21" s="11" t="s">
        <v>46</v>
      </c>
      <c r="H21" t="s">
        <v>219</v>
      </c>
      <c r="I21" t="s">
        <v>218</v>
      </c>
      <c r="J21" t="s">
        <v>305</v>
      </c>
      <c r="K21" s="11" t="s">
        <v>324</v>
      </c>
      <c r="L21" s="21" t="s">
        <v>306</v>
      </c>
      <c r="N21" s="31">
        <v>1</v>
      </c>
      <c r="O21" s="31">
        <v>2</v>
      </c>
      <c r="P21" s="34">
        <f t="shared" si="0"/>
        <v>1</v>
      </c>
      <c r="Q21" s="35" t="s">
        <v>331</v>
      </c>
    </row>
    <row r="22" spans="1:17" ht="30" x14ac:dyDescent="0.25">
      <c r="A22">
        <v>19</v>
      </c>
      <c r="B22" s="15" t="s">
        <v>328</v>
      </c>
      <c r="C22" t="s">
        <v>94</v>
      </c>
      <c r="D22" s="19" t="s">
        <v>95</v>
      </c>
      <c r="E22">
        <v>1</v>
      </c>
      <c r="F22" s="13" t="s">
        <v>226</v>
      </c>
      <c r="G22" s="11" t="s">
        <v>256</v>
      </c>
      <c r="H22" t="s">
        <v>219</v>
      </c>
      <c r="I22" t="s">
        <v>218</v>
      </c>
      <c r="J22" t="s">
        <v>304</v>
      </c>
      <c r="N22" s="31">
        <v>2</v>
      </c>
      <c r="O22" s="31">
        <v>2</v>
      </c>
      <c r="P22" s="34">
        <f t="shared" si="0"/>
        <v>1</v>
      </c>
      <c r="Q22" s="35" t="s">
        <v>331</v>
      </c>
    </row>
    <row r="23" spans="1:17" x14ac:dyDescent="0.25">
      <c r="A23">
        <v>20</v>
      </c>
      <c r="B23" s="15" t="s">
        <v>328</v>
      </c>
      <c r="C23" t="s">
        <v>94</v>
      </c>
      <c r="D23" s="19" t="s">
        <v>96</v>
      </c>
      <c r="E23">
        <v>1</v>
      </c>
      <c r="F23" s="13" t="s">
        <v>226</v>
      </c>
      <c r="G23" s="11" t="s">
        <v>257</v>
      </c>
      <c r="H23" t="s">
        <v>219</v>
      </c>
      <c r="I23" t="s">
        <v>218</v>
      </c>
      <c r="J23" t="s">
        <v>303</v>
      </c>
      <c r="N23" s="31">
        <v>2</v>
      </c>
      <c r="O23" s="31">
        <v>2</v>
      </c>
      <c r="P23" s="34">
        <f t="shared" si="0"/>
        <v>1</v>
      </c>
      <c r="Q23" s="35" t="s">
        <v>331</v>
      </c>
    </row>
    <row r="24" spans="1:17" x14ac:dyDescent="0.25">
      <c r="A24">
        <v>21</v>
      </c>
      <c r="B24" s="15" t="s">
        <v>328</v>
      </c>
      <c r="C24" t="s">
        <v>94</v>
      </c>
      <c r="D24" s="19" t="s">
        <v>102</v>
      </c>
      <c r="E24">
        <v>1</v>
      </c>
      <c r="F24" s="13" t="s">
        <v>226</v>
      </c>
      <c r="G24" s="11" t="s">
        <v>46</v>
      </c>
      <c r="H24" t="s">
        <v>219</v>
      </c>
      <c r="I24" t="s">
        <v>218</v>
      </c>
      <c r="J24" t="s">
        <v>302</v>
      </c>
      <c r="N24" s="31">
        <v>2</v>
      </c>
      <c r="O24" s="31">
        <v>1</v>
      </c>
      <c r="P24" s="34">
        <f t="shared" si="0"/>
        <v>0.5</v>
      </c>
      <c r="Q24" s="35" t="s">
        <v>331</v>
      </c>
    </row>
    <row r="25" spans="1:17" x14ac:dyDescent="0.25">
      <c r="A25">
        <v>22</v>
      </c>
      <c r="B25" s="15" t="s">
        <v>328</v>
      </c>
      <c r="C25" t="s">
        <v>94</v>
      </c>
      <c r="D25" s="19" t="s">
        <v>97</v>
      </c>
      <c r="E25">
        <v>1</v>
      </c>
      <c r="F25" s="13" t="s">
        <v>226</v>
      </c>
      <c r="G25" s="11" t="s">
        <v>258</v>
      </c>
      <c r="H25" t="s">
        <v>219</v>
      </c>
      <c r="I25" t="s">
        <v>218</v>
      </c>
      <c r="J25" t="s">
        <v>301</v>
      </c>
      <c r="N25" s="31">
        <v>2</v>
      </c>
      <c r="O25" s="31">
        <v>1</v>
      </c>
      <c r="P25" s="34">
        <f t="shared" si="0"/>
        <v>0.5</v>
      </c>
      <c r="Q25" s="35" t="s">
        <v>331</v>
      </c>
    </row>
    <row r="26" spans="1:17" x14ac:dyDescent="0.25">
      <c r="A26">
        <v>23</v>
      </c>
      <c r="B26" s="15" t="s">
        <v>328</v>
      </c>
      <c r="C26" t="s">
        <v>94</v>
      </c>
      <c r="D26" s="19" t="s">
        <v>98</v>
      </c>
      <c r="E26">
        <v>1</v>
      </c>
      <c r="F26" s="13" t="s">
        <v>226</v>
      </c>
      <c r="G26" s="11" t="s">
        <v>257</v>
      </c>
      <c r="H26" t="s">
        <v>219</v>
      </c>
      <c r="I26" t="s">
        <v>218</v>
      </c>
      <c r="J26" t="s">
        <v>300</v>
      </c>
      <c r="N26" s="31">
        <v>2</v>
      </c>
      <c r="O26" s="31">
        <v>2</v>
      </c>
      <c r="P26" s="34">
        <f t="shared" si="0"/>
        <v>1</v>
      </c>
      <c r="Q26" s="35" t="s">
        <v>331</v>
      </c>
    </row>
    <row r="27" spans="1:17" x14ac:dyDescent="0.25">
      <c r="A27">
        <v>24</v>
      </c>
      <c r="B27" s="15" t="s">
        <v>328</v>
      </c>
      <c r="C27" t="s">
        <v>94</v>
      </c>
      <c r="D27" s="19" t="s">
        <v>107</v>
      </c>
      <c r="E27">
        <v>1</v>
      </c>
      <c r="F27" s="13" t="s">
        <v>226</v>
      </c>
      <c r="G27" s="11" t="s">
        <v>46</v>
      </c>
      <c r="H27" t="s">
        <v>219</v>
      </c>
      <c r="I27" t="s">
        <v>218</v>
      </c>
      <c r="J27" t="s">
        <v>299</v>
      </c>
      <c r="N27" s="31">
        <v>2</v>
      </c>
      <c r="O27" s="31">
        <v>3</v>
      </c>
      <c r="P27" s="34">
        <f t="shared" si="0"/>
        <v>1.5</v>
      </c>
      <c r="Q27" s="35" t="s">
        <v>331</v>
      </c>
    </row>
    <row r="28" spans="1:17" x14ac:dyDescent="0.25">
      <c r="A28">
        <v>25</v>
      </c>
      <c r="B28" s="15" t="s">
        <v>328</v>
      </c>
      <c r="C28" t="s">
        <v>108</v>
      </c>
      <c r="D28" s="19" t="s">
        <v>109</v>
      </c>
      <c r="E28">
        <v>1</v>
      </c>
      <c r="F28" s="13">
        <v>25</v>
      </c>
      <c r="G28" s="11" t="s">
        <v>216</v>
      </c>
      <c r="H28" t="s">
        <v>219</v>
      </c>
      <c r="J28" s="21" t="s">
        <v>272</v>
      </c>
      <c r="K28" t="s">
        <v>248</v>
      </c>
      <c r="N28" s="31">
        <v>3</v>
      </c>
      <c r="O28" s="31">
        <v>3</v>
      </c>
      <c r="P28" s="34">
        <f t="shared" si="0"/>
        <v>1.5</v>
      </c>
      <c r="Q28" s="35" t="s">
        <v>331</v>
      </c>
    </row>
    <row r="29" spans="1:17" x14ac:dyDescent="0.25">
      <c r="A29">
        <v>26</v>
      </c>
      <c r="B29" s="15" t="s">
        <v>328</v>
      </c>
      <c r="C29" t="s">
        <v>265</v>
      </c>
      <c r="D29" s="19" t="s">
        <v>249</v>
      </c>
      <c r="E29">
        <v>1</v>
      </c>
      <c r="F29" s="13">
        <v>25</v>
      </c>
      <c r="G29" s="11" t="s">
        <v>259</v>
      </c>
      <c r="H29" t="s">
        <v>219</v>
      </c>
      <c r="J29" t="s">
        <v>298</v>
      </c>
      <c r="N29" s="31">
        <v>3</v>
      </c>
      <c r="O29" s="31">
        <v>1</v>
      </c>
      <c r="P29" s="34">
        <f t="shared" si="0"/>
        <v>0.5</v>
      </c>
      <c r="Q29" s="35" t="s">
        <v>331</v>
      </c>
    </row>
    <row r="30" spans="1:17" x14ac:dyDescent="0.25">
      <c r="A30">
        <v>27</v>
      </c>
      <c r="B30" s="15" t="s">
        <v>328</v>
      </c>
      <c r="C30" t="s">
        <v>265</v>
      </c>
      <c r="D30" s="19" t="s">
        <v>115</v>
      </c>
      <c r="E30">
        <v>1</v>
      </c>
      <c r="F30" s="13">
        <v>25</v>
      </c>
      <c r="G30" s="11" t="s">
        <v>259</v>
      </c>
      <c r="H30" t="s">
        <v>219</v>
      </c>
      <c r="J30" t="s">
        <v>297</v>
      </c>
      <c r="N30" s="31">
        <v>3</v>
      </c>
      <c r="O30" s="31">
        <v>1</v>
      </c>
      <c r="P30" s="34">
        <f t="shared" si="0"/>
        <v>0.5</v>
      </c>
      <c r="Q30" s="35" t="s">
        <v>331</v>
      </c>
    </row>
    <row r="31" spans="1:17" x14ac:dyDescent="0.25">
      <c r="A31">
        <v>28</v>
      </c>
      <c r="B31" s="15" t="s">
        <v>328</v>
      </c>
      <c r="C31" t="s">
        <v>265</v>
      </c>
      <c r="D31" s="19" t="s">
        <v>112</v>
      </c>
      <c r="E31">
        <v>1</v>
      </c>
      <c r="F31" s="13">
        <v>25</v>
      </c>
      <c r="G31" s="11" t="s">
        <v>254</v>
      </c>
      <c r="H31" t="s">
        <v>219</v>
      </c>
      <c r="J31" t="s">
        <v>296</v>
      </c>
      <c r="N31" s="31">
        <v>3</v>
      </c>
      <c r="O31" s="31">
        <v>2</v>
      </c>
      <c r="P31" s="34">
        <f t="shared" si="0"/>
        <v>1</v>
      </c>
      <c r="Q31" s="31" t="s">
        <v>331</v>
      </c>
    </row>
    <row r="32" spans="1:17" x14ac:dyDescent="0.25">
      <c r="A32">
        <v>29</v>
      </c>
      <c r="B32" s="15" t="s">
        <v>328</v>
      </c>
      <c r="C32" t="s">
        <v>265</v>
      </c>
      <c r="D32" s="19" t="s">
        <v>118</v>
      </c>
      <c r="E32">
        <v>1</v>
      </c>
      <c r="F32" s="13">
        <v>25</v>
      </c>
      <c r="G32" s="11" t="s">
        <v>259</v>
      </c>
      <c r="H32" t="s">
        <v>219</v>
      </c>
      <c r="J32" t="s">
        <v>295</v>
      </c>
      <c r="N32" s="31">
        <v>3</v>
      </c>
      <c r="O32" s="31">
        <v>1</v>
      </c>
      <c r="P32" s="34">
        <f t="shared" si="0"/>
        <v>0.5</v>
      </c>
      <c r="Q32" s="31" t="s">
        <v>331</v>
      </c>
    </row>
    <row r="33" spans="1:17" x14ac:dyDescent="0.25">
      <c r="A33">
        <v>30</v>
      </c>
      <c r="B33" s="15" t="s">
        <v>328</v>
      </c>
      <c r="C33" t="s">
        <v>265</v>
      </c>
      <c r="D33" s="19" t="s">
        <v>120</v>
      </c>
      <c r="E33">
        <v>1</v>
      </c>
      <c r="F33" s="13">
        <v>25</v>
      </c>
      <c r="G33" s="11" t="s">
        <v>259</v>
      </c>
      <c r="H33" t="s">
        <v>219</v>
      </c>
      <c r="J33" t="s">
        <v>294</v>
      </c>
      <c r="N33" s="31">
        <v>3</v>
      </c>
      <c r="O33" s="31">
        <v>1</v>
      </c>
      <c r="P33" s="34">
        <f t="shared" si="0"/>
        <v>0.5</v>
      </c>
      <c r="Q33" s="31" t="s">
        <v>331</v>
      </c>
    </row>
    <row r="34" spans="1:17" x14ac:dyDescent="0.25">
      <c r="A34">
        <v>31</v>
      </c>
      <c r="B34" s="15" t="s">
        <v>328</v>
      </c>
      <c r="C34" t="s">
        <v>265</v>
      </c>
      <c r="D34" s="19" t="s">
        <v>250</v>
      </c>
      <c r="E34">
        <v>1</v>
      </c>
      <c r="F34" s="13">
        <v>25</v>
      </c>
      <c r="G34" s="11" t="s">
        <v>259</v>
      </c>
      <c r="H34" t="s">
        <v>219</v>
      </c>
      <c r="J34" t="s">
        <v>293</v>
      </c>
      <c r="N34" s="31">
        <v>3</v>
      </c>
      <c r="O34" s="31">
        <v>1</v>
      </c>
      <c r="P34" s="34">
        <f t="shared" si="0"/>
        <v>0.5</v>
      </c>
      <c r="Q34" s="31" t="s">
        <v>331</v>
      </c>
    </row>
    <row r="35" spans="1:17" x14ac:dyDescent="0.25">
      <c r="A35">
        <v>32</v>
      </c>
      <c r="B35" s="15" t="s">
        <v>328</v>
      </c>
      <c r="C35" t="s">
        <v>265</v>
      </c>
      <c r="D35" s="19" t="s">
        <v>123</v>
      </c>
      <c r="E35">
        <v>1</v>
      </c>
      <c r="F35" s="13">
        <v>25</v>
      </c>
      <c r="G35" s="11" t="s">
        <v>259</v>
      </c>
      <c r="H35" t="s">
        <v>219</v>
      </c>
      <c r="J35" t="s">
        <v>292</v>
      </c>
      <c r="N35" s="31">
        <v>3</v>
      </c>
      <c r="O35" s="31">
        <v>1</v>
      </c>
      <c r="P35" s="34">
        <f t="shared" si="0"/>
        <v>0.5</v>
      </c>
      <c r="Q35" s="31" t="s">
        <v>332</v>
      </c>
    </row>
    <row r="36" spans="1:17" x14ac:dyDescent="0.25">
      <c r="A36">
        <v>33</v>
      </c>
      <c r="B36" s="15" t="s">
        <v>328</v>
      </c>
      <c r="C36" t="s">
        <v>265</v>
      </c>
      <c r="D36" s="19" t="s">
        <v>124</v>
      </c>
      <c r="E36">
        <v>1</v>
      </c>
      <c r="F36" s="13">
        <v>25</v>
      </c>
      <c r="G36" s="11" t="s">
        <v>259</v>
      </c>
      <c r="H36" t="s">
        <v>219</v>
      </c>
      <c r="J36" t="s">
        <v>291</v>
      </c>
      <c r="N36" s="31">
        <v>3</v>
      </c>
      <c r="O36" s="31">
        <v>1</v>
      </c>
      <c r="P36" s="34">
        <f t="shared" si="0"/>
        <v>0.5</v>
      </c>
      <c r="Q36" s="31" t="s">
        <v>332</v>
      </c>
    </row>
    <row r="37" spans="1:17" x14ac:dyDescent="0.25">
      <c r="A37">
        <v>34</v>
      </c>
      <c r="B37" s="15" t="s">
        <v>328</v>
      </c>
      <c r="C37" t="s">
        <v>265</v>
      </c>
      <c r="D37" s="19" t="s">
        <v>125</v>
      </c>
      <c r="E37">
        <v>1</v>
      </c>
      <c r="F37" s="13">
        <v>28</v>
      </c>
      <c r="G37" s="11" t="s">
        <v>259</v>
      </c>
      <c r="H37" t="s">
        <v>219</v>
      </c>
      <c r="J37" t="s">
        <v>290</v>
      </c>
      <c r="N37" s="31">
        <v>3</v>
      </c>
      <c r="O37" s="31">
        <v>1</v>
      </c>
      <c r="P37" s="34">
        <f t="shared" si="0"/>
        <v>0.5</v>
      </c>
      <c r="Q37" s="31" t="s">
        <v>332</v>
      </c>
    </row>
    <row r="38" spans="1:17" x14ac:dyDescent="0.25">
      <c r="A38">
        <v>35</v>
      </c>
      <c r="B38" s="15" t="s">
        <v>328</v>
      </c>
      <c r="C38" t="s">
        <v>265</v>
      </c>
      <c r="D38" s="19" t="s">
        <v>260</v>
      </c>
      <c r="E38">
        <v>1</v>
      </c>
      <c r="F38" s="13">
        <v>28</v>
      </c>
      <c r="G38" s="11" t="s">
        <v>259</v>
      </c>
      <c r="H38" t="s">
        <v>219</v>
      </c>
      <c r="J38" t="s">
        <v>289</v>
      </c>
      <c r="N38" s="31">
        <v>3</v>
      </c>
      <c r="O38" s="31">
        <v>1</v>
      </c>
      <c r="P38" s="34">
        <f t="shared" si="0"/>
        <v>0.5</v>
      </c>
      <c r="Q38" s="31" t="s">
        <v>332</v>
      </c>
    </row>
    <row r="39" spans="1:17" x14ac:dyDescent="0.25">
      <c r="A39">
        <v>36</v>
      </c>
      <c r="B39" s="15" t="s">
        <v>328</v>
      </c>
      <c r="C39" t="s">
        <v>265</v>
      </c>
      <c r="D39" s="19" t="s">
        <v>126</v>
      </c>
      <c r="E39">
        <v>1</v>
      </c>
      <c r="F39" s="13">
        <v>28</v>
      </c>
      <c r="G39" s="11" t="s">
        <v>46</v>
      </c>
      <c r="H39" t="s">
        <v>219</v>
      </c>
      <c r="J39" t="s">
        <v>287</v>
      </c>
      <c r="N39" s="31">
        <v>3</v>
      </c>
      <c r="O39" s="31">
        <v>2</v>
      </c>
      <c r="P39" s="34">
        <f t="shared" si="0"/>
        <v>1</v>
      </c>
      <c r="Q39" s="31" t="s">
        <v>332</v>
      </c>
    </row>
    <row r="40" spans="1:17" x14ac:dyDescent="0.25">
      <c r="A40">
        <v>37</v>
      </c>
      <c r="B40" s="15" t="s">
        <v>328</v>
      </c>
      <c r="C40" t="s">
        <v>265</v>
      </c>
      <c r="D40" s="19" t="s">
        <v>128</v>
      </c>
      <c r="E40">
        <v>1</v>
      </c>
      <c r="F40" s="13">
        <v>28</v>
      </c>
      <c r="G40" s="11" t="s">
        <v>259</v>
      </c>
      <c r="H40" t="s">
        <v>219</v>
      </c>
      <c r="J40" t="s">
        <v>286</v>
      </c>
      <c r="N40" s="31">
        <v>3</v>
      </c>
      <c r="O40" s="31">
        <v>1</v>
      </c>
      <c r="P40" s="34">
        <f t="shared" si="0"/>
        <v>0.5</v>
      </c>
      <c r="Q40" s="31" t="s">
        <v>332</v>
      </c>
    </row>
    <row r="41" spans="1:17" x14ac:dyDescent="0.25">
      <c r="A41">
        <v>38</v>
      </c>
      <c r="B41" s="15" t="s">
        <v>328</v>
      </c>
      <c r="C41" t="s">
        <v>265</v>
      </c>
      <c r="D41" s="19" t="s">
        <v>129</v>
      </c>
      <c r="E41">
        <v>1</v>
      </c>
      <c r="F41" s="13">
        <v>28</v>
      </c>
      <c r="G41" s="11" t="s">
        <v>254</v>
      </c>
      <c r="H41" t="s">
        <v>219</v>
      </c>
      <c r="J41" t="s">
        <v>285</v>
      </c>
      <c r="N41" s="31">
        <v>3</v>
      </c>
      <c r="O41" s="31">
        <v>2</v>
      </c>
      <c r="P41" s="34">
        <f t="shared" si="0"/>
        <v>1</v>
      </c>
      <c r="Q41" s="31" t="s">
        <v>332</v>
      </c>
    </row>
    <row r="42" spans="1:17" x14ac:dyDescent="0.25">
      <c r="A42">
        <v>39</v>
      </c>
      <c r="B42" s="15" t="s">
        <v>328</v>
      </c>
      <c r="C42" t="s">
        <v>265</v>
      </c>
      <c r="D42" s="19" t="s">
        <v>130</v>
      </c>
      <c r="E42">
        <v>1</v>
      </c>
      <c r="F42" s="13">
        <v>28</v>
      </c>
      <c r="G42" s="11" t="s">
        <v>259</v>
      </c>
      <c r="H42" t="s">
        <v>219</v>
      </c>
      <c r="J42" t="s">
        <v>284</v>
      </c>
      <c r="N42" s="31">
        <v>3</v>
      </c>
      <c r="O42" s="31">
        <v>1</v>
      </c>
      <c r="P42" s="34">
        <f t="shared" si="0"/>
        <v>0.5</v>
      </c>
      <c r="Q42" s="31" t="s">
        <v>332</v>
      </c>
    </row>
    <row r="43" spans="1:17" x14ac:dyDescent="0.25">
      <c r="A43">
        <v>40</v>
      </c>
      <c r="B43" s="15" t="s">
        <v>328</v>
      </c>
      <c r="C43" t="s">
        <v>265</v>
      </c>
      <c r="D43" s="19" t="s">
        <v>131</v>
      </c>
      <c r="E43">
        <v>1</v>
      </c>
      <c r="F43" s="13">
        <v>28</v>
      </c>
      <c r="G43" s="11" t="s">
        <v>46</v>
      </c>
      <c r="H43" t="s">
        <v>219</v>
      </c>
      <c r="J43" t="s">
        <v>274</v>
      </c>
      <c r="N43" s="31">
        <v>3</v>
      </c>
      <c r="O43" s="31">
        <v>2</v>
      </c>
      <c r="P43" s="34">
        <f t="shared" si="0"/>
        <v>1</v>
      </c>
      <c r="Q43" s="31" t="s">
        <v>332</v>
      </c>
    </row>
    <row r="44" spans="1:17" x14ac:dyDescent="0.25">
      <c r="A44">
        <v>41</v>
      </c>
      <c r="B44" s="15" t="s">
        <v>328</v>
      </c>
      <c r="C44" t="s">
        <v>265</v>
      </c>
      <c r="D44" s="19" t="s">
        <v>132</v>
      </c>
      <c r="E44">
        <v>1</v>
      </c>
      <c r="F44" s="13">
        <v>28</v>
      </c>
      <c r="G44" s="11" t="s">
        <v>259</v>
      </c>
      <c r="H44" t="s">
        <v>219</v>
      </c>
      <c r="J44" s="21" t="s">
        <v>272</v>
      </c>
      <c r="N44" s="31">
        <v>3</v>
      </c>
      <c r="O44" s="31">
        <v>1</v>
      </c>
      <c r="P44" s="34">
        <f t="shared" si="0"/>
        <v>0.5</v>
      </c>
      <c r="Q44" s="31" t="s">
        <v>332</v>
      </c>
    </row>
    <row r="45" spans="1:17" x14ac:dyDescent="0.25">
      <c r="A45">
        <v>42</v>
      </c>
      <c r="B45" s="15" t="s">
        <v>328</v>
      </c>
      <c r="C45" t="s">
        <v>266</v>
      </c>
      <c r="D45" s="19" t="s">
        <v>249</v>
      </c>
      <c r="E45">
        <v>1</v>
      </c>
      <c r="F45" s="13">
        <v>26</v>
      </c>
      <c r="G45" s="11" t="s">
        <v>259</v>
      </c>
      <c r="H45" t="s">
        <v>219</v>
      </c>
      <c r="J45" t="s">
        <v>298</v>
      </c>
      <c r="N45" s="31">
        <v>3</v>
      </c>
      <c r="O45" s="31">
        <v>1</v>
      </c>
      <c r="P45" s="34">
        <f t="shared" si="0"/>
        <v>0.5</v>
      </c>
      <c r="Q45" s="31" t="s">
        <v>332</v>
      </c>
    </row>
    <row r="46" spans="1:17" x14ac:dyDescent="0.25">
      <c r="A46">
        <v>43</v>
      </c>
      <c r="B46" s="15" t="s">
        <v>328</v>
      </c>
      <c r="C46" t="s">
        <v>266</v>
      </c>
      <c r="D46" s="19" t="s">
        <v>115</v>
      </c>
      <c r="E46">
        <v>1</v>
      </c>
      <c r="F46" s="13">
        <v>26</v>
      </c>
      <c r="G46" s="11" t="s">
        <v>259</v>
      </c>
      <c r="H46" t="s">
        <v>219</v>
      </c>
      <c r="J46" t="s">
        <v>297</v>
      </c>
      <c r="N46" s="31">
        <v>3</v>
      </c>
      <c r="O46" s="31">
        <v>1</v>
      </c>
      <c r="P46" s="34">
        <f t="shared" si="0"/>
        <v>0.5</v>
      </c>
      <c r="Q46" s="31" t="s">
        <v>332</v>
      </c>
    </row>
    <row r="47" spans="1:17" x14ac:dyDescent="0.25">
      <c r="A47">
        <v>44</v>
      </c>
      <c r="B47" s="15" t="s">
        <v>328</v>
      </c>
      <c r="C47" t="s">
        <v>266</v>
      </c>
      <c r="D47" s="19" t="s">
        <v>112</v>
      </c>
      <c r="E47">
        <v>1</v>
      </c>
      <c r="F47" s="13">
        <v>26</v>
      </c>
      <c r="G47" s="11" t="s">
        <v>254</v>
      </c>
      <c r="H47" t="s">
        <v>219</v>
      </c>
      <c r="J47" t="s">
        <v>296</v>
      </c>
      <c r="N47" s="31">
        <v>3</v>
      </c>
      <c r="O47" s="31">
        <v>2</v>
      </c>
      <c r="P47" s="34">
        <f t="shared" si="0"/>
        <v>1</v>
      </c>
      <c r="Q47" s="31" t="s">
        <v>332</v>
      </c>
    </row>
    <row r="48" spans="1:17" x14ac:dyDescent="0.25">
      <c r="A48">
        <v>45</v>
      </c>
      <c r="B48" s="15" t="s">
        <v>328</v>
      </c>
      <c r="C48" t="s">
        <v>266</v>
      </c>
      <c r="D48" s="19" t="s">
        <v>118</v>
      </c>
      <c r="E48">
        <v>1</v>
      </c>
      <c r="F48" s="13">
        <v>26</v>
      </c>
      <c r="G48" s="11" t="s">
        <v>259</v>
      </c>
      <c r="H48" t="s">
        <v>219</v>
      </c>
      <c r="J48" t="s">
        <v>295</v>
      </c>
      <c r="N48" s="31">
        <v>3</v>
      </c>
      <c r="O48" s="31">
        <v>1</v>
      </c>
      <c r="P48" s="34">
        <f t="shared" si="0"/>
        <v>0.5</v>
      </c>
      <c r="Q48" s="31" t="s">
        <v>332</v>
      </c>
    </row>
    <row r="49" spans="1:17" x14ac:dyDescent="0.25">
      <c r="A49">
        <v>46</v>
      </c>
      <c r="B49" s="15" t="s">
        <v>328</v>
      </c>
      <c r="C49" t="s">
        <v>266</v>
      </c>
      <c r="D49" s="19" t="s">
        <v>123</v>
      </c>
      <c r="E49">
        <v>1</v>
      </c>
      <c r="F49" s="13">
        <v>26</v>
      </c>
      <c r="G49" s="11" t="s">
        <v>259</v>
      </c>
      <c r="H49" t="s">
        <v>219</v>
      </c>
      <c r="J49" t="s">
        <v>292</v>
      </c>
      <c r="N49" s="31">
        <v>3</v>
      </c>
      <c r="O49" s="31">
        <v>1</v>
      </c>
      <c r="P49" s="34">
        <f t="shared" si="0"/>
        <v>0.5</v>
      </c>
      <c r="Q49" s="31" t="s">
        <v>332</v>
      </c>
    </row>
    <row r="50" spans="1:17" x14ac:dyDescent="0.25">
      <c r="A50">
        <v>47</v>
      </c>
      <c r="B50" s="15" t="s">
        <v>328</v>
      </c>
      <c r="C50" t="s">
        <v>266</v>
      </c>
      <c r="D50" s="19" t="s">
        <v>124</v>
      </c>
      <c r="E50">
        <v>1</v>
      </c>
      <c r="F50" s="13">
        <v>26</v>
      </c>
      <c r="G50" s="11" t="s">
        <v>259</v>
      </c>
      <c r="H50" t="s">
        <v>219</v>
      </c>
      <c r="J50" t="s">
        <v>291</v>
      </c>
      <c r="N50" s="31">
        <v>3</v>
      </c>
      <c r="O50" s="31">
        <v>1</v>
      </c>
      <c r="P50" s="34">
        <f t="shared" si="0"/>
        <v>0.5</v>
      </c>
      <c r="Q50" s="31" t="s">
        <v>332</v>
      </c>
    </row>
    <row r="51" spans="1:17" x14ac:dyDescent="0.25">
      <c r="A51">
        <v>48</v>
      </c>
      <c r="B51" s="15" t="s">
        <v>328</v>
      </c>
      <c r="C51" t="s">
        <v>266</v>
      </c>
      <c r="D51" s="19" t="s">
        <v>125</v>
      </c>
      <c r="E51">
        <v>1</v>
      </c>
      <c r="F51" s="13">
        <v>26</v>
      </c>
      <c r="G51" s="11" t="s">
        <v>259</v>
      </c>
      <c r="H51" t="s">
        <v>219</v>
      </c>
      <c r="J51" t="s">
        <v>290</v>
      </c>
      <c r="N51" s="31">
        <v>3</v>
      </c>
      <c r="O51" s="31">
        <v>1</v>
      </c>
      <c r="P51" s="34">
        <f t="shared" si="0"/>
        <v>0.5</v>
      </c>
      <c r="Q51" s="31" t="s">
        <v>332</v>
      </c>
    </row>
    <row r="52" spans="1:17" x14ac:dyDescent="0.25">
      <c r="A52">
        <v>49</v>
      </c>
      <c r="B52" s="15" t="s">
        <v>328</v>
      </c>
      <c r="C52" t="s">
        <v>266</v>
      </c>
      <c r="D52" s="19" t="s">
        <v>132</v>
      </c>
      <c r="E52">
        <v>1</v>
      </c>
      <c r="F52" s="13">
        <v>26</v>
      </c>
      <c r="G52" s="11" t="s">
        <v>259</v>
      </c>
      <c r="H52" t="s">
        <v>219</v>
      </c>
      <c r="J52" s="21" t="s">
        <v>272</v>
      </c>
      <c r="N52" s="31">
        <v>3</v>
      </c>
      <c r="O52" s="31">
        <v>1</v>
      </c>
      <c r="P52" s="34">
        <f t="shared" si="0"/>
        <v>0.5</v>
      </c>
      <c r="Q52" s="31" t="s">
        <v>332</v>
      </c>
    </row>
    <row r="53" spans="1:17" x14ac:dyDescent="0.25">
      <c r="A53">
        <v>50</v>
      </c>
      <c r="B53" s="15" t="s">
        <v>328</v>
      </c>
      <c r="C53" t="s">
        <v>267</v>
      </c>
      <c r="D53" s="19" t="s">
        <v>123</v>
      </c>
      <c r="E53">
        <v>0</v>
      </c>
      <c r="F53" s="13">
        <v>27</v>
      </c>
      <c r="G53" s="11" t="s">
        <v>169</v>
      </c>
      <c r="H53" t="s">
        <v>219</v>
      </c>
      <c r="J53" t="s">
        <v>292</v>
      </c>
      <c r="K53" t="s">
        <v>756</v>
      </c>
      <c r="N53" s="31">
        <v>3</v>
      </c>
      <c r="O53" s="31">
        <v>0</v>
      </c>
      <c r="P53" s="34">
        <f t="shared" si="0"/>
        <v>0</v>
      </c>
      <c r="Q53" s="31" t="s">
        <v>332</v>
      </c>
    </row>
    <row r="54" spans="1:17" x14ac:dyDescent="0.25">
      <c r="A54">
        <v>51</v>
      </c>
      <c r="B54" s="15" t="s">
        <v>328</v>
      </c>
      <c r="C54" t="s">
        <v>267</v>
      </c>
      <c r="D54" s="19" t="s">
        <v>124</v>
      </c>
      <c r="E54">
        <v>1</v>
      </c>
      <c r="F54" s="13">
        <v>27</v>
      </c>
      <c r="G54" s="11" t="s">
        <v>259</v>
      </c>
      <c r="H54" t="s">
        <v>219</v>
      </c>
      <c r="J54" t="s">
        <v>291</v>
      </c>
      <c r="N54" s="31">
        <v>3</v>
      </c>
      <c r="O54" s="31">
        <v>1</v>
      </c>
      <c r="P54" s="34">
        <f t="shared" si="0"/>
        <v>0.5</v>
      </c>
      <c r="Q54" s="31" t="s">
        <v>332</v>
      </c>
    </row>
    <row r="55" spans="1:17" x14ac:dyDescent="0.25">
      <c r="A55">
        <v>52</v>
      </c>
      <c r="B55" s="15" t="s">
        <v>328</v>
      </c>
      <c r="C55" t="s">
        <v>267</v>
      </c>
      <c r="D55" s="19" t="s">
        <v>125</v>
      </c>
      <c r="E55">
        <v>1</v>
      </c>
      <c r="F55" s="13">
        <v>27</v>
      </c>
      <c r="G55" s="11" t="s">
        <v>259</v>
      </c>
      <c r="H55" t="s">
        <v>219</v>
      </c>
      <c r="J55" t="s">
        <v>290</v>
      </c>
      <c r="N55" s="31">
        <v>3</v>
      </c>
      <c r="O55" s="31">
        <v>1</v>
      </c>
      <c r="P55" s="34">
        <f t="shared" si="0"/>
        <v>0.5</v>
      </c>
      <c r="Q55" s="31" t="s">
        <v>332</v>
      </c>
    </row>
    <row r="56" spans="1:17" x14ac:dyDescent="0.25">
      <c r="A56">
        <v>53</v>
      </c>
      <c r="B56" s="15" t="s">
        <v>328</v>
      </c>
      <c r="C56" t="s">
        <v>267</v>
      </c>
      <c r="D56" s="19" t="s">
        <v>260</v>
      </c>
      <c r="E56">
        <v>1</v>
      </c>
      <c r="F56" s="13">
        <v>27</v>
      </c>
      <c r="G56" s="11" t="s">
        <v>259</v>
      </c>
      <c r="H56" t="s">
        <v>219</v>
      </c>
      <c r="J56" t="s">
        <v>289</v>
      </c>
      <c r="N56" s="31">
        <v>3</v>
      </c>
      <c r="O56" s="31">
        <v>1</v>
      </c>
      <c r="P56" s="34">
        <f t="shared" si="0"/>
        <v>0.5</v>
      </c>
      <c r="Q56" s="31" t="s">
        <v>332</v>
      </c>
    </row>
    <row r="57" spans="1:17" x14ac:dyDescent="0.25">
      <c r="A57">
        <v>54</v>
      </c>
      <c r="B57" s="15" t="s">
        <v>328</v>
      </c>
      <c r="C57" t="s">
        <v>267</v>
      </c>
      <c r="D57" s="19" t="s">
        <v>126</v>
      </c>
      <c r="E57">
        <v>1</v>
      </c>
      <c r="F57" s="13">
        <v>27</v>
      </c>
      <c r="G57" s="11" t="s">
        <v>46</v>
      </c>
      <c r="H57" t="s">
        <v>219</v>
      </c>
      <c r="J57" t="s">
        <v>287</v>
      </c>
      <c r="N57" s="31">
        <v>3</v>
      </c>
      <c r="O57" s="31">
        <v>2</v>
      </c>
      <c r="P57" s="34">
        <f t="shared" si="0"/>
        <v>1</v>
      </c>
      <c r="Q57" s="31" t="s">
        <v>333</v>
      </c>
    </row>
    <row r="58" spans="1:17" x14ac:dyDescent="0.25">
      <c r="A58">
        <v>55</v>
      </c>
      <c r="B58" s="15" t="s">
        <v>328</v>
      </c>
      <c r="C58" t="s">
        <v>267</v>
      </c>
      <c r="D58" s="19" t="s">
        <v>128</v>
      </c>
      <c r="E58">
        <v>1</v>
      </c>
      <c r="F58" s="13">
        <v>27</v>
      </c>
      <c r="G58" s="11" t="s">
        <v>259</v>
      </c>
      <c r="H58" t="s">
        <v>219</v>
      </c>
      <c r="J58" t="s">
        <v>286</v>
      </c>
      <c r="N58" s="31">
        <v>3</v>
      </c>
      <c r="O58" s="31">
        <v>1</v>
      </c>
      <c r="P58" s="34">
        <f t="shared" si="0"/>
        <v>0.5</v>
      </c>
      <c r="Q58" s="31" t="s">
        <v>333</v>
      </c>
    </row>
    <row r="59" spans="1:17" x14ac:dyDescent="0.25">
      <c r="A59">
        <v>56</v>
      </c>
      <c r="B59" s="15" t="s">
        <v>328</v>
      </c>
      <c r="C59" t="s">
        <v>267</v>
      </c>
      <c r="D59" s="19" t="s">
        <v>129</v>
      </c>
      <c r="E59">
        <v>1</v>
      </c>
      <c r="F59" s="13">
        <v>27</v>
      </c>
      <c r="G59" s="11" t="s">
        <v>254</v>
      </c>
      <c r="H59" t="s">
        <v>219</v>
      </c>
      <c r="J59" t="s">
        <v>285</v>
      </c>
      <c r="N59" s="31">
        <v>3</v>
      </c>
      <c r="O59" s="31">
        <v>2</v>
      </c>
      <c r="P59" s="34">
        <f t="shared" si="0"/>
        <v>1</v>
      </c>
      <c r="Q59" s="31" t="s">
        <v>333</v>
      </c>
    </row>
    <row r="60" spans="1:17" x14ac:dyDescent="0.25">
      <c r="A60">
        <v>57</v>
      </c>
      <c r="B60" s="15" t="s">
        <v>328</v>
      </c>
      <c r="C60" t="s">
        <v>267</v>
      </c>
      <c r="D60" s="19" t="s">
        <v>130</v>
      </c>
      <c r="E60">
        <v>1</v>
      </c>
      <c r="F60" s="13">
        <v>27</v>
      </c>
      <c r="G60" s="11" t="s">
        <v>259</v>
      </c>
      <c r="H60" t="s">
        <v>219</v>
      </c>
      <c r="J60" t="s">
        <v>284</v>
      </c>
      <c r="N60" s="31">
        <v>3</v>
      </c>
      <c r="O60" s="31">
        <v>1</v>
      </c>
      <c r="P60" s="34">
        <f t="shared" si="0"/>
        <v>0.5</v>
      </c>
      <c r="Q60" s="31" t="s">
        <v>333</v>
      </c>
    </row>
    <row r="61" spans="1:17" x14ac:dyDescent="0.25">
      <c r="A61">
        <v>58</v>
      </c>
      <c r="B61" s="15" t="s">
        <v>328</v>
      </c>
      <c r="C61" t="s">
        <v>267</v>
      </c>
      <c r="D61" s="19" t="s">
        <v>131</v>
      </c>
      <c r="E61">
        <v>1</v>
      </c>
      <c r="F61" s="13">
        <v>27</v>
      </c>
      <c r="G61" s="11" t="s">
        <v>46</v>
      </c>
      <c r="H61" t="s">
        <v>219</v>
      </c>
      <c r="J61" t="s">
        <v>274</v>
      </c>
      <c r="N61" s="31">
        <v>3</v>
      </c>
      <c r="O61" s="31">
        <v>2</v>
      </c>
      <c r="P61" s="34">
        <f t="shared" si="0"/>
        <v>1</v>
      </c>
      <c r="Q61" s="31" t="s">
        <v>333</v>
      </c>
    </row>
    <row r="62" spans="1:17" x14ac:dyDescent="0.25">
      <c r="A62">
        <v>59</v>
      </c>
      <c r="B62" s="15" t="s">
        <v>328</v>
      </c>
      <c r="C62" t="s">
        <v>267</v>
      </c>
      <c r="D62" s="19" t="s">
        <v>132</v>
      </c>
      <c r="E62">
        <v>1</v>
      </c>
      <c r="F62" s="13">
        <v>27</v>
      </c>
      <c r="G62" s="11" t="s">
        <v>259</v>
      </c>
      <c r="H62" t="s">
        <v>219</v>
      </c>
      <c r="J62" s="21" t="s">
        <v>272</v>
      </c>
      <c r="N62" s="31">
        <v>3</v>
      </c>
      <c r="O62" s="31">
        <v>1</v>
      </c>
      <c r="P62" s="34">
        <f t="shared" si="0"/>
        <v>0.5</v>
      </c>
      <c r="Q62" s="31" t="s">
        <v>333</v>
      </c>
    </row>
    <row r="63" spans="1:17" x14ac:dyDescent="0.25">
      <c r="A63">
        <v>60</v>
      </c>
      <c r="B63" s="15" t="s">
        <v>328</v>
      </c>
      <c r="C63" t="s">
        <v>135</v>
      </c>
      <c r="D63" s="20" t="s">
        <v>215</v>
      </c>
      <c r="E63">
        <v>1</v>
      </c>
      <c r="F63" s="13">
        <v>28</v>
      </c>
      <c r="G63" s="11" t="s">
        <v>254</v>
      </c>
      <c r="H63" t="s">
        <v>219</v>
      </c>
      <c r="J63" t="s">
        <v>283</v>
      </c>
      <c r="N63" s="31">
        <v>3</v>
      </c>
      <c r="O63" s="31">
        <v>2</v>
      </c>
      <c r="P63" s="34">
        <f t="shared" si="0"/>
        <v>1</v>
      </c>
      <c r="Q63" s="31" t="s">
        <v>333</v>
      </c>
    </row>
    <row r="64" spans="1:17" ht="30" x14ac:dyDescent="0.25">
      <c r="A64">
        <v>61</v>
      </c>
      <c r="B64" s="15" t="s">
        <v>328</v>
      </c>
      <c r="C64" t="s">
        <v>135</v>
      </c>
      <c r="D64" s="20" t="s">
        <v>137</v>
      </c>
      <c r="E64">
        <v>1</v>
      </c>
      <c r="F64" s="13">
        <v>28</v>
      </c>
      <c r="G64" s="11" t="s">
        <v>261</v>
      </c>
      <c r="H64" t="s">
        <v>219</v>
      </c>
      <c r="J64" t="s">
        <v>282</v>
      </c>
      <c r="N64" s="31">
        <v>3</v>
      </c>
      <c r="O64" s="31">
        <v>2</v>
      </c>
      <c r="P64" s="34">
        <f t="shared" si="0"/>
        <v>1</v>
      </c>
      <c r="Q64" s="31" t="s">
        <v>333</v>
      </c>
    </row>
    <row r="65" spans="1:17" x14ac:dyDescent="0.25">
      <c r="A65">
        <v>62</v>
      </c>
      <c r="B65" s="15" t="s">
        <v>328</v>
      </c>
      <c r="C65" t="s">
        <v>145</v>
      </c>
      <c r="D65" s="19" t="s">
        <v>147</v>
      </c>
      <c r="E65">
        <v>1</v>
      </c>
      <c r="F65" s="13">
        <v>29</v>
      </c>
      <c r="G65" s="11" t="s">
        <v>46</v>
      </c>
      <c r="H65" t="s">
        <v>219</v>
      </c>
      <c r="J65" t="s">
        <v>281</v>
      </c>
      <c r="N65" s="31">
        <v>4</v>
      </c>
      <c r="O65" s="31">
        <v>2</v>
      </c>
      <c r="P65" s="34">
        <f t="shared" si="0"/>
        <v>1</v>
      </c>
      <c r="Q65" s="31" t="s">
        <v>333</v>
      </c>
    </row>
    <row r="66" spans="1:17" x14ac:dyDescent="0.25">
      <c r="A66">
        <v>63</v>
      </c>
      <c r="B66" s="15" t="s">
        <v>328</v>
      </c>
      <c r="C66" t="s">
        <v>145</v>
      </c>
      <c r="D66" s="19" t="s">
        <v>148</v>
      </c>
      <c r="E66">
        <v>1</v>
      </c>
      <c r="F66" s="13">
        <v>29</v>
      </c>
      <c r="G66" s="11" t="s">
        <v>46</v>
      </c>
      <c r="H66" t="s">
        <v>219</v>
      </c>
      <c r="J66" t="s">
        <v>280</v>
      </c>
      <c r="N66" s="31">
        <v>4</v>
      </c>
      <c r="O66" s="31">
        <v>2</v>
      </c>
      <c r="P66" s="34">
        <f t="shared" si="0"/>
        <v>1</v>
      </c>
      <c r="Q66" s="31" t="s">
        <v>333</v>
      </c>
    </row>
    <row r="67" spans="1:17" x14ac:dyDescent="0.25">
      <c r="A67">
        <v>64</v>
      </c>
      <c r="B67" s="15" t="s">
        <v>328</v>
      </c>
      <c r="C67" t="s">
        <v>145</v>
      </c>
      <c r="D67" s="19" t="s">
        <v>149</v>
      </c>
      <c r="E67">
        <v>1</v>
      </c>
      <c r="F67" s="13">
        <v>29</v>
      </c>
      <c r="G67" s="11" t="s">
        <v>46</v>
      </c>
      <c r="H67" t="s">
        <v>219</v>
      </c>
      <c r="J67" t="s">
        <v>279</v>
      </c>
      <c r="N67" s="31">
        <v>4</v>
      </c>
      <c r="O67" s="31">
        <v>2</v>
      </c>
      <c r="P67" s="34">
        <f t="shared" si="0"/>
        <v>1</v>
      </c>
      <c r="Q67" s="31" t="s">
        <v>333</v>
      </c>
    </row>
    <row r="68" spans="1:17" x14ac:dyDescent="0.25">
      <c r="A68">
        <v>65</v>
      </c>
      <c r="B68" s="15" t="s">
        <v>328</v>
      </c>
      <c r="C68" t="s">
        <v>145</v>
      </c>
      <c r="D68" s="19" t="s">
        <v>150</v>
      </c>
      <c r="E68">
        <v>1</v>
      </c>
      <c r="F68" s="13">
        <v>29</v>
      </c>
      <c r="G68" s="11" t="s">
        <v>46</v>
      </c>
      <c r="H68" t="s">
        <v>219</v>
      </c>
      <c r="J68" t="s">
        <v>278</v>
      </c>
      <c r="N68" s="31">
        <v>4</v>
      </c>
      <c r="O68" s="31">
        <v>2</v>
      </c>
      <c r="P68" s="34">
        <f t="shared" ref="P68:P182" si="1">IF(ISNUMBER(O68),HLOOKUP(O68,$O$1:$S$2,2,FALSE)*E68,"")</f>
        <v>1</v>
      </c>
      <c r="Q68" s="31" t="s">
        <v>333</v>
      </c>
    </row>
    <row r="69" spans="1:17" x14ac:dyDescent="0.25">
      <c r="A69">
        <v>66</v>
      </c>
      <c r="B69" s="15" t="s">
        <v>328</v>
      </c>
      <c r="C69" t="s">
        <v>145</v>
      </c>
      <c r="D69" s="19" t="s">
        <v>151</v>
      </c>
      <c r="E69">
        <v>1</v>
      </c>
      <c r="F69" s="13">
        <v>29</v>
      </c>
      <c r="G69" s="11" t="s">
        <v>46</v>
      </c>
      <c r="H69" t="s">
        <v>219</v>
      </c>
      <c r="J69" s="21" t="s">
        <v>272</v>
      </c>
      <c r="N69" s="31">
        <v>4</v>
      </c>
      <c r="O69" s="31">
        <v>2</v>
      </c>
      <c r="P69" s="34">
        <f t="shared" si="1"/>
        <v>1</v>
      </c>
      <c r="Q69" s="31" t="s">
        <v>333</v>
      </c>
    </row>
    <row r="70" spans="1:17" ht="30" x14ac:dyDescent="0.25">
      <c r="A70">
        <v>67</v>
      </c>
      <c r="B70" s="15" t="s">
        <v>328</v>
      </c>
      <c r="C70" t="s">
        <v>145</v>
      </c>
      <c r="D70" s="19" t="s">
        <v>146</v>
      </c>
      <c r="E70">
        <v>1</v>
      </c>
      <c r="F70" s="13">
        <v>29</v>
      </c>
      <c r="G70" s="11" t="s">
        <v>261</v>
      </c>
      <c r="H70" t="s">
        <v>219</v>
      </c>
      <c r="J70" s="21" t="s">
        <v>272</v>
      </c>
      <c r="N70" s="31">
        <v>4</v>
      </c>
      <c r="O70" s="31">
        <v>2</v>
      </c>
      <c r="P70" s="34">
        <f t="shared" si="1"/>
        <v>1</v>
      </c>
      <c r="Q70" s="31" t="s">
        <v>333</v>
      </c>
    </row>
    <row r="71" spans="1:17" x14ac:dyDescent="0.25">
      <c r="A71">
        <v>68</v>
      </c>
      <c r="B71" s="21"/>
      <c r="C71" s="21" t="s">
        <v>145</v>
      </c>
      <c r="D71" s="22" t="s">
        <v>271</v>
      </c>
      <c r="E71" s="21">
        <v>1</v>
      </c>
      <c r="F71" s="23"/>
      <c r="G71" s="24" t="s">
        <v>259</v>
      </c>
      <c r="H71" s="21" t="s">
        <v>219</v>
      </c>
      <c r="I71" s="21"/>
      <c r="J71" s="21" t="s">
        <v>275</v>
      </c>
      <c r="K71" s="21" t="s">
        <v>276</v>
      </c>
      <c r="L71" s="21"/>
      <c r="M71" s="21"/>
      <c r="N71" s="36">
        <v>4</v>
      </c>
      <c r="O71" s="36">
        <v>2</v>
      </c>
      <c r="P71" s="34">
        <f t="shared" si="1"/>
        <v>1</v>
      </c>
      <c r="Q71" s="31" t="s">
        <v>333</v>
      </c>
    </row>
    <row r="72" spans="1:17" ht="23.25" x14ac:dyDescent="0.25">
      <c r="A72">
        <v>69</v>
      </c>
      <c r="B72" s="15" t="s">
        <v>328</v>
      </c>
      <c r="C72" t="s">
        <v>152</v>
      </c>
      <c r="D72" s="26" t="s">
        <v>154</v>
      </c>
      <c r="E72">
        <v>0</v>
      </c>
      <c r="F72" s="13">
        <v>29</v>
      </c>
      <c r="G72" s="11" t="s">
        <v>169</v>
      </c>
      <c r="H72" t="s">
        <v>219</v>
      </c>
      <c r="K72" s="20" t="s">
        <v>268</v>
      </c>
      <c r="O72" s="31">
        <v>0</v>
      </c>
      <c r="P72" s="34">
        <f t="shared" si="1"/>
        <v>0</v>
      </c>
    </row>
    <row r="73" spans="1:17" ht="23.25" x14ac:dyDescent="0.25">
      <c r="A73">
        <v>70</v>
      </c>
      <c r="B73" s="15" t="s">
        <v>328</v>
      </c>
      <c r="C73" t="s">
        <v>152</v>
      </c>
      <c r="D73" s="26" t="s">
        <v>155</v>
      </c>
      <c r="E73">
        <v>0</v>
      </c>
      <c r="F73" s="13">
        <v>29</v>
      </c>
      <c r="G73" s="11" t="s">
        <v>169</v>
      </c>
      <c r="H73" t="s">
        <v>219</v>
      </c>
      <c r="K73" s="20" t="s">
        <v>268</v>
      </c>
      <c r="O73" s="31">
        <v>0</v>
      </c>
      <c r="P73" s="34">
        <f t="shared" si="1"/>
        <v>0</v>
      </c>
    </row>
    <row r="74" spans="1:17" ht="23.25" x14ac:dyDescent="0.25">
      <c r="A74">
        <v>71</v>
      </c>
      <c r="B74" s="15" t="s">
        <v>328</v>
      </c>
      <c r="C74" t="s">
        <v>152</v>
      </c>
      <c r="D74" s="26" t="s">
        <v>156</v>
      </c>
      <c r="E74">
        <v>0</v>
      </c>
      <c r="F74" s="13">
        <v>29</v>
      </c>
      <c r="G74" s="11" t="s">
        <v>169</v>
      </c>
      <c r="H74" t="s">
        <v>219</v>
      </c>
      <c r="K74" s="20" t="s">
        <v>268</v>
      </c>
      <c r="O74" s="31">
        <v>0</v>
      </c>
      <c r="P74" s="34">
        <f t="shared" si="1"/>
        <v>0</v>
      </c>
    </row>
    <row r="75" spans="1:17" ht="23.25" x14ac:dyDescent="0.25">
      <c r="A75">
        <v>72</v>
      </c>
      <c r="B75" s="15" t="s">
        <v>328</v>
      </c>
      <c r="C75" t="s">
        <v>152</v>
      </c>
      <c r="D75" s="26" t="s">
        <v>157</v>
      </c>
      <c r="E75">
        <v>0</v>
      </c>
      <c r="F75" s="13">
        <v>29</v>
      </c>
      <c r="G75" s="11" t="s">
        <v>169</v>
      </c>
      <c r="H75" t="s">
        <v>219</v>
      </c>
      <c r="K75" s="20" t="s">
        <v>268</v>
      </c>
      <c r="O75" s="31">
        <v>0</v>
      </c>
      <c r="P75" s="34">
        <f t="shared" si="1"/>
        <v>0</v>
      </c>
    </row>
    <row r="76" spans="1:17" x14ac:dyDescent="0.25">
      <c r="A76">
        <v>73</v>
      </c>
      <c r="B76" s="15" t="s">
        <v>328</v>
      </c>
      <c r="C76" t="s">
        <v>158</v>
      </c>
      <c r="D76" s="19" t="s">
        <v>159</v>
      </c>
      <c r="E76">
        <v>1</v>
      </c>
      <c r="F76" s="13">
        <v>30</v>
      </c>
      <c r="G76" s="11" t="s">
        <v>46</v>
      </c>
      <c r="H76" t="s">
        <v>219</v>
      </c>
      <c r="J76" s="21" t="s">
        <v>288</v>
      </c>
      <c r="K76" s="1"/>
      <c r="N76" s="31">
        <v>4</v>
      </c>
      <c r="O76" s="31">
        <v>2</v>
      </c>
      <c r="P76" s="34">
        <f t="shared" si="1"/>
        <v>1</v>
      </c>
      <c r="Q76" s="31" t="s">
        <v>333</v>
      </c>
    </row>
    <row r="77" spans="1:17" x14ac:dyDescent="0.25">
      <c r="A77">
        <v>74</v>
      </c>
      <c r="B77" s="15" t="s">
        <v>328</v>
      </c>
      <c r="C77" t="s">
        <v>160</v>
      </c>
      <c r="D77" s="19" t="s">
        <v>161</v>
      </c>
      <c r="E77">
        <v>1</v>
      </c>
      <c r="F77" s="13">
        <v>30</v>
      </c>
      <c r="G77" s="11" t="s">
        <v>254</v>
      </c>
      <c r="H77" t="s">
        <v>219</v>
      </c>
      <c r="J77" t="s">
        <v>277</v>
      </c>
      <c r="L77" t="s">
        <v>346</v>
      </c>
      <c r="N77" s="31">
        <v>4</v>
      </c>
      <c r="O77" s="31">
        <v>2</v>
      </c>
      <c r="P77" s="34">
        <f t="shared" si="1"/>
        <v>1</v>
      </c>
      <c r="Q77" s="31" t="s">
        <v>333</v>
      </c>
    </row>
    <row r="78" spans="1:17" x14ac:dyDescent="0.25">
      <c r="A78">
        <v>75</v>
      </c>
      <c r="B78" s="15" t="s">
        <v>328</v>
      </c>
      <c r="C78" t="s">
        <v>160</v>
      </c>
      <c r="D78" s="19" t="s">
        <v>163</v>
      </c>
      <c r="E78">
        <v>0</v>
      </c>
      <c r="F78" s="43">
        <v>30</v>
      </c>
      <c r="G78" s="11" t="s">
        <v>46</v>
      </c>
      <c r="H78" t="s">
        <v>221</v>
      </c>
      <c r="O78" s="31">
        <v>0</v>
      </c>
      <c r="P78" s="34">
        <f t="shared" si="1"/>
        <v>0</v>
      </c>
    </row>
    <row r="79" spans="1:17" ht="30" x14ac:dyDescent="0.25">
      <c r="A79">
        <v>76</v>
      </c>
      <c r="B79" s="15" t="s">
        <v>410</v>
      </c>
      <c r="C79" t="s">
        <v>269</v>
      </c>
      <c r="D79" s="19" t="s">
        <v>269</v>
      </c>
      <c r="E79">
        <v>1</v>
      </c>
      <c r="F79" s="13">
        <v>31</v>
      </c>
      <c r="G79" s="11" t="s">
        <v>270</v>
      </c>
      <c r="H79" t="s">
        <v>218</v>
      </c>
      <c r="K79" t="s">
        <v>217</v>
      </c>
      <c r="O79" s="31">
        <v>1</v>
      </c>
      <c r="P79" s="34">
        <f t="shared" si="1"/>
        <v>0.5</v>
      </c>
    </row>
    <row r="80" spans="1:17" ht="30" x14ac:dyDescent="0.25">
      <c r="A80">
        <v>77</v>
      </c>
      <c r="B80" s="15" t="s">
        <v>410</v>
      </c>
      <c r="C80" t="s">
        <v>264</v>
      </c>
      <c r="D80" s="19" t="s">
        <v>243</v>
      </c>
      <c r="E80">
        <v>1</v>
      </c>
      <c r="F80" s="13" t="s">
        <v>223</v>
      </c>
      <c r="G80" s="11" t="s">
        <v>415</v>
      </c>
      <c r="H80" t="s">
        <v>218</v>
      </c>
      <c r="O80" s="31">
        <v>1</v>
      </c>
      <c r="P80" s="34">
        <f t="shared" ref="P80:P92" si="2">IF(ISNUMBER(O80),HLOOKUP(O80,$O$1:$S$2,2,FALSE)*E80,"")</f>
        <v>0.5</v>
      </c>
    </row>
    <row r="81" spans="1:16" x14ac:dyDescent="0.25">
      <c r="A81">
        <v>78</v>
      </c>
      <c r="B81" s="15" t="s">
        <v>410</v>
      </c>
      <c r="C81" t="s">
        <v>171</v>
      </c>
      <c r="D81" s="19" t="s">
        <v>221</v>
      </c>
      <c r="E81">
        <v>1</v>
      </c>
      <c r="F81" s="13" t="s">
        <v>223</v>
      </c>
      <c r="G81" s="11" t="s">
        <v>251</v>
      </c>
      <c r="H81" t="s">
        <v>218</v>
      </c>
      <c r="O81" s="31">
        <v>1</v>
      </c>
      <c r="P81" s="34">
        <f t="shared" si="2"/>
        <v>0.5</v>
      </c>
    </row>
    <row r="82" spans="1:16" x14ac:dyDescent="0.25">
      <c r="A82">
        <v>79</v>
      </c>
      <c r="B82" s="15" t="s">
        <v>410</v>
      </c>
      <c r="C82" t="s">
        <v>171</v>
      </c>
      <c r="D82" s="19" t="s">
        <v>184</v>
      </c>
      <c r="E82">
        <v>1</v>
      </c>
      <c r="F82" s="13" t="s">
        <v>223</v>
      </c>
      <c r="G82" s="11" t="s">
        <v>251</v>
      </c>
      <c r="H82" t="s">
        <v>218</v>
      </c>
      <c r="O82" s="31">
        <v>1</v>
      </c>
      <c r="P82" s="34">
        <f t="shared" si="2"/>
        <v>0.5</v>
      </c>
    </row>
    <row r="83" spans="1:16" x14ac:dyDescent="0.25">
      <c r="A83">
        <v>80</v>
      </c>
      <c r="B83" s="15" t="s">
        <v>410</v>
      </c>
      <c r="C83" t="s">
        <v>171</v>
      </c>
      <c r="D83" s="19" t="s">
        <v>235</v>
      </c>
      <c r="E83">
        <v>1</v>
      </c>
      <c r="F83" s="13" t="s">
        <v>223</v>
      </c>
      <c r="G83" s="11" t="s">
        <v>251</v>
      </c>
      <c r="H83" t="s">
        <v>218</v>
      </c>
      <c r="O83" s="31">
        <v>1</v>
      </c>
      <c r="P83" s="34">
        <f t="shared" si="2"/>
        <v>0.5</v>
      </c>
    </row>
    <row r="84" spans="1:16" x14ac:dyDescent="0.25">
      <c r="A84">
        <v>81</v>
      </c>
      <c r="B84" s="15" t="s">
        <v>410</v>
      </c>
      <c r="C84" t="s">
        <v>171</v>
      </c>
      <c r="D84" s="19" t="s">
        <v>239</v>
      </c>
      <c r="E84">
        <v>1</v>
      </c>
      <c r="F84" s="13" t="s">
        <v>223</v>
      </c>
      <c r="G84" s="11" t="s">
        <v>251</v>
      </c>
      <c r="H84" t="s">
        <v>218</v>
      </c>
      <c r="O84" s="31">
        <v>1</v>
      </c>
      <c r="P84" s="34">
        <f t="shared" si="2"/>
        <v>0.5</v>
      </c>
    </row>
    <row r="85" spans="1:16" x14ac:dyDescent="0.25">
      <c r="A85">
        <v>82</v>
      </c>
      <c r="B85" s="15" t="s">
        <v>410</v>
      </c>
      <c r="C85" t="s">
        <v>171</v>
      </c>
      <c r="D85" s="19" t="s">
        <v>191</v>
      </c>
      <c r="E85">
        <v>1</v>
      </c>
      <c r="F85" s="13" t="s">
        <v>223</v>
      </c>
      <c r="G85" s="11" t="s">
        <v>251</v>
      </c>
      <c r="H85" t="s">
        <v>218</v>
      </c>
      <c r="O85" s="31">
        <v>1</v>
      </c>
      <c r="P85" s="34">
        <f t="shared" si="2"/>
        <v>0.5</v>
      </c>
    </row>
    <row r="86" spans="1:16" x14ac:dyDescent="0.25">
      <c r="A86">
        <v>83</v>
      </c>
      <c r="B86" s="15" t="s">
        <v>410</v>
      </c>
      <c r="C86" t="s">
        <v>171</v>
      </c>
      <c r="D86" s="19" t="s">
        <v>186</v>
      </c>
      <c r="E86">
        <v>1</v>
      </c>
      <c r="F86" s="13" t="s">
        <v>223</v>
      </c>
      <c r="G86" s="11" t="s">
        <v>251</v>
      </c>
      <c r="H86" t="s">
        <v>218</v>
      </c>
      <c r="O86" s="31">
        <v>1</v>
      </c>
      <c r="P86" s="34">
        <f t="shared" si="2"/>
        <v>0.5</v>
      </c>
    </row>
    <row r="87" spans="1:16" x14ac:dyDescent="0.25">
      <c r="A87">
        <v>84</v>
      </c>
      <c r="B87" s="15" t="s">
        <v>410</v>
      </c>
      <c r="C87" t="s">
        <v>171</v>
      </c>
      <c r="D87" s="19" t="s">
        <v>240</v>
      </c>
      <c r="E87">
        <v>1</v>
      </c>
      <c r="F87" s="13" t="s">
        <v>223</v>
      </c>
      <c r="G87" s="11" t="s">
        <v>251</v>
      </c>
      <c r="H87" t="s">
        <v>218</v>
      </c>
      <c r="O87" s="31">
        <v>1</v>
      </c>
      <c r="P87" s="34">
        <f t="shared" si="2"/>
        <v>0.5</v>
      </c>
    </row>
    <row r="88" spans="1:16" x14ac:dyDescent="0.25">
      <c r="A88">
        <v>85</v>
      </c>
      <c r="B88" s="15" t="s">
        <v>410</v>
      </c>
      <c r="C88" t="s">
        <v>171</v>
      </c>
      <c r="D88" s="19" t="s">
        <v>199</v>
      </c>
      <c r="E88">
        <v>1</v>
      </c>
      <c r="F88" s="13" t="s">
        <v>223</v>
      </c>
      <c r="G88" s="11" t="s">
        <v>251</v>
      </c>
      <c r="H88" t="s">
        <v>218</v>
      </c>
      <c r="O88" s="31">
        <v>1</v>
      </c>
      <c r="P88" s="34">
        <f t="shared" si="2"/>
        <v>0.5</v>
      </c>
    </row>
    <row r="89" spans="1:16" x14ac:dyDescent="0.25">
      <c r="A89">
        <v>86</v>
      </c>
      <c r="B89" s="15" t="s">
        <v>410</v>
      </c>
      <c r="C89" t="s">
        <v>171</v>
      </c>
      <c r="D89" s="19" t="s">
        <v>335</v>
      </c>
      <c r="E89">
        <v>1</v>
      </c>
      <c r="F89" s="13" t="s">
        <v>223</v>
      </c>
      <c r="G89" s="11" t="s">
        <v>251</v>
      </c>
      <c r="H89" t="s">
        <v>218</v>
      </c>
      <c r="O89" s="31">
        <v>1</v>
      </c>
      <c r="P89" s="34">
        <f t="shared" si="2"/>
        <v>0.5</v>
      </c>
    </row>
    <row r="90" spans="1:16" x14ac:dyDescent="0.25">
      <c r="A90">
        <v>87</v>
      </c>
      <c r="B90" s="15" t="s">
        <v>410</v>
      </c>
      <c r="C90" t="s">
        <v>171</v>
      </c>
      <c r="D90" s="19" t="s">
        <v>241</v>
      </c>
      <c r="E90">
        <v>1</v>
      </c>
      <c r="F90" s="13" t="s">
        <v>223</v>
      </c>
      <c r="G90" s="11" t="s">
        <v>251</v>
      </c>
      <c r="H90" t="s">
        <v>218</v>
      </c>
      <c r="O90" s="31">
        <v>1</v>
      </c>
      <c r="P90" s="34">
        <f t="shared" si="2"/>
        <v>0.5</v>
      </c>
    </row>
    <row r="91" spans="1:16" x14ac:dyDescent="0.25">
      <c r="A91">
        <v>88</v>
      </c>
      <c r="B91" s="15" t="s">
        <v>410</v>
      </c>
      <c r="C91" t="s">
        <v>171</v>
      </c>
      <c r="D91" s="19" t="s">
        <v>242</v>
      </c>
      <c r="E91">
        <v>1</v>
      </c>
      <c r="F91" s="13" t="s">
        <v>223</v>
      </c>
      <c r="G91" s="11" t="s">
        <v>251</v>
      </c>
      <c r="H91" t="s">
        <v>218</v>
      </c>
      <c r="O91" s="31">
        <v>1</v>
      </c>
      <c r="P91" s="34">
        <f t="shared" si="2"/>
        <v>0.5</v>
      </c>
    </row>
    <row r="92" spans="1:16" x14ac:dyDescent="0.25">
      <c r="A92">
        <v>89</v>
      </c>
      <c r="B92" s="15" t="s">
        <v>410</v>
      </c>
      <c r="C92" t="s">
        <v>10</v>
      </c>
      <c r="D92" s="19" t="s">
        <v>246</v>
      </c>
      <c r="E92">
        <v>1</v>
      </c>
      <c r="F92" s="13">
        <v>33</v>
      </c>
      <c r="G92" s="11" t="s">
        <v>259</v>
      </c>
      <c r="H92" t="s">
        <v>218</v>
      </c>
      <c r="O92" s="31">
        <v>2</v>
      </c>
      <c r="P92" s="34">
        <f t="shared" si="2"/>
        <v>1</v>
      </c>
    </row>
    <row r="93" spans="1:16" x14ac:dyDescent="0.25">
      <c r="A93">
        <v>90</v>
      </c>
      <c r="B93" s="15" t="s">
        <v>416</v>
      </c>
      <c r="C93" t="s">
        <v>320</v>
      </c>
      <c r="D93" s="19" t="s">
        <v>757</v>
      </c>
      <c r="E93">
        <v>5</v>
      </c>
      <c r="F93" s="13" t="s">
        <v>222</v>
      </c>
      <c r="G93" s="11" t="s">
        <v>338</v>
      </c>
      <c r="H93" t="s">
        <v>218</v>
      </c>
      <c r="K93" t="s">
        <v>337</v>
      </c>
      <c r="O93" s="31">
        <v>1</v>
      </c>
      <c r="P93" s="34">
        <f t="shared" si="1"/>
        <v>2.5</v>
      </c>
    </row>
    <row r="94" spans="1:16" x14ac:dyDescent="0.25">
      <c r="A94">
        <v>91</v>
      </c>
      <c r="B94" s="15" t="s">
        <v>417</v>
      </c>
      <c r="C94" t="s">
        <v>175</v>
      </c>
      <c r="D94" s="19" t="s">
        <v>175</v>
      </c>
      <c r="E94">
        <v>1</v>
      </c>
      <c r="F94" s="13" t="s">
        <v>420</v>
      </c>
      <c r="G94" s="11" t="s">
        <v>46</v>
      </c>
      <c r="H94" t="s">
        <v>221</v>
      </c>
      <c r="O94" s="31">
        <v>1</v>
      </c>
      <c r="P94" s="34">
        <f t="shared" si="1"/>
        <v>0.5</v>
      </c>
    </row>
    <row r="95" spans="1:16" x14ac:dyDescent="0.25">
      <c r="A95">
        <v>92</v>
      </c>
      <c r="B95" s="15" t="s">
        <v>417</v>
      </c>
      <c r="C95" t="s">
        <v>321</v>
      </c>
      <c r="D95" s="26" t="s">
        <v>154</v>
      </c>
      <c r="E95">
        <v>0</v>
      </c>
      <c r="F95" s="13" t="s">
        <v>421</v>
      </c>
      <c r="G95" s="11" t="s">
        <v>169</v>
      </c>
      <c r="H95" t="s">
        <v>221</v>
      </c>
      <c r="O95" s="31">
        <v>0</v>
      </c>
      <c r="P95" s="34">
        <f t="shared" si="1"/>
        <v>0</v>
      </c>
    </row>
    <row r="96" spans="1:16" x14ac:dyDescent="0.25">
      <c r="A96">
        <v>93</v>
      </c>
      <c r="B96" s="15" t="s">
        <v>417</v>
      </c>
      <c r="C96" t="s">
        <v>321</v>
      </c>
      <c r="D96" s="26" t="s">
        <v>340</v>
      </c>
      <c r="E96">
        <v>1</v>
      </c>
      <c r="F96" s="13" t="s">
        <v>421</v>
      </c>
      <c r="G96" s="11" t="s">
        <v>46</v>
      </c>
      <c r="H96" t="s">
        <v>221</v>
      </c>
      <c r="L96" t="s">
        <v>347</v>
      </c>
      <c r="O96" s="31">
        <v>1</v>
      </c>
      <c r="P96" s="34">
        <f t="shared" si="1"/>
        <v>0.5</v>
      </c>
    </row>
    <row r="97" spans="1:16" x14ac:dyDescent="0.25">
      <c r="A97">
        <v>94</v>
      </c>
      <c r="B97" s="15" t="s">
        <v>417</v>
      </c>
      <c r="C97" t="s">
        <v>321</v>
      </c>
      <c r="D97" s="26" t="s">
        <v>339</v>
      </c>
      <c r="E97">
        <v>1</v>
      </c>
      <c r="F97" s="13" t="s">
        <v>421</v>
      </c>
      <c r="G97" s="11" t="s">
        <v>46</v>
      </c>
      <c r="H97" t="s">
        <v>221</v>
      </c>
      <c r="L97" t="s">
        <v>347</v>
      </c>
      <c r="O97" s="31">
        <v>1</v>
      </c>
      <c r="P97" s="34">
        <f t="shared" si="1"/>
        <v>0.5</v>
      </c>
    </row>
    <row r="98" spans="1:16" x14ac:dyDescent="0.25">
      <c r="A98">
        <v>95</v>
      </c>
      <c r="B98" s="15" t="s">
        <v>417</v>
      </c>
      <c r="C98" t="s">
        <v>321</v>
      </c>
      <c r="D98" s="26" t="s">
        <v>156</v>
      </c>
      <c r="E98">
        <v>0</v>
      </c>
      <c r="F98" s="13" t="s">
        <v>421</v>
      </c>
      <c r="G98" s="11" t="s">
        <v>169</v>
      </c>
      <c r="H98" t="s">
        <v>221</v>
      </c>
      <c r="O98" s="31">
        <v>0</v>
      </c>
      <c r="P98" s="34">
        <f t="shared" si="1"/>
        <v>0</v>
      </c>
    </row>
    <row r="99" spans="1:16" x14ac:dyDescent="0.25">
      <c r="A99">
        <v>96</v>
      </c>
      <c r="B99" s="15" t="s">
        <v>417</v>
      </c>
      <c r="C99" t="s">
        <v>321</v>
      </c>
      <c r="D99" s="26" t="s">
        <v>341</v>
      </c>
      <c r="E99">
        <v>0</v>
      </c>
      <c r="F99" s="13" t="s">
        <v>421</v>
      </c>
      <c r="G99" s="11" t="s">
        <v>169</v>
      </c>
      <c r="H99" t="s">
        <v>221</v>
      </c>
      <c r="O99" s="31">
        <v>0</v>
      </c>
      <c r="P99" s="34">
        <f t="shared" si="1"/>
        <v>0</v>
      </c>
    </row>
    <row r="100" spans="1:16" x14ac:dyDescent="0.25">
      <c r="A100">
        <v>97</v>
      </c>
      <c r="B100" s="15" t="s">
        <v>417</v>
      </c>
      <c r="C100" t="s">
        <v>321</v>
      </c>
      <c r="D100" s="26" t="s">
        <v>342</v>
      </c>
      <c r="E100">
        <v>1</v>
      </c>
      <c r="F100" s="13" t="s">
        <v>421</v>
      </c>
      <c r="G100" s="11" t="s">
        <v>46</v>
      </c>
      <c r="H100" t="s">
        <v>221</v>
      </c>
      <c r="L100" t="s">
        <v>347</v>
      </c>
      <c r="O100" s="31">
        <v>1</v>
      </c>
      <c r="P100" s="34">
        <f t="shared" si="1"/>
        <v>0.5</v>
      </c>
    </row>
    <row r="101" spans="1:16" x14ac:dyDescent="0.25">
      <c r="A101">
        <v>98</v>
      </c>
      <c r="B101" s="15" t="s">
        <v>417</v>
      </c>
      <c r="C101" t="s">
        <v>321</v>
      </c>
      <c r="D101" s="26" t="s">
        <v>343</v>
      </c>
      <c r="E101">
        <v>0</v>
      </c>
      <c r="F101" s="13" t="s">
        <v>421</v>
      </c>
      <c r="G101" s="11" t="s">
        <v>169</v>
      </c>
      <c r="H101" t="s">
        <v>221</v>
      </c>
      <c r="O101" s="31">
        <v>0</v>
      </c>
      <c r="P101" s="34">
        <f t="shared" si="1"/>
        <v>0</v>
      </c>
    </row>
    <row r="102" spans="1:16" x14ac:dyDescent="0.25">
      <c r="A102">
        <v>99</v>
      </c>
      <c r="B102" s="15" t="s">
        <v>417</v>
      </c>
      <c r="C102" t="s">
        <v>321</v>
      </c>
      <c r="D102" s="26" t="s">
        <v>344</v>
      </c>
      <c r="E102">
        <v>0</v>
      </c>
      <c r="F102" s="13" t="s">
        <v>421</v>
      </c>
      <c r="G102" s="11" t="s">
        <v>169</v>
      </c>
      <c r="H102" t="s">
        <v>221</v>
      </c>
      <c r="O102" s="31">
        <v>0</v>
      </c>
      <c r="P102" s="34">
        <f t="shared" si="1"/>
        <v>0</v>
      </c>
    </row>
    <row r="103" spans="1:16" x14ac:dyDescent="0.25">
      <c r="A103">
        <v>100</v>
      </c>
      <c r="B103" s="15" t="s">
        <v>417</v>
      </c>
      <c r="C103" t="s">
        <v>321</v>
      </c>
      <c r="D103" s="26" t="s">
        <v>345</v>
      </c>
      <c r="E103">
        <v>0</v>
      </c>
      <c r="F103" s="13" t="s">
        <v>421</v>
      </c>
      <c r="G103" s="11" t="s">
        <v>169</v>
      </c>
      <c r="H103" t="s">
        <v>221</v>
      </c>
      <c r="O103" s="31">
        <v>0</v>
      </c>
      <c r="P103" s="34">
        <f t="shared" si="1"/>
        <v>0</v>
      </c>
    </row>
    <row r="104" spans="1:16" x14ac:dyDescent="0.25">
      <c r="A104">
        <v>101</v>
      </c>
      <c r="B104" s="15" t="s">
        <v>417</v>
      </c>
      <c r="C104" t="s">
        <v>321</v>
      </c>
      <c r="D104" s="26" t="s">
        <v>161</v>
      </c>
      <c r="E104">
        <v>0</v>
      </c>
      <c r="F104" s="13" t="s">
        <v>421</v>
      </c>
      <c r="G104" s="11" t="s">
        <v>169</v>
      </c>
      <c r="H104" t="s">
        <v>221</v>
      </c>
      <c r="O104" s="31">
        <v>0</v>
      </c>
      <c r="P104" s="34">
        <f t="shared" si="1"/>
        <v>0</v>
      </c>
    </row>
    <row r="105" spans="1:16" x14ac:dyDescent="0.25">
      <c r="A105">
        <v>102</v>
      </c>
      <c r="B105" s="15" t="s">
        <v>417</v>
      </c>
      <c r="C105" t="s">
        <v>321</v>
      </c>
      <c r="D105" s="19" t="s">
        <v>163</v>
      </c>
      <c r="E105">
        <v>1</v>
      </c>
      <c r="F105" s="13" t="s">
        <v>421</v>
      </c>
      <c r="G105" s="11" t="s">
        <v>46</v>
      </c>
      <c r="H105" t="s">
        <v>221</v>
      </c>
      <c r="L105" t="s">
        <v>346</v>
      </c>
      <c r="O105" s="31">
        <v>1</v>
      </c>
      <c r="P105" s="34">
        <f t="shared" si="1"/>
        <v>0.5</v>
      </c>
    </row>
    <row r="106" spans="1:16" x14ac:dyDescent="0.25">
      <c r="A106">
        <v>103</v>
      </c>
      <c r="B106" s="15" t="s">
        <v>418</v>
      </c>
      <c r="C106" t="s">
        <v>395</v>
      </c>
      <c r="D106" s="19" t="s">
        <v>348</v>
      </c>
      <c r="E106">
        <v>0</v>
      </c>
      <c r="F106" s="13">
        <v>51</v>
      </c>
      <c r="G106" s="11" t="s">
        <v>169</v>
      </c>
      <c r="H106" t="s">
        <v>218</v>
      </c>
      <c r="K106" t="s">
        <v>228</v>
      </c>
      <c r="O106" s="31">
        <v>0</v>
      </c>
      <c r="P106" s="34">
        <f t="shared" si="1"/>
        <v>0</v>
      </c>
    </row>
    <row r="107" spans="1:16" x14ac:dyDescent="0.25">
      <c r="A107">
        <v>104</v>
      </c>
      <c r="B107" s="15" t="s">
        <v>418</v>
      </c>
      <c r="C107" t="s">
        <v>395</v>
      </c>
      <c r="D107" s="26" t="s">
        <v>349</v>
      </c>
      <c r="E107">
        <v>1</v>
      </c>
      <c r="F107" s="13">
        <v>51</v>
      </c>
      <c r="G107" s="11" t="s">
        <v>254</v>
      </c>
      <c r="H107" t="s">
        <v>218</v>
      </c>
      <c r="O107" s="31">
        <v>2</v>
      </c>
      <c r="P107" s="34">
        <f t="shared" si="1"/>
        <v>1</v>
      </c>
    </row>
    <row r="108" spans="1:16" x14ac:dyDescent="0.25">
      <c r="A108">
        <v>105</v>
      </c>
      <c r="B108" s="15" t="s">
        <v>418</v>
      </c>
      <c r="C108" t="s">
        <v>395</v>
      </c>
      <c r="D108" s="26" t="s">
        <v>350</v>
      </c>
      <c r="E108">
        <v>1</v>
      </c>
      <c r="F108" s="13">
        <v>51</v>
      </c>
      <c r="G108" s="11" t="s">
        <v>254</v>
      </c>
      <c r="H108" t="s">
        <v>218</v>
      </c>
      <c r="O108" s="31">
        <v>2</v>
      </c>
      <c r="P108" s="34">
        <f t="shared" si="1"/>
        <v>1</v>
      </c>
    </row>
    <row r="109" spans="1:16" x14ac:dyDescent="0.25">
      <c r="A109">
        <v>106</v>
      </c>
      <c r="B109" s="15" t="s">
        <v>418</v>
      </c>
      <c r="C109" t="s">
        <v>395</v>
      </c>
      <c r="D109" s="26" t="s">
        <v>351</v>
      </c>
      <c r="E109">
        <v>1</v>
      </c>
      <c r="F109" s="13">
        <v>51</v>
      </c>
      <c r="G109" s="11" t="s">
        <v>46</v>
      </c>
      <c r="H109" t="s">
        <v>218</v>
      </c>
      <c r="O109" s="31">
        <v>1</v>
      </c>
      <c r="P109" s="34">
        <f t="shared" si="1"/>
        <v>0.5</v>
      </c>
    </row>
    <row r="110" spans="1:16" x14ac:dyDescent="0.25">
      <c r="A110">
        <v>107</v>
      </c>
      <c r="B110" s="15" t="s">
        <v>418</v>
      </c>
      <c r="C110" t="s">
        <v>395</v>
      </c>
      <c r="D110" s="26" t="s">
        <v>352</v>
      </c>
      <c r="E110">
        <v>1</v>
      </c>
      <c r="F110" s="13">
        <v>51</v>
      </c>
      <c r="G110" s="11" t="s">
        <v>46</v>
      </c>
      <c r="H110" t="s">
        <v>218</v>
      </c>
      <c r="O110" s="31">
        <v>1</v>
      </c>
      <c r="P110" s="34">
        <f t="shared" si="1"/>
        <v>0.5</v>
      </c>
    </row>
    <row r="111" spans="1:16" x14ac:dyDescent="0.25">
      <c r="A111">
        <v>108</v>
      </c>
      <c r="B111" s="15" t="s">
        <v>418</v>
      </c>
      <c r="C111" t="s">
        <v>395</v>
      </c>
      <c r="D111" s="19" t="s">
        <v>136</v>
      </c>
      <c r="E111">
        <v>0</v>
      </c>
      <c r="F111" s="13">
        <v>51</v>
      </c>
      <c r="G111" s="11" t="s">
        <v>169</v>
      </c>
      <c r="H111" t="s">
        <v>218</v>
      </c>
      <c r="K111" t="s">
        <v>402</v>
      </c>
      <c r="O111" s="31">
        <v>0</v>
      </c>
      <c r="P111" s="34">
        <f t="shared" si="1"/>
        <v>0</v>
      </c>
    </row>
    <row r="112" spans="1:16" x14ac:dyDescent="0.25">
      <c r="A112">
        <v>109</v>
      </c>
      <c r="B112" s="15" t="s">
        <v>418</v>
      </c>
      <c r="C112" t="s">
        <v>395</v>
      </c>
      <c r="D112" s="26" t="s">
        <v>353</v>
      </c>
      <c r="E112">
        <v>1</v>
      </c>
      <c r="F112" s="13">
        <v>51</v>
      </c>
      <c r="G112" s="11" t="s">
        <v>254</v>
      </c>
      <c r="H112" t="s">
        <v>218</v>
      </c>
      <c r="O112" s="31">
        <v>2</v>
      </c>
      <c r="P112" s="34">
        <f t="shared" si="1"/>
        <v>1</v>
      </c>
    </row>
    <row r="113" spans="1:16" x14ac:dyDescent="0.25">
      <c r="A113">
        <v>110</v>
      </c>
      <c r="B113" s="15" t="s">
        <v>418</v>
      </c>
      <c r="C113" t="s">
        <v>395</v>
      </c>
      <c r="D113" s="26" t="s">
        <v>354</v>
      </c>
      <c r="E113">
        <v>1</v>
      </c>
      <c r="F113" s="13">
        <v>51</v>
      </c>
      <c r="G113" s="11" t="s">
        <v>46</v>
      </c>
      <c r="H113" t="s">
        <v>218</v>
      </c>
      <c r="O113" s="31">
        <v>1</v>
      </c>
      <c r="P113" s="34">
        <f t="shared" si="1"/>
        <v>0.5</v>
      </c>
    </row>
    <row r="114" spans="1:16" x14ac:dyDescent="0.25">
      <c r="A114">
        <v>111</v>
      </c>
      <c r="B114" s="15" t="s">
        <v>418</v>
      </c>
      <c r="C114" t="s">
        <v>395</v>
      </c>
      <c r="D114" s="26" t="s">
        <v>355</v>
      </c>
      <c r="E114">
        <v>1</v>
      </c>
      <c r="F114" s="13">
        <v>51</v>
      </c>
      <c r="G114" s="11" t="s">
        <v>46</v>
      </c>
      <c r="H114" t="s">
        <v>218</v>
      </c>
      <c r="O114" s="31">
        <v>1</v>
      </c>
      <c r="P114" s="34">
        <f t="shared" si="1"/>
        <v>0.5</v>
      </c>
    </row>
    <row r="115" spans="1:16" x14ac:dyDescent="0.25">
      <c r="A115">
        <v>112</v>
      </c>
      <c r="B115" s="15" t="s">
        <v>418</v>
      </c>
      <c r="C115" t="s">
        <v>395</v>
      </c>
      <c r="D115" s="26" t="s">
        <v>356</v>
      </c>
      <c r="E115">
        <v>1</v>
      </c>
      <c r="F115" s="13">
        <v>51</v>
      </c>
      <c r="G115" s="11" t="s">
        <v>46</v>
      </c>
      <c r="H115" t="s">
        <v>218</v>
      </c>
      <c r="O115" s="31">
        <v>1</v>
      </c>
      <c r="P115" s="34">
        <f t="shared" si="1"/>
        <v>0.5</v>
      </c>
    </row>
    <row r="116" spans="1:16" x14ac:dyDescent="0.25">
      <c r="A116">
        <v>113</v>
      </c>
      <c r="B116" s="15" t="s">
        <v>418</v>
      </c>
      <c r="C116" t="s">
        <v>395</v>
      </c>
      <c r="D116" s="19" t="s">
        <v>357</v>
      </c>
      <c r="E116">
        <v>1</v>
      </c>
      <c r="F116" s="13">
        <v>51</v>
      </c>
      <c r="G116" s="11" t="s">
        <v>254</v>
      </c>
      <c r="H116" t="s">
        <v>218</v>
      </c>
      <c r="L116" t="s">
        <v>346</v>
      </c>
      <c r="O116" s="31">
        <v>2</v>
      </c>
      <c r="P116" s="34">
        <f t="shared" si="1"/>
        <v>1</v>
      </c>
    </row>
    <row r="117" spans="1:16" x14ac:dyDescent="0.25">
      <c r="A117">
        <v>114</v>
      </c>
      <c r="B117" s="15" t="s">
        <v>418</v>
      </c>
      <c r="C117" t="s">
        <v>395</v>
      </c>
      <c r="D117" s="26" t="s">
        <v>358</v>
      </c>
      <c r="E117">
        <v>1</v>
      </c>
      <c r="F117" s="13">
        <v>51</v>
      </c>
      <c r="G117" s="11" t="s">
        <v>254</v>
      </c>
      <c r="H117" t="s">
        <v>218</v>
      </c>
      <c r="L117" t="s">
        <v>346</v>
      </c>
      <c r="O117" s="31">
        <v>2</v>
      </c>
      <c r="P117" s="34">
        <f t="shared" si="1"/>
        <v>1</v>
      </c>
    </row>
    <row r="118" spans="1:16" x14ac:dyDescent="0.25">
      <c r="A118">
        <v>115</v>
      </c>
      <c r="B118" s="15" t="s">
        <v>418</v>
      </c>
      <c r="C118" t="s">
        <v>395</v>
      </c>
      <c r="D118" s="26" t="s">
        <v>359</v>
      </c>
      <c r="E118">
        <v>0</v>
      </c>
      <c r="F118" s="13">
        <v>51</v>
      </c>
      <c r="G118" s="11" t="s">
        <v>169</v>
      </c>
      <c r="H118" t="s">
        <v>218</v>
      </c>
      <c r="L118" t="s">
        <v>346</v>
      </c>
      <c r="O118" s="31">
        <v>0</v>
      </c>
      <c r="P118" s="34">
        <f t="shared" si="1"/>
        <v>0</v>
      </c>
    </row>
    <row r="119" spans="1:16" x14ac:dyDescent="0.25">
      <c r="A119">
        <v>116</v>
      </c>
      <c r="B119" s="15" t="s">
        <v>418</v>
      </c>
      <c r="C119" t="s">
        <v>395</v>
      </c>
      <c r="D119" s="26" t="s">
        <v>360</v>
      </c>
      <c r="E119">
        <v>1</v>
      </c>
      <c r="F119" s="13">
        <v>51</v>
      </c>
      <c r="G119" s="11" t="s">
        <v>405</v>
      </c>
      <c r="H119" t="s">
        <v>218</v>
      </c>
      <c r="L119" t="s">
        <v>346</v>
      </c>
      <c r="O119" s="31">
        <v>1</v>
      </c>
      <c r="P119" s="34">
        <f t="shared" si="1"/>
        <v>0.5</v>
      </c>
    </row>
    <row r="120" spans="1:16" ht="30" x14ac:dyDescent="0.25">
      <c r="A120">
        <v>117</v>
      </c>
      <c r="B120" s="15" t="s">
        <v>418</v>
      </c>
      <c r="C120" t="s">
        <v>395</v>
      </c>
      <c r="D120" s="26" t="s">
        <v>361</v>
      </c>
      <c r="E120">
        <v>1</v>
      </c>
      <c r="F120" s="13">
        <v>51</v>
      </c>
      <c r="G120" s="11" t="s">
        <v>406</v>
      </c>
      <c r="H120" t="s">
        <v>218</v>
      </c>
      <c r="L120" t="s">
        <v>346</v>
      </c>
      <c r="O120" s="31">
        <v>1</v>
      </c>
      <c r="P120" s="34">
        <f t="shared" si="1"/>
        <v>0.5</v>
      </c>
    </row>
    <row r="121" spans="1:16" x14ac:dyDescent="0.25">
      <c r="A121">
        <v>118</v>
      </c>
      <c r="B121" s="15" t="s">
        <v>418</v>
      </c>
      <c r="C121" t="s">
        <v>396</v>
      </c>
      <c r="D121" s="19" t="s">
        <v>362</v>
      </c>
      <c r="E121">
        <v>1</v>
      </c>
      <c r="F121" s="13">
        <v>51</v>
      </c>
      <c r="G121" s="11" t="s">
        <v>254</v>
      </c>
      <c r="H121" t="s">
        <v>218</v>
      </c>
      <c r="O121" s="31">
        <v>2</v>
      </c>
      <c r="P121" s="34">
        <f t="shared" si="1"/>
        <v>1</v>
      </c>
    </row>
    <row r="122" spans="1:16" x14ac:dyDescent="0.25">
      <c r="A122">
        <v>119</v>
      </c>
      <c r="B122" s="15" t="s">
        <v>418</v>
      </c>
      <c r="C122" t="s">
        <v>396</v>
      </c>
      <c r="D122" s="26" t="s">
        <v>363</v>
      </c>
      <c r="E122">
        <v>1</v>
      </c>
      <c r="F122" s="13">
        <v>51</v>
      </c>
      <c r="G122" s="11" t="s">
        <v>254</v>
      </c>
      <c r="H122" t="s">
        <v>218</v>
      </c>
      <c r="O122" s="31">
        <v>2</v>
      </c>
      <c r="P122" s="34">
        <f t="shared" si="1"/>
        <v>1</v>
      </c>
    </row>
    <row r="123" spans="1:16" x14ac:dyDescent="0.25">
      <c r="A123">
        <v>120</v>
      </c>
      <c r="B123" s="15" t="s">
        <v>418</v>
      </c>
      <c r="C123" t="s">
        <v>396</v>
      </c>
      <c r="D123" s="26" t="s">
        <v>475</v>
      </c>
      <c r="E123">
        <v>1</v>
      </c>
      <c r="F123" s="13">
        <v>51</v>
      </c>
      <c r="G123" s="11" t="s">
        <v>254</v>
      </c>
      <c r="H123" t="s">
        <v>218</v>
      </c>
      <c r="O123" s="31">
        <v>2</v>
      </c>
      <c r="P123" s="34">
        <f t="shared" si="1"/>
        <v>1</v>
      </c>
    </row>
    <row r="124" spans="1:16" x14ac:dyDescent="0.25">
      <c r="A124">
        <v>121</v>
      </c>
      <c r="B124" s="15" t="s">
        <v>418</v>
      </c>
      <c r="C124" t="s">
        <v>397</v>
      </c>
      <c r="D124" s="26" t="s">
        <v>364</v>
      </c>
      <c r="E124">
        <v>0</v>
      </c>
      <c r="F124" s="13">
        <v>51</v>
      </c>
      <c r="G124" s="11" t="s">
        <v>169</v>
      </c>
      <c r="H124" t="s">
        <v>218</v>
      </c>
      <c r="K124" t="s">
        <v>404</v>
      </c>
      <c r="O124" s="31">
        <v>0</v>
      </c>
      <c r="P124" s="34">
        <f t="shared" si="1"/>
        <v>0</v>
      </c>
    </row>
    <row r="125" spans="1:16" x14ac:dyDescent="0.25">
      <c r="A125">
        <v>122</v>
      </c>
      <c r="B125" s="15" t="s">
        <v>418</v>
      </c>
      <c r="C125" t="s">
        <v>397</v>
      </c>
      <c r="D125" s="26" t="s">
        <v>365</v>
      </c>
      <c r="E125">
        <v>0</v>
      </c>
      <c r="F125" s="13">
        <v>51</v>
      </c>
      <c r="G125" s="11" t="s">
        <v>169</v>
      </c>
      <c r="H125" t="s">
        <v>218</v>
      </c>
      <c r="K125" t="s">
        <v>404</v>
      </c>
      <c r="O125" s="31">
        <v>0</v>
      </c>
      <c r="P125" s="34">
        <f t="shared" si="1"/>
        <v>0</v>
      </c>
    </row>
    <row r="126" spans="1:16" x14ac:dyDescent="0.25">
      <c r="A126">
        <v>123</v>
      </c>
      <c r="B126" s="15" t="s">
        <v>418</v>
      </c>
      <c r="C126" t="s">
        <v>397</v>
      </c>
      <c r="D126" s="19" t="s">
        <v>366</v>
      </c>
      <c r="E126">
        <v>0</v>
      </c>
      <c r="F126" s="13">
        <v>51</v>
      </c>
      <c r="G126" s="11" t="s">
        <v>169</v>
      </c>
      <c r="H126" t="s">
        <v>218</v>
      </c>
      <c r="K126" t="s">
        <v>404</v>
      </c>
      <c r="O126" s="31">
        <v>0</v>
      </c>
      <c r="P126" s="34">
        <f t="shared" si="1"/>
        <v>0</v>
      </c>
    </row>
    <row r="127" spans="1:16" x14ac:dyDescent="0.25">
      <c r="A127">
        <v>124</v>
      </c>
      <c r="B127" s="15" t="s">
        <v>418</v>
      </c>
      <c r="C127" t="s">
        <v>397</v>
      </c>
      <c r="D127" s="26" t="s">
        <v>367</v>
      </c>
      <c r="E127">
        <v>0</v>
      </c>
      <c r="F127" s="13">
        <v>51</v>
      </c>
      <c r="G127" s="11" t="s">
        <v>169</v>
      </c>
      <c r="H127" t="s">
        <v>218</v>
      </c>
      <c r="K127" t="s">
        <v>404</v>
      </c>
      <c r="O127" s="31">
        <v>0</v>
      </c>
      <c r="P127" s="34">
        <f t="shared" si="1"/>
        <v>0</v>
      </c>
    </row>
    <row r="128" spans="1:16" x14ac:dyDescent="0.25">
      <c r="A128">
        <v>125</v>
      </c>
      <c r="B128" s="15" t="s">
        <v>418</v>
      </c>
      <c r="C128" t="s">
        <v>397</v>
      </c>
      <c r="D128" s="26" t="s">
        <v>368</v>
      </c>
      <c r="E128">
        <v>0</v>
      </c>
      <c r="F128" s="13">
        <v>51</v>
      </c>
      <c r="G128" s="11" t="s">
        <v>169</v>
      </c>
      <c r="H128" t="s">
        <v>218</v>
      </c>
      <c r="K128" t="s">
        <v>404</v>
      </c>
      <c r="O128" s="31">
        <v>0</v>
      </c>
      <c r="P128" s="34">
        <f t="shared" si="1"/>
        <v>0</v>
      </c>
    </row>
    <row r="129" spans="1:16" x14ac:dyDescent="0.25">
      <c r="A129">
        <v>126</v>
      </c>
      <c r="B129" s="15" t="s">
        <v>418</v>
      </c>
      <c r="C129" t="s">
        <v>397</v>
      </c>
      <c r="D129" s="26" t="s">
        <v>369</v>
      </c>
      <c r="E129">
        <v>0</v>
      </c>
      <c r="F129" s="13">
        <v>51</v>
      </c>
      <c r="G129" s="11" t="s">
        <v>169</v>
      </c>
      <c r="H129" t="s">
        <v>218</v>
      </c>
      <c r="K129" t="s">
        <v>404</v>
      </c>
      <c r="O129" s="31">
        <v>0</v>
      </c>
      <c r="P129" s="34">
        <f t="shared" si="1"/>
        <v>0</v>
      </c>
    </row>
    <row r="130" spans="1:16" x14ac:dyDescent="0.25">
      <c r="A130">
        <v>127</v>
      </c>
      <c r="B130" s="15" t="s">
        <v>418</v>
      </c>
      <c r="C130" t="s">
        <v>397</v>
      </c>
      <c r="D130" s="26" t="s">
        <v>370</v>
      </c>
      <c r="E130">
        <v>1</v>
      </c>
      <c r="F130" s="13">
        <v>51</v>
      </c>
      <c r="G130" s="11" t="s">
        <v>254</v>
      </c>
      <c r="H130" t="s">
        <v>218</v>
      </c>
      <c r="O130" s="31">
        <v>3</v>
      </c>
      <c r="P130" s="34">
        <f t="shared" si="1"/>
        <v>1.5</v>
      </c>
    </row>
    <row r="131" spans="1:16" x14ac:dyDescent="0.25">
      <c r="A131">
        <v>128</v>
      </c>
      <c r="B131" s="15" t="s">
        <v>418</v>
      </c>
      <c r="C131" t="s">
        <v>397</v>
      </c>
      <c r="D131" s="19" t="s">
        <v>371</v>
      </c>
      <c r="E131">
        <v>0</v>
      </c>
      <c r="F131" s="13">
        <v>51</v>
      </c>
      <c r="G131" s="11" t="s">
        <v>169</v>
      </c>
      <c r="H131" t="s">
        <v>218</v>
      </c>
      <c r="K131" t="s">
        <v>404</v>
      </c>
      <c r="O131" s="31">
        <v>0</v>
      </c>
      <c r="P131" s="34">
        <f t="shared" si="1"/>
        <v>0</v>
      </c>
    </row>
    <row r="132" spans="1:16" x14ac:dyDescent="0.25">
      <c r="A132">
        <v>129</v>
      </c>
      <c r="B132" s="15" t="s">
        <v>418</v>
      </c>
      <c r="C132" t="s">
        <v>397</v>
      </c>
      <c r="D132" s="26" t="s">
        <v>372</v>
      </c>
      <c r="E132">
        <v>1</v>
      </c>
      <c r="F132" s="13">
        <v>51</v>
      </c>
      <c r="G132" s="11" t="s">
        <v>254</v>
      </c>
      <c r="H132" t="s">
        <v>218</v>
      </c>
      <c r="O132" s="31">
        <v>3</v>
      </c>
      <c r="P132" s="34">
        <f t="shared" si="1"/>
        <v>1.5</v>
      </c>
    </row>
    <row r="133" spans="1:16" x14ac:dyDescent="0.25">
      <c r="A133">
        <v>130</v>
      </c>
      <c r="B133" s="15" t="s">
        <v>418</v>
      </c>
      <c r="C133" t="s">
        <v>397</v>
      </c>
      <c r="D133" s="26" t="s">
        <v>373</v>
      </c>
      <c r="E133">
        <v>0</v>
      </c>
      <c r="F133" s="13">
        <v>51</v>
      </c>
      <c r="G133" s="11" t="s">
        <v>169</v>
      </c>
      <c r="H133" t="s">
        <v>218</v>
      </c>
      <c r="K133" t="s">
        <v>403</v>
      </c>
      <c r="O133" s="31">
        <v>0</v>
      </c>
      <c r="P133" s="34">
        <f t="shared" si="1"/>
        <v>0</v>
      </c>
    </row>
    <row r="134" spans="1:16" x14ac:dyDescent="0.25">
      <c r="A134">
        <v>131</v>
      </c>
      <c r="B134" s="15" t="s">
        <v>418</v>
      </c>
      <c r="C134" t="s">
        <v>397</v>
      </c>
      <c r="D134" s="26" t="s">
        <v>374</v>
      </c>
      <c r="E134">
        <v>1</v>
      </c>
      <c r="F134" s="13">
        <v>51</v>
      </c>
      <c r="G134" s="11" t="s">
        <v>254</v>
      </c>
      <c r="H134" t="s">
        <v>218</v>
      </c>
      <c r="O134" s="31">
        <v>3</v>
      </c>
      <c r="P134" s="34">
        <f t="shared" si="1"/>
        <v>1.5</v>
      </c>
    </row>
    <row r="135" spans="1:16" x14ac:dyDescent="0.25">
      <c r="A135">
        <v>132</v>
      </c>
      <c r="B135" s="15" t="s">
        <v>418</v>
      </c>
      <c r="C135" t="s">
        <v>397</v>
      </c>
      <c r="D135" s="26" t="s">
        <v>375</v>
      </c>
      <c r="E135">
        <v>0</v>
      </c>
      <c r="F135" s="13">
        <v>51</v>
      </c>
      <c r="G135" s="11" t="s">
        <v>169</v>
      </c>
      <c r="H135" t="s">
        <v>218</v>
      </c>
      <c r="K135" t="s">
        <v>402</v>
      </c>
      <c r="O135" s="31">
        <v>0</v>
      </c>
      <c r="P135" s="34">
        <f t="shared" si="1"/>
        <v>0</v>
      </c>
    </row>
    <row r="136" spans="1:16" ht="30" x14ac:dyDescent="0.25">
      <c r="A136">
        <v>133</v>
      </c>
      <c r="B136" s="15" t="s">
        <v>418</v>
      </c>
      <c r="C136" t="s">
        <v>195</v>
      </c>
      <c r="D136" s="26" t="s">
        <v>376</v>
      </c>
      <c r="E136">
        <v>1</v>
      </c>
      <c r="F136" s="13">
        <v>52</v>
      </c>
      <c r="G136" s="11" t="s">
        <v>407</v>
      </c>
      <c r="H136" t="s">
        <v>218</v>
      </c>
      <c r="K136" t="s">
        <v>408</v>
      </c>
      <c r="O136" s="31">
        <v>1</v>
      </c>
      <c r="P136" s="34">
        <f t="shared" si="1"/>
        <v>0.5</v>
      </c>
    </row>
    <row r="137" spans="1:16" x14ac:dyDescent="0.25">
      <c r="A137">
        <v>134</v>
      </c>
      <c r="B137" s="15" t="s">
        <v>418</v>
      </c>
      <c r="C137" t="s">
        <v>195</v>
      </c>
      <c r="D137" s="26" t="s">
        <v>377</v>
      </c>
      <c r="E137">
        <v>1</v>
      </c>
      <c r="F137" s="13">
        <v>52</v>
      </c>
      <c r="G137" s="11" t="s">
        <v>46</v>
      </c>
      <c r="H137" t="s">
        <v>218</v>
      </c>
      <c r="L137" t="s">
        <v>347</v>
      </c>
      <c r="O137" s="31">
        <v>1</v>
      </c>
      <c r="P137" s="34">
        <f t="shared" si="1"/>
        <v>0.5</v>
      </c>
    </row>
    <row r="138" spans="1:16" x14ac:dyDescent="0.25">
      <c r="A138">
        <v>135</v>
      </c>
      <c r="B138" s="15" t="s">
        <v>418</v>
      </c>
      <c r="C138" t="s">
        <v>195</v>
      </c>
      <c r="D138" s="26" t="s">
        <v>154</v>
      </c>
      <c r="E138">
        <v>0</v>
      </c>
      <c r="F138" s="13">
        <v>52</v>
      </c>
      <c r="G138" s="11" t="s">
        <v>169</v>
      </c>
      <c r="H138" t="s">
        <v>218</v>
      </c>
      <c r="O138" s="31">
        <v>0</v>
      </c>
      <c r="P138" s="34">
        <f t="shared" si="1"/>
        <v>0</v>
      </c>
    </row>
    <row r="139" spans="1:16" x14ac:dyDescent="0.25">
      <c r="A139">
        <v>136</v>
      </c>
      <c r="B139" s="15" t="s">
        <v>418</v>
      </c>
      <c r="C139" t="s">
        <v>195</v>
      </c>
      <c r="D139" s="26" t="s">
        <v>378</v>
      </c>
      <c r="E139">
        <v>0</v>
      </c>
      <c r="F139" s="13">
        <v>52</v>
      </c>
      <c r="G139" s="11" t="s">
        <v>169</v>
      </c>
      <c r="H139" t="s">
        <v>218</v>
      </c>
      <c r="O139" s="31">
        <v>0</v>
      </c>
      <c r="P139" s="34">
        <f t="shared" si="1"/>
        <v>0</v>
      </c>
    </row>
    <row r="140" spans="1:16" x14ac:dyDescent="0.25">
      <c r="A140">
        <v>137</v>
      </c>
      <c r="B140" s="15" t="s">
        <v>418</v>
      </c>
      <c r="C140" t="s">
        <v>195</v>
      </c>
      <c r="D140" s="26" t="s">
        <v>379</v>
      </c>
      <c r="E140">
        <v>1</v>
      </c>
      <c r="F140" s="13">
        <v>52</v>
      </c>
      <c r="G140" s="11" t="s">
        <v>46</v>
      </c>
      <c r="H140" t="s">
        <v>218</v>
      </c>
      <c r="L140" t="s">
        <v>347</v>
      </c>
      <c r="O140" s="31">
        <v>1</v>
      </c>
      <c r="P140" s="34">
        <f t="shared" si="1"/>
        <v>0.5</v>
      </c>
    </row>
    <row r="141" spans="1:16" x14ac:dyDescent="0.25">
      <c r="A141">
        <v>138</v>
      </c>
      <c r="B141" s="15" t="s">
        <v>418</v>
      </c>
      <c r="C141" t="s">
        <v>195</v>
      </c>
      <c r="D141" s="26" t="s">
        <v>155</v>
      </c>
      <c r="E141">
        <v>0</v>
      </c>
      <c r="F141" s="13">
        <v>52</v>
      </c>
      <c r="G141" s="11" t="s">
        <v>169</v>
      </c>
      <c r="H141" t="s">
        <v>218</v>
      </c>
      <c r="O141" s="31">
        <v>0</v>
      </c>
      <c r="P141" s="34">
        <f t="shared" si="1"/>
        <v>0</v>
      </c>
    </row>
    <row r="142" spans="1:16" x14ac:dyDescent="0.25">
      <c r="A142">
        <v>139</v>
      </c>
      <c r="B142" s="15" t="s">
        <v>418</v>
      </c>
      <c r="C142" t="s">
        <v>195</v>
      </c>
      <c r="D142" s="26" t="s">
        <v>380</v>
      </c>
      <c r="E142">
        <v>1</v>
      </c>
      <c r="F142" s="13">
        <v>52</v>
      </c>
      <c r="G142" s="11" t="s">
        <v>46</v>
      </c>
      <c r="H142" t="s">
        <v>218</v>
      </c>
      <c r="L142" t="s">
        <v>347</v>
      </c>
      <c r="O142" s="31">
        <v>1</v>
      </c>
      <c r="P142" s="34">
        <f t="shared" si="1"/>
        <v>0.5</v>
      </c>
    </row>
    <row r="143" spans="1:16" x14ac:dyDescent="0.25">
      <c r="A143">
        <v>140</v>
      </c>
      <c r="B143" s="15" t="s">
        <v>418</v>
      </c>
      <c r="C143" t="s">
        <v>195</v>
      </c>
      <c r="D143" s="26" t="s">
        <v>381</v>
      </c>
      <c r="E143">
        <v>1</v>
      </c>
      <c r="F143" s="13">
        <v>52</v>
      </c>
      <c r="G143" s="11" t="s">
        <v>46</v>
      </c>
      <c r="H143" t="s">
        <v>218</v>
      </c>
      <c r="L143" t="s">
        <v>347</v>
      </c>
      <c r="O143" s="31">
        <v>1</v>
      </c>
      <c r="P143" s="34">
        <f t="shared" si="1"/>
        <v>0.5</v>
      </c>
    </row>
    <row r="144" spans="1:16" x14ac:dyDescent="0.25">
      <c r="A144">
        <v>141</v>
      </c>
      <c r="B144" s="15" t="s">
        <v>418</v>
      </c>
      <c r="C144" t="s">
        <v>195</v>
      </c>
      <c r="D144" s="26" t="s">
        <v>382</v>
      </c>
      <c r="E144">
        <v>1</v>
      </c>
      <c r="F144" s="13">
        <v>52</v>
      </c>
      <c r="G144" s="11" t="s">
        <v>46</v>
      </c>
      <c r="H144" t="s">
        <v>218</v>
      </c>
      <c r="L144" t="s">
        <v>347</v>
      </c>
      <c r="O144" s="31">
        <v>1</v>
      </c>
      <c r="P144" s="34">
        <f t="shared" si="1"/>
        <v>0.5</v>
      </c>
    </row>
    <row r="145" spans="1:16" x14ac:dyDescent="0.25">
      <c r="A145">
        <v>142</v>
      </c>
      <c r="B145" s="15" t="s">
        <v>418</v>
      </c>
      <c r="C145" t="s">
        <v>195</v>
      </c>
      <c r="D145" s="26" t="s">
        <v>383</v>
      </c>
      <c r="E145">
        <v>0</v>
      </c>
      <c r="F145" s="13">
        <v>52</v>
      </c>
      <c r="G145" s="11" t="s">
        <v>169</v>
      </c>
      <c r="H145" t="s">
        <v>218</v>
      </c>
      <c r="O145" s="31">
        <v>0</v>
      </c>
      <c r="P145" s="34">
        <f t="shared" si="1"/>
        <v>0</v>
      </c>
    </row>
    <row r="146" spans="1:16" x14ac:dyDescent="0.25">
      <c r="A146">
        <v>143</v>
      </c>
      <c r="B146" s="15" t="s">
        <v>418</v>
      </c>
      <c r="C146" t="s">
        <v>195</v>
      </c>
      <c r="D146" s="26" t="s">
        <v>384</v>
      </c>
      <c r="E146">
        <v>0</v>
      </c>
      <c r="F146" s="13">
        <v>52</v>
      </c>
      <c r="G146" s="11" t="s">
        <v>169</v>
      </c>
      <c r="H146" t="s">
        <v>218</v>
      </c>
      <c r="O146" s="31">
        <v>0</v>
      </c>
      <c r="P146" s="34">
        <f t="shared" si="1"/>
        <v>0</v>
      </c>
    </row>
    <row r="147" spans="1:16" x14ac:dyDescent="0.25">
      <c r="A147">
        <v>144</v>
      </c>
      <c r="B147" s="15" t="s">
        <v>418</v>
      </c>
      <c r="C147" t="s">
        <v>195</v>
      </c>
      <c r="D147" s="26" t="s">
        <v>385</v>
      </c>
      <c r="E147">
        <v>0</v>
      </c>
      <c r="F147" s="13">
        <v>52</v>
      </c>
      <c r="G147" s="11" t="s">
        <v>169</v>
      </c>
      <c r="H147" t="s">
        <v>218</v>
      </c>
      <c r="O147" s="31">
        <v>0</v>
      </c>
      <c r="P147" s="34">
        <f t="shared" si="1"/>
        <v>0</v>
      </c>
    </row>
    <row r="148" spans="1:16" x14ac:dyDescent="0.25">
      <c r="A148">
        <v>145</v>
      </c>
      <c r="B148" s="15" t="s">
        <v>418</v>
      </c>
      <c r="C148" t="s">
        <v>195</v>
      </c>
      <c r="D148" s="26" t="s">
        <v>386</v>
      </c>
      <c r="E148">
        <v>1</v>
      </c>
      <c r="F148" s="13">
        <v>52</v>
      </c>
      <c r="G148" s="11" t="s">
        <v>46</v>
      </c>
      <c r="H148" t="s">
        <v>218</v>
      </c>
      <c r="L148" t="s">
        <v>347</v>
      </c>
      <c r="O148" s="31">
        <v>1</v>
      </c>
      <c r="P148" s="34">
        <f t="shared" si="1"/>
        <v>0.5</v>
      </c>
    </row>
    <row r="149" spans="1:16" x14ac:dyDescent="0.25">
      <c r="A149">
        <v>146</v>
      </c>
      <c r="B149" s="15" t="s">
        <v>418</v>
      </c>
      <c r="C149" t="s">
        <v>195</v>
      </c>
      <c r="D149" s="26" t="s">
        <v>387</v>
      </c>
      <c r="E149">
        <v>0</v>
      </c>
      <c r="F149" s="13">
        <v>52</v>
      </c>
      <c r="G149" s="11" t="s">
        <v>169</v>
      </c>
      <c r="H149" t="s">
        <v>218</v>
      </c>
      <c r="O149" s="31">
        <v>0</v>
      </c>
      <c r="P149" s="34">
        <f t="shared" si="1"/>
        <v>0</v>
      </c>
    </row>
    <row r="150" spans="1:16" x14ac:dyDescent="0.25">
      <c r="A150">
        <v>147</v>
      </c>
      <c r="B150" s="15" t="s">
        <v>418</v>
      </c>
      <c r="C150" t="s">
        <v>398</v>
      </c>
      <c r="D150" s="26" t="s">
        <v>388</v>
      </c>
      <c r="E150">
        <v>0</v>
      </c>
      <c r="F150" s="13" t="s">
        <v>428</v>
      </c>
      <c r="G150" s="11" t="s">
        <v>169</v>
      </c>
      <c r="H150" t="s">
        <v>218</v>
      </c>
      <c r="O150" s="31">
        <v>0</v>
      </c>
      <c r="P150" s="34">
        <f t="shared" si="1"/>
        <v>0</v>
      </c>
    </row>
    <row r="151" spans="1:16" x14ac:dyDescent="0.25">
      <c r="A151">
        <v>148</v>
      </c>
      <c r="B151" s="15" t="s">
        <v>418</v>
      </c>
      <c r="C151" t="s">
        <v>398</v>
      </c>
      <c r="D151" s="26" t="s">
        <v>389</v>
      </c>
      <c r="E151">
        <v>0</v>
      </c>
      <c r="F151" s="13" t="s">
        <v>428</v>
      </c>
      <c r="G151" s="11" t="s">
        <v>169</v>
      </c>
      <c r="H151" t="s">
        <v>218</v>
      </c>
      <c r="O151" s="31">
        <v>0</v>
      </c>
      <c r="P151" s="34">
        <f t="shared" si="1"/>
        <v>0</v>
      </c>
    </row>
    <row r="152" spans="1:16" x14ac:dyDescent="0.25">
      <c r="A152">
        <v>149</v>
      </c>
      <c r="B152" s="15" t="s">
        <v>418</v>
      </c>
      <c r="C152" t="s">
        <v>398</v>
      </c>
      <c r="D152" s="26" t="s">
        <v>390</v>
      </c>
      <c r="E152">
        <v>0</v>
      </c>
      <c r="F152" s="13" t="s">
        <v>428</v>
      </c>
      <c r="G152" s="11" t="s">
        <v>169</v>
      </c>
      <c r="H152" t="s">
        <v>218</v>
      </c>
      <c r="O152" s="31">
        <v>0</v>
      </c>
      <c r="P152" s="34">
        <f t="shared" si="1"/>
        <v>0</v>
      </c>
    </row>
    <row r="153" spans="1:16" x14ac:dyDescent="0.25">
      <c r="A153">
        <v>150</v>
      </c>
      <c r="B153" s="15" t="s">
        <v>418</v>
      </c>
      <c r="C153" t="s">
        <v>398</v>
      </c>
      <c r="D153" s="26" t="s">
        <v>399</v>
      </c>
      <c r="E153">
        <v>0</v>
      </c>
      <c r="F153" s="13">
        <v>52</v>
      </c>
      <c r="G153" s="11" t="s">
        <v>400</v>
      </c>
      <c r="H153" t="s">
        <v>218</v>
      </c>
      <c r="O153" s="31">
        <v>1</v>
      </c>
      <c r="P153" s="34">
        <f t="shared" si="1"/>
        <v>0</v>
      </c>
    </row>
    <row r="154" spans="1:16" x14ac:dyDescent="0.25">
      <c r="A154">
        <v>151</v>
      </c>
      <c r="B154" s="15" t="s">
        <v>418</v>
      </c>
      <c r="C154" t="s">
        <v>398</v>
      </c>
      <c r="D154" s="26" t="s">
        <v>391</v>
      </c>
      <c r="E154">
        <v>1</v>
      </c>
      <c r="F154" s="13" t="s">
        <v>428</v>
      </c>
      <c r="G154" s="11" t="s">
        <v>46</v>
      </c>
      <c r="H154" t="s">
        <v>218</v>
      </c>
      <c r="O154" s="31">
        <v>2</v>
      </c>
      <c r="P154" s="34">
        <f t="shared" si="1"/>
        <v>1</v>
      </c>
    </row>
    <row r="155" spans="1:16" x14ac:dyDescent="0.25">
      <c r="A155">
        <v>152</v>
      </c>
      <c r="B155" s="15" t="s">
        <v>418</v>
      </c>
      <c r="C155" t="s">
        <v>398</v>
      </c>
      <c r="D155" s="26" t="s">
        <v>380</v>
      </c>
      <c r="E155">
        <v>0</v>
      </c>
      <c r="F155" s="13" t="s">
        <v>428</v>
      </c>
      <c r="G155" s="11" t="s">
        <v>169</v>
      </c>
      <c r="H155" t="s">
        <v>218</v>
      </c>
      <c r="O155" s="31">
        <v>0</v>
      </c>
      <c r="P155" s="34">
        <f t="shared" si="1"/>
        <v>0</v>
      </c>
    </row>
    <row r="156" spans="1:16" x14ac:dyDescent="0.25">
      <c r="A156">
        <v>153</v>
      </c>
      <c r="B156" s="15" t="s">
        <v>418</v>
      </c>
      <c r="C156" t="s">
        <v>401</v>
      </c>
      <c r="D156" s="26" t="s">
        <v>392</v>
      </c>
      <c r="E156">
        <v>1</v>
      </c>
      <c r="F156" s="13">
        <v>52</v>
      </c>
      <c r="G156" s="11" t="s">
        <v>254</v>
      </c>
      <c r="H156" t="s">
        <v>218</v>
      </c>
      <c r="O156" s="31">
        <v>1</v>
      </c>
      <c r="P156" s="34">
        <f t="shared" si="1"/>
        <v>0.5</v>
      </c>
    </row>
    <row r="157" spans="1:16" x14ac:dyDescent="0.25">
      <c r="A157">
        <v>154</v>
      </c>
      <c r="B157" s="15" t="s">
        <v>418</v>
      </c>
      <c r="C157" t="s">
        <v>401</v>
      </c>
      <c r="D157" s="26" t="s">
        <v>393</v>
      </c>
      <c r="E157">
        <v>0</v>
      </c>
      <c r="F157" s="13">
        <v>52</v>
      </c>
      <c r="G157" s="11" t="s">
        <v>169</v>
      </c>
      <c r="H157" t="s">
        <v>218</v>
      </c>
      <c r="O157" s="31">
        <v>0</v>
      </c>
      <c r="P157" s="34">
        <f t="shared" si="1"/>
        <v>0</v>
      </c>
    </row>
    <row r="158" spans="1:16" x14ac:dyDescent="0.25">
      <c r="A158">
        <v>155</v>
      </c>
      <c r="B158" s="15" t="s">
        <v>418</v>
      </c>
      <c r="C158" t="s">
        <v>401</v>
      </c>
      <c r="D158" s="26" t="s">
        <v>394</v>
      </c>
      <c r="E158">
        <v>1</v>
      </c>
      <c r="F158" s="13">
        <v>52</v>
      </c>
      <c r="G158" s="11" t="s">
        <v>254</v>
      </c>
      <c r="H158" t="s">
        <v>218</v>
      </c>
      <c r="O158" s="31">
        <v>1</v>
      </c>
      <c r="P158" s="34">
        <f t="shared" si="1"/>
        <v>0.5</v>
      </c>
    </row>
    <row r="159" spans="1:16" x14ac:dyDescent="0.25">
      <c r="A159">
        <v>156</v>
      </c>
      <c r="B159" s="15" t="s">
        <v>419</v>
      </c>
      <c r="C159" t="s">
        <v>175</v>
      </c>
      <c r="D159" s="19" t="s">
        <v>426</v>
      </c>
      <c r="E159">
        <v>0</v>
      </c>
      <c r="F159" s="13">
        <v>56</v>
      </c>
      <c r="H159" t="s">
        <v>221</v>
      </c>
      <c r="O159" s="31" t="s">
        <v>429</v>
      </c>
      <c r="P159" s="34" t="str">
        <f t="shared" si="1"/>
        <v/>
      </c>
    </row>
    <row r="160" spans="1:16" x14ac:dyDescent="0.25">
      <c r="A160">
        <v>157</v>
      </c>
      <c r="B160" s="15" t="s">
        <v>419</v>
      </c>
      <c r="C160" t="s">
        <v>321</v>
      </c>
      <c r="D160" s="19" t="s">
        <v>426</v>
      </c>
      <c r="E160">
        <v>0</v>
      </c>
      <c r="F160" s="13">
        <v>57</v>
      </c>
      <c r="H160" t="s">
        <v>221</v>
      </c>
      <c r="O160" s="31" t="s">
        <v>429</v>
      </c>
      <c r="P160" s="34" t="str">
        <f t="shared" si="1"/>
        <v/>
      </c>
    </row>
    <row r="161" spans="1:16" x14ac:dyDescent="0.25">
      <c r="A161">
        <v>158</v>
      </c>
      <c r="B161" s="15" t="s">
        <v>419</v>
      </c>
      <c r="C161" t="s">
        <v>398</v>
      </c>
      <c r="D161" s="19" t="s">
        <v>426</v>
      </c>
      <c r="E161">
        <v>0</v>
      </c>
      <c r="F161" s="13">
        <v>58</v>
      </c>
      <c r="H161" t="s">
        <v>221</v>
      </c>
      <c r="O161" s="31" t="s">
        <v>429</v>
      </c>
      <c r="P161" s="34" t="str">
        <f t="shared" si="1"/>
        <v/>
      </c>
    </row>
    <row r="162" spans="1:16" x14ac:dyDescent="0.25">
      <c r="A162">
        <v>159</v>
      </c>
      <c r="B162" s="15" t="s">
        <v>419</v>
      </c>
      <c r="C162" t="s">
        <v>422</v>
      </c>
      <c r="D162" s="19" t="s">
        <v>423</v>
      </c>
      <c r="E162">
        <v>0</v>
      </c>
      <c r="F162" s="13">
        <v>59</v>
      </c>
      <c r="G162" s="11" t="s">
        <v>400</v>
      </c>
      <c r="H162" t="s">
        <v>221</v>
      </c>
      <c r="K162" t="s">
        <v>229</v>
      </c>
      <c r="O162" s="31">
        <v>1</v>
      </c>
      <c r="P162" s="34">
        <f t="shared" si="1"/>
        <v>0</v>
      </c>
    </row>
    <row r="163" spans="1:16" ht="30" x14ac:dyDescent="0.25">
      <c r="A163">
        <v>160</v>
      </c>
      <c r="B163" s="15" t="s">
        <v>419</v>
      </c>
      <c r="C163" t="s">
        <v>422</v>
      </c>
      <c r="D163" s="19" t="s">
        <v>424</v>
      </c>
      <c r="E163">
        <v>0</v>
      </c>
      <c r="F163" s="13">
        <v>60</v>
      </c>
      <c r="G163" s="11" t="s">
        <v>425</v>
      </c>
      <c r="H163" t="s">
        <v>221</v>
      </c>
      <c r="O163" s="31">
        <v>1</v>
      </c>
      <c r="P163" s="34">
        <f t="shared" si="1"/>
        <v>0</v>
      </c>
    </row>
    <row r="164" spans="1:16" x14ac:dyDescent="0.25">
      <c r="A164">
        <v>161</v>
      </c>
      <c r="B164" s="15" t="s">
        <v>427</v>
      </c>
      <c r="C164" t="s">
        <v>264</v>
      </c>
      <c r="D164" s="19" t="s">
        <v>426</v>
      </c>
      <c r="E164">
        <v>0</v>
      </c>
      <c r="F164" s="13">
        <v>61</v>
      </c>
      <c r="H164" t="s">
        <v>218</v>
      </c>
      <c r="O164" s="31" t="s">
        <v>429</v>
      </c>
      <c r="P164" s="34" t="str">
        <f t="shared" si="1"/>
        <v/>
      </c>
    </row>
    <row r="165" spans="1:16" x14ac:dyDescent="0.25">
      <c r="A165">
        <v>162</v>
      </c>
      <c r="B165" s="15" t="s">
        <v>427</v>
      </c>
      <c r="C165" t="s">
        <v>171</v>
      </c>
      <c r="D165" s="19" t="s">
        <v>426</v>
      </c>
      <c r="E165">
        <v>0</v>
      </c>
      <c r="F165" s="13">
        <v>61</v>
      </c>
      <c r="H165" t="s">
        <v>218</v>
      </c>
      <c r="O165" s="31" t="s">
        <v>429</v>
      </c>
      <c r="P165" s="34" t="str">
        <f t="shared" si="1"/>
        <v/>
      </c>
    </row>
    <row r="166" spans="1:16" ht="45" x14ac:dyDescent="0.25">
      <c r="A166">
        <v>163</v>
      </c>
      <c r="B166" s="15" t="s">
        <v>427</v>
      </c>
      <c r="C166" t="s">
        <v>10</v>
      </c>
      <c r="D166" s="19" t="s">
        <v>247</v>
      </c>
      <c r="E166">
        <v>1</v>
      </c>
      <c r="F166" s="13">
        <v>62</v>
      </c>
      <c r="G166" s="11" t="s">
        <v>259</v>
      </c>
      <c r="H166" t="s">
        <v>218</v>
      </c>
      <c r="K166" s="11" t="s">
        <v>430</v>
      </c>
      <c r="O166" s="31">
        <v>2</v>
      </c>
      <c r="P166" s="34">
        <f t="shared" si="1"/>
        <v>1</v>
      </c>
    </row>
    <row r="167" spans="1:16" x14ac:dyDescent="0.25">
      <c r="A167">
        <v>164</v>
      </c>
      <c r="B167" s="15" t="s">
        <v>431</v>
      </c>
      <c r="C167" t="s">
        <v>170</v>
      </c>
      <c r="D167" s="19" t="s">
        <v>213</v>
      </c>
      <c r="E167">
        <v>0</v>
      </c>
      <c r="F167" s="13">
        <v>64</v>
      </c>
      <c r="G167" s="11" t="s">
        <v>169</v>
      </c>
      <c r="H167" t="s">
        <v>218</v>
      </c>
      <c r="K167" t="s">
        <v>213</v>
      </c>
      <c r="O167" s="31">
        <v>0</v>
      </c>
      <c r="P167" s="34">
        <f t="shared" si="1"/>
        <v>0</v>
      </c>
    </row>
    <row r="168" spans="1:16" x14ac:dyDescent="0.25">
      <c r="A168">
        <v>165</v>
      </c>
      <c r="B168" s="15" t="s">
        <v>431</v>
      </c>
      <c r="C168" t="s">
        <v>204</v>
      </c>
      <c r="D168" s="19" t="s">
        <v>432</v>
      </c>
      <c r="E168">
        <v>1</v>
      </c>
      <c r="F168" s="13">
        <v>71</v>
      </c>
      <c r="G168" s="11" t="s">
        <v>251</v>
      </c>
      <c r="H168" t="s">
        <v>218</v>
      </c>
      <c r="K168" t="s">
        <v>225</v>
      </c>
      <c r="O168" s="31">
        <v>1</v>
      </c>
      <c r="P168" s="34">
        <f t="shared" si="1"/>
        <v>0.5</v>
      </c>
    </row>
    <row r="169" spans="1:16" x14ac:dyDescent="0.25">
      <c r="A169">
        <v>166</v>
      </c>
      <c r="B169" s="15" t="s">
        <v>431</v>
      </c>
      <c r="C169" t="s">
        <v>204</v>
      </c>
      <c r="D169" s="19" t="s">
        <v>433</v>
      </c>
      <c r="E169">
        <v>1</v>
      </c>
      <c r="F169" s="13">
        <v>71</v>
      </c>
      <c r="G169" s="11" t="s">
        <v>46</v>
      </c>
      <c r="H169" t="s">
        <v>218</v>
      </c>
      <c r="K169" t="s">
        <v>434</v>
      </c>
      <c r="O169" s="31">
        <v>1</v>
      </c>
      <c r="P169" s="34">
        <f t="shared" si="1"/>
        <v>0.5</v>
      </c>
    </row>
    <row r="170" spans="1:16" x14ac:dyDescent="0.25">
      <c r="A170">
        <v>167</v>
      </c>
      <c r="B170" s="15" t="s">
        <v>435</v>
      </c>
      <c r="C170" t="s">
        <v>10</v>
      </c>
      <c r="D170" s="19" t="s">
        <v>426</v>
      </c>
      <c r="E170">
        <v>0</v>
      </c>
      <c r="F170" s="13">
        <v>73</v>
      </c>
      <c r="H170" t="s">
        <v>219</v>
      </c>
      <c r="O170" s="31" t="s">
        <v>429</v>
      </c>
      <c r="P170" s="34" t="str">
        <f t="shared" si="1"/>
        <v/>
      </c>
    </row>
    <row r="171" spans="1:16" x14ac:dyDescent="0.25">
      <c r="A171">
        <v>168</v>
      </c>
      <c r="B171" s="15" t="s">
        <v>435</v>
      </c>
      <c r="C171" t="s">
        <v>94</v>
      </c>
      <c r="D171" s="19" t="s">
        <v>426</v>
      </c>
      <c r="E171">
        <v>0</v>
      </c>
      <c r="F171" s="13">
        <v>73</v>
      </c>
      <c r="H171" t="s">
        <v>219</v>
      </c>
      <c r="O171" s="31" t="s">
        <v>429</v>
      </c>
      <c r="P171" s="34" t="str">
        <f t="shared" si="1"/>
        <v/>
      </c>
    </row>
    <row r="172" spans="1:16" x14ac:dyDescent="0.25">
      <c r="A172">
        <v>169</v>
      </c>
      <c r="B172" s="15" t="s">
        <v>435</v>
      </c>
      <c r="C172" t="s">
        <v>179</v>
      </c>
      <c r="D172" s="19" t="s">
        <v>436</v>
      </c>
      <c r="E172">
        <v>1</v>
      </c>
      <c r="F172" s="13">
        <v>74</v>
      </c>
      <c r="G172" s="11" t="s">
        <v>46</v>
      </c>
      <c r="H172" t="s">
        <v>219</v>
      </c>
      <c r="N172" s="31">
        <v>5</v>
      </c>
      <c r="O172" s="31">
        <v>1</v>
      </c>
      <c r="P172" s="34">
        <f t="shared" si="1"/>
        <v>0.5</v>
      </c>
    </row>
    <row r="173" spans="1:16" x14ac:dyDescent="0.25">
      <c r="A173">
        <v>170</v>
      </c>
      <c r="B173" s="15" t="s">
        <v>435</v>
      </c>
      <c r="C173" t="s">
        <v>179</v>
      </c>
      <c r="D173" s="19" t="s">
        <v>437</v>
      </c>
      <c r="E173">
        <v>1</v>
      </c>
      <c r="F173" s="13">
        <v>74</v>
      </c>
      <c r="G173" s="11" t="s">
        <v>254</v>
      </c>
      <c r="H173" t="s">
        <v>219</v>
      </c>
      <c r="N173" s="31">
        <v>5</v>
      </c>
      <c r="O173" s="31">
        <v>1</v>
      </c>
      <c r="P173" s="34">
        <f t="shared" si="1"/>
        <v>0.5</v>
      </c>
    </row>
    <row r="174" spans="1:16" x14ac:dyDescent="0.25">
      <c r="A174">
        <v>171</v>
      </c>
      <c r="B174" s="15" t="s">
        <v>435</v>
      </c>
      <c r="C174" t="s">
        <v>179</v>
      </c>
      <c r="D174" s="19" t="s">
        <v>438</v>
      </c>
      <c r="E174">
        <v>1</v>
      </c>
      <c r="F174" s="13">
        <v>74</v>
      </c>
      <c r="G174" s="11" t="s">
        <v>254</v>
      </c>
      <c r="H174" t="s">
        <v>219</v>
      </c>
      <c r="N174" s="31">
        <v>5</v>
      </c>
      <c r="O174" s="31">
        <v>1</v>
      </c>
      <c r="P174" s="34">
        <f t="shared" si="1"/>
        <v>0.5</v>
      </c>
    </row>
    <row r="175" spans="1:16" x14ac:dyDescent="0.25">
      <c r="A175">
        <v>172</v>
      </c>
      <c r="B175" s="15" t="s">
        <v>435</v>
      </c>
      <c r="C175" t="s">
        <v>179</v>
      </c>
      <c r="D175" s="19" t="s">
        <v>349</v>
      </c>
      <c r="E175">
        <v>1</v>
      </c>
      <c r="F175" s="13">
        <v>74</v>
      </c>
      <c r="G175" s="11" t="s">
        <v>254</v>
      </c>
      <c r="H175" t="s">
        <v>219</v>
      </c>
      <c r="N175" s="31">
        <v>5</v>
      </c>
      <c r="O175" s="31">
        <v>1</v>
      </c>
      <c r="P175" s="34">
        <f t="shared" si="1"/>
        <v>0.5</v>
      </c>
    </row>
    <row r="176" spans="1:16" x14ac:dyDescent="0.25">
      <c r="A176">
        <v>173</v>
      </c>
      <c r="B176" s="15" t="s">
        <v>435</v>
      </c>
      <c r="C176" t="s">
        <v>179</v>
      </c>
      <c r="D176" s="19" t="s">
        <v>439</v>
      </c>
      <c r="E176">
        <v>0</v>
      </c>
      <c r="F176" s="13">
        <v>74</v>
      </c>
      <c r="G176" s="11" t="s">
        <v>169</v>
      </c>
      <c r="H176" t="s">
        <v>219</v>
      </c>
      <c r="N176" s="31">
        <v>5</v>
      </c>
      <c r="O176" s="31">
        <v>0</v>
      </c>
      <c r="P176" s="34">
        <f t="shared" si="1"/>
        <v>0</v>
      </c>
    </row>
    <row r="177" spans="1:16" x14ac:dyDescent="0.25">
      <c r="A177">
        <v>174</v>
      </c>
      <c r="B177" s="15" t="s">
        <v>435</v>
      </c>
      <c r="C177" t="s">
        <v>179</v>
      </c>
      <c r="D177" s="19" t="s">
        <v>350</v>
      </c>
      <c r="E177">
        <v>1</v>
      </c>
      <c r="F177" s="13">
        <v>74</v>
      </c>
      <c r="G177" s="11" t="s">
        <v>254</v>
      </c>
      <c r="H177" t="s">
        <v>219</v>
      </c>
      <c r="N177" s="31">
        <v>5</v>
      </c>
      <c r="O177" s="31">
        <v>1</v>
      </c>
      <c r="P177" s="34">
        <f t="shared" si="1"/>
        <v>0.5</v>
      </c>
    </row>
    <row r="178" spans="1:16" x14ac:dyDescent="0.25">
      <c r="A178">
        <v>175</v>
      </c>
      <c r="B178" s="15" t="s">
        <v>435</v>
      </c>
      <c r="C178" t="s">
        <v>179</v>
      </c>
      <c r="D178" s="19" t="s">
        <v>440</v>
      </c>
      <c r="E178">
        <v>1</v>
      </c>
      <c r="F178" s="13">
        <v>74</v>
      </c>
      <c r="G178" s="11" t="s">
        <v>462</v>
      </c>
      <c r="H178" t="s">
        <v>219</v>
      </c>
      <c r="K178" t="s">
        <v>456</v>
      </c>
      <c r="N178" s="31">
        <v>5</v>
      </c>
      <c r="O178" s="31">
        <v>1</v>
      </c>
      <c r="P178" s="34">
        <f t="shared" si="1"/>
        <v>0.5</v>
      </c>
    </row>
    <row r="179" spans="1:16" x14ac:dyDescent="0.25">
      <c r="A179">
        <v>176</v>
      </c>
      <c r="B179" s="15" t="s">
        <v>435</v>
      </c>
      <c r="C179" t="s">
        <v>179</v>
      </c>
      <c r="D179" s="19" t="s">
        <v>441</v>
      </c>
      <c r="E179">
        <v>0</v>
      </c>
      <c r="F179" s="13">
        <v>74</v>
      </c>
      <c r="G179" s="11" t="s">
        <v>169</v>
      </c>
      <c r="H179" t="s">
        <v>219</v>
      </c>
      <c r="K179" t="s">
        <v>456</v>
      </c>
      <c r="N179" s="31">
        <v>5</v>
      </c>
      <c r="O179" s="31">
        <v>0</v>
      </c>
      <c r="P179" s="34">
        <f t="shared" si="1"/>
        <v>0</v>
      </c>
    </row>
    <row r="180" spans="1:16" x14ac:dyDescent="0.25">
      <c r="A180">
        <v>177</v>
      </c>
      <c r="B180" s="15" t="s">
        <v>435</v>
      </c>
      <c r="C180" t="s">
        <v>179</v>
      </c>
      <c r="D180" s="19" t="s">
        <v>442</v>
      </c>
      <c r="E180">
        <v>1</v>
      </c>
      <c r="F180" s="13">
        <v>74</v>
      </c>
      <c r="G180" s="11" t="s">
        <v>462</v>
      </c>
      <c r="H180" t="s">
        <v>219</v>
      </c>
      <c r="N180" s="31">
        <v>5</v>
      </c>
      <c r="O180" s="31">
        <v>1</v>
      </c>
      <c r="P180" s="34">
        <f t="shared" si="1"/>
        <v>0.5</v>
      </c>
    </row>
    <row r="181" spans="1:16" x14ac:dyDescent="0.25">
      <c r="A181">
        <v>178</v>
      </c>
      <c r="B181" s="15" t="s">
        <v>435</v>
      </c>
      <c r="C181" t="s">
        <v>179</v>
      </c>
      <c r="D181" s="19" t="s">
        <v>571</v>
      </c>
      <c r="E181">
        <v>0</v>
      </c>
      <c r="F181" s="13">
        <v>74</v>
      </c>
      <c r="G181" s="11" t="s">
        <v>169</v>
      </c>
      <c r="H181" t="s">
        <v>219</v>
      </c>
      <c r="N181" s="31">
        <v>5</v>
      </c>
      <c r="O181" s="31">
        <v>0</v>
      </c>
      <c r="P181" s="34">
        <f t="shared" si="1"/>
        <v>0</v>
      </c>
    </row>
    <row r="182" spans="1:16" x14ac:dyDescent="0.25">
      <c r="A182">
        <v>179</v>
      </c>
      <c r="B182" s="15" t="s">
        <v>435</v>
      </c>
      <c r="C182" t="s">
        <v>179</v>
      </c>
      <c r="D182" s="19" t="s">
        <v>443</v>
      </c>
      <c r="E182">
        <v>1</v>
      </c>
      <c r="F182" s="13">
        <v>74</v>
      </c>
      <c r="G182" s="11" t="s">
        <v>254</v>
      </c>
      <c r="H182" t="s">
        <v>219</v>
      </c>
      <c r="N182" s="31">
        <v>5</v>
      </c>
      <c r="O182" s="31">
        <v>1</v>
      </c>
      <c r="P182" s="34">
        <f t="shared" si="1"/>
        <v>0.5</v>
      </c>
    </row>
    <row r="183" spans="1:16" x14ac:dyDescent="0.25">
      <c r="A183">
        <v>180</v>
      </c>
      <c r="B183" s="15" t="s">
        <v>435</v>
      </c>
      <c r="C183" t="s">
        <v>179</v>
      </c>
      <c r="D183" s="19" t="s">
        <v>444</v>
      </c>
      <c r="E183">
        <v>0</v>
      </c>
      <c r="F183" s="13">
        <v>74</v>
      </c>
      <c r="G183" s="11" t="s">
        <v>169</v>
      </c>
      <c r="H183" t="s">
        <v>219</v>
      </c>
      <c r="N183" s="31">
        <v>5</v>
      </c>
      <c r="O183" s="31">
        <v>0</v>
      </c>
      <c r="P183" s="34">
        <f t="shared" ref="P183:P246" si="3">IF(ISNUMBER(O183),HLOOKUP(O183,$O$1:$S$2,2,FALSE)*E183,"")</f>
        <v>0</v>
      </c>
    </row>
    <row r="184" spans="1:16" x14ac:dyDescent="0.25">
      <c r="A184">
        <v>181</v>
      </c>
      <c r="B184" s="15" t="s">
        <v>435</v>
      </c>
      <c r="C184" t="s">
        <v>179</v>
      </c>
      <c r="D184" s="19" t="s">
        <v>445</v>
      </c>
      <c r="E184">
        <v>1</v>
      </c>
      <c r="F184" s="13">
        <v>74</v>
      </c>
      <c r="G184" s="11" t="s">
        <v>254</v>
      </c>
      <c r="H184" t="s">
        <v>219</v>
      </c>
      <c r="N184" s="31">
        <v>5</v>
      </c>
      <c r="O184" s="31">
        <v>1</v>
      </c>
      <c r="P184" s="34">
        <f t="shared" si="3"/>
        <v>0.5</v>
      </c>
    </row>
    <row r="185" spans="1:16" x14ac:dyDescent="0.25">
      <c r="A185">
        <v>182</v>
      </c>
      <c r="B185" s="15" t="s">
        <v>435</v>
      </c>
      <c r="C185" t="s">
        <v>179</v>
      </c>
      <c r="D185" s="19" t="s">
        <v>446</v>
      </c>
      <c r="E185">
        <v>1</v>
      </c>
      <c r="F185" s="13">
        <v>74</v>
      </c>
      <c r="G185" s="11" t="s">
        <v>254</v>
      </c>
      <c r="H185" t="s">
        <v>219</v>
      </c>
      <c r="N185" s="31">
        <v>5</v>
      </c>
      <c r="O185" s="31">
        <v>1</v>
      </c>
      <c r="P185" s="34">
        <f t="shared" si="3"/>
        <v>0.5</v>
      </c>
    </row>
    <row r="186" spans="1:16" x14ac:dyDescent="0.25">
      <c r="A186">
        <v>183</v>
      </c>
      <c r="B186" s="15" t="s">
        <v>435</v>
      </c>
      <c r="C186" t="s">
        <v>179</v>
      </c>
      <c r="D186" s="19" t="s">
        <v>447</v>
      </c>
      <c r="E186">
        <v>1</v>
      </c>
      <c r="F186" s="13">
        <v>74</v>
      </c>
      <c r="G186" s="11" t="s">
        <v>254</v>
      </c>
      <c r="H186" t="s">
        <v>219</v>
      </c>
      <c r="N186" s="31">
        <v>5</v>
      </c>
      <c r="O186" s="31">
        <v>1</v>
      </c>
      <c r="P186" s="34">
        <f t="shared" si="3"/>
        <v>0.5</v>
      </c>
    </row>
    <row r="187" spans="1:16" x14ac:dyDescent="0.25">
      <c r="A187">
        <v>184</v>
      </c>
      <c r="B187" s="15" t="s">
        <v>435</v>
      </c>
      <c r="C187" t="s">
        <v>179</v>
      </c>
      <c r="D187" s="19" t="s">
        <v>448</v>
      </c>
      <c r="E187">
        <v>1</v>
      </c>
      <c r="F187" s="13">
        <v>74</v>
      </c>
      <c r="G187" s="11" t="s">
        <v>462</v>
      </c>
      <c r="H187" t="s">
        <v>219</v>
      </c>
      <c r="K187" t="s">
        <v>463</v>
      </c>
      <c r="N187" s="31">
        <v>5</v>
      </c>
      <c r="O187" s="31">
        <v>1</v>
      </c>
      <c r="P187" s="34">
        <f t="shared" si="3"/>
        <v>0.5</v>
      </c>
    </row>
    <row r="188" spans="1:16" x14ac:dyDescent="0.25">
      <c r="A188">
        <v>185</v>
      </c>
      <c r="B188" s="15" t="s">
        <v>435</v>
      </c>
      <c r="C188" t="s">
        <v>179</v>
      </c>
      <c r="D188" s="19" t="s">
        <v>449</v>
      </c>
      <c r="E188">
        <v>0</v>
      </c>
      <c r="F188" s="13">
        <v>74</v>
      </c>
      <c r="G188" s="11" t="s">
        <v>169</v>
      </c>
      <c r="H188" t="s">
        <v>219</v>
      </c>
      <c r="N188" s="31">
        <v>5</v>
      </c>
      <c r="O188" s="31">
        <v>0</v>
      </c>
      <c r="P188" s="34">
        <f t="shared" si="3"/>
        <v>0</v>
      </c>
    </row>
    <row r="189" spans="1:16" x14ac:dyDescent="0.25">
      <c r="A189">
        <v>186</v>
      </c>
      <c r="B189" s="15" t="s">
        <v>435</v>
      </c>
      <c r="C189" t="s">
        <v>179</v>
      </c>
      <c r="D189" s="19" t="s">
        <v>450</v>
      </c>
      <c r="E189">
        <v>1</v>
      </c>
      <c r="F189" s="13">
        <v>74</v>
      </c>
      <c r="G189" s="11" t="s">
        <v>254</v>
      </c>
      <c r="H189" t="s">
        <v>219</v>
      </c>
      <c r="N189" s="31">
        <v>5</v>
      </c>
      <c r="O189" s="31">
        <v>1</v>
      </c>
      <c r="P189" s="34">
        <f t="shared" si="3"/>
        <v>0.5</v>
      </c>
    </row>
    <row r="190" spans="1:16" x14ac:dyDescent="0.25">
      <c r="A190">
        <v>187</v>
      </c>
      <c r="B190" s="15" t="s">
        <v>435</v>
      </c>
      <c r="C190" t="s">
        <v>179</v>
      </c>
      <c r="D190" s="19" t="s">
        <v>451</v>
      </c>
      <c r="E190">
        <v>1</v>
      </c>
      <c r="F190" s="13">
        <v>74</v>
      </c>
      <c r="G190" s="11" t="s">
        <v>259</v>
      </c>
      <c r="H190" t="s">
        <v>219</v>
      </c>
      <c r="N190" s="31">
        <v>5</v>
      </c>
      <c r="O190" s="31">
        <v>1</v>
      </c>
      <c r="P190" s="34">
        <f t="shared" si="3"/>
        <v>0.5</v>
      </c>
    </row>
    <row r="191" spans="1:16" x14ac:dyDescent="0.25">
      <c r="A191">
        <v>188</v>
      </c>
      <c r="B191" s="15" t="s">
        <v>435</v>
      </c>
      <c r="C191" t="s">
        <v>179</v>
      </c>
      <c r="D191" s="19" t="s">
        <v>452</v>
      </c>
      <c r="E191">
        <v>1</v>
      </c>
      <c r="F191" s="13">
        <v>74</v>
      </c>
      <c r="G191" s="11" t="s">
        <v>46</v>
      </c>
      <c r="H191" t="s">
        <v>219</v>
      </c>
      <c r="K191" t="s">
        <v>459</v>
      </c>
      <c r="N191" s="31">
        <v>5</v>
      </c>
      <c r="O191" s="31">
        <v>1</v>
      </c>
      <c r="P191" s="34">
        <f t="shared" si="3"/>
        <v>0.5</v>
      </c>
    </row>
    <row r="192" spans="1:16" x14ac:dyDescent="0.25">
      <c r="A192">
        <v>189</v>
      </c>
      <c r="B192" s="15" t="s">
        <v>435</v>
      </c>
      <c r="C192" t="s">
        <v>179</v>
      </c>
      <c r="D192" s="19" t="s">
        <v>453</v>
      </c>
      <c r="E192">
        <v>1</v>
      </c>
      <c r="F192" s="13">
        <v>74</v>
      </c>
      <c r="G192" s="11" t="s">
        <v>462</v>
      </c>
      <c r="H192" t="s">
        <v>219</v>
      </c>
      <c r="K192" t="s">
        <v>459</v>
      </c>
      <c r="N192" s="31">
        <v>5</v>
      </c>
      <c r="O192" s="31">
        <v>1</v>
      </c>
      <c r="P192" s="34">
        <f t="shared" si="3"/>
        <v>0.5</v>
      </c>
    </row>
    <row r="193" spans="1:16" x14ac:dyDescent="0.25">
      <c r="A193">
        <v>190</v>
      </c>
      <c r="B193" s="15" t="s">
        <v>435</v>
      </c>
      <c r="C193" t="s">
        <v>179</v>
      </c>
      <c r="D193" s="19" t="s">
        <v>454</v>
      </c>
      <c r="E193">
        <v>1</v>
      </c>
      <c r="F193" s="13">
        <v>74</v>
      </c>
      <c r="G193" s="11" t="s">
        <v>254</v>
      </c>
      <c r="H193" t="s">
        <v>219</v>
      </c>
      <c r="N193" s="31">
        <v>5</v>
      </c>
      <c r="O193" s="31">
        <v>1</v>
      </c>
      <c r="P193" s="34">
        <f t="shared" si="3"/>
        <v>0.5</v>
      </c>
    </row>
    <row r="194" spans="1:16" x14ac:dyDescent="0.25">
      <c r="A194">
        <v>191</v>
      </c>
      <c r="B194" s="15" t="s">
        <v>435</v>
      </c>
      <c r="C194" t="s">
        <v>179</v>
      </c>
      <c r="D194" s="19" t="s">
        <v>79</v>
      </c>
      <c r="E194">
        <v>1</v>
      </c>
      <c r="F194" s="13">
        <v>74</v>
      </c>
      <c r="G194" s="11" t="s">
        <v>259</v>
      </c>
      <c r="H194" t="s">
        <v>219</v>
      </c>
      <c r="N194" s="31">
        <v>5</v>
      </c>
      <c r="O194" s="31">
        <v>1</v>
      </c>
      <c r="P194" s="34">
        <f t="shared" si="3"/>
        <v>0.5</v>
      </c>
    </row>
    <row r="195" spans="1:16" x14ac:dyDescent="0.25">
      <c r="A195">
        <v>192</v>
      </c>
      <c r="B195" s="15" t="s">
        <v>435</v>
      </c>
      <c r="C195" t="s">
        <v>179</v>
      </c>
      <c r="D195" s="19" t="s">
        <v>455</v>
      </c>
      <c r="E195">
        <v>1</v>
      </c>
      <c r="F195" s="13" t="s">
        <v>227</v>
      </c>
      <c r="G195" s="11" t="s">
        <v>46</v>
      </c>
      <c r="H195" t="s">
        <v>219</v>
      </c>
      <c r="I195" t="s">
        <v>191</v>
      </c>
      <c r="N195" s="31">
        <v>5</v>
      </c>
      <c r="O195" s="31">
        <v>1</v>
      </c>
      <c r="P195" s="34">
        <f t="shared" si="3"/>
        <v>0.5</v>
      </c>
    </row>
    <row r="196" spans="1:16" x14ac:dyDescent="0.25">
      <c r="A196">
        <v>193</v>
      </c>
      <c r="B196" s="15" t="s">
        <v>435</v>
      </c>
      <c r="C196" t="s">
        <v>176</v>
      </c>
      <c r="D196" s="19" t="s">
        <v>370</v>
      </c>
      <c r="E196">
        <v>1</v>
      </c>
      <c r="F196" s="13" t="s">
        <v>233</v>
      </c>
      <c r="G196" s="11" t="s">
        <v>254</v>
      </c>
      <c r="H196" t="s">
        <v>219</v>
      </c>
      <c r="N196" s="31">
        <v>5</v>
      </c>
      <c r="O196" s="31">
        <v>3</v>
      </c>
      <c r="P196" s="34">
        <f t="shared" si="3"/>
        <v>1.5</v>
      </c>
    </row>
    <row r="197" spans="1:16" x14ac:dyDescent="0.25">
      <c r="A197">
        <v>194</v>
      </c>
      <c r="B197" s="15" t="s">
        <v>435</v>
      </c>
      <c r="C197" t="s">
        <v>176</v>
      </c>
      <c r="D197" s="19" t="s">
        <v>464</v>
      </c>
      <c r="E197">
        <v>1</v>
      </c>
      <c r="F197" s="13" t="s">
        <v>233</v>
      </c>
      <c r="G197" s="11" t="s">
        <v>259</v>
      </c>
      <c r="H197" t="s">
        <v>219</v>
      </c>
      <c r="N197" s="31">
        <v>5</v>
      </c>
      <c r="O197" s="31">
        <v>2</v>
      </c>
      <c r="P197" s="34">
        <f t="shared" si="3"/>
        <v>1</v>
      </c>
    </row>
    <row r="198" spans="1:16" x14ac:dyDescent="0.25">
      <c r="A198">
        <v>195</v>
      </c>
      <c r="B198" s="15" t="s">
        <v>435</v>
      </c>
      <c r="C198" t="s">
        <v>177</v>
      </c>
      <c r="D198" s="19" t="s">
        <v>465</v>
      </c>
      <c r="E198">
        <v>0</v>
      </c>
      <c r="F198" s="13" t="s">
        <v>234</v>
      </c>
      <c r="G198" s="11" t="s">
        <v>169</v>
      </c>
      <c r="H198" t="s">
        <v>219</v>
      </c>
      <c r="N198" s="31">
        <v>5</v>
      </c>
      <c r="O198" s="31">
        <v>0</v>
      </c>
      <c r="P198" s="34">
        <f t="shared" si="3"/>
        <v>0</v>
      </c>
    </row>
    <row r="199" spans="1:16" x14ac:dyDescent="0.25">
      <c r="A199">
        <v>196</v>
      </c>
      <c r="B199" s="15" t="s">
        <v>435</v>
      </c>
      <c r="C199" t="s">
        <v>177</v>
      </c>
      <c r="D199" s="19" t="s">
        <v>466</v>
      </c>
      <c r="E199">
        <v>0</v>
      </c>
      <c r="F199" s="13" t="s">
        <v>234</v>
      </c>
      <c r="G199" s="11" t="s">
        <v>169</v>
      </c>
      <c r="H199" t="s">
        <v>219</v>
      </c>
      <c r="N199" s="31">
        <v>5</v>
      </c>
      <c r="O199" s="31">
        <v>0</v>
      </c>
      <c r="P199" s="34">
        <f t="shared" si="3"/>
        <v>0</v>
      </c>
    </row>
    <row r="200" spans="1:16" x14ac:dyDescent="0.25">
      <c r="A200">
        <v>197</v>
      </c>
      <c r="B200" s="15" t="s">
        <v>435</v>
      </c>
      <c r="C200" t="s">
        <v>177</v>
      </c>
      <c r="D200" s="19" t="s">
        <v>467</v>
      </c>
      <c r="E200">
        <v>0</v>
      </c>
      <c r="F200" s="13" t="s">
        <v>234</v>
      </c>
      <c r="G200" s="11" t="s">
        <v>169</v>
      </c>
      <c r="H200" t="s">
        <v>219</v>
      </c>
      <c r="N200" s="31">
        <v>5</v>
      </c>
      <c r="O200" s="31">
        <v>0</v>
      </c>
      <c r="P200" s="34">
        <f t="shared" si="3"/>
        <v>0</v>
      </c>
    </row>
    <row r="201" spans="1:16" x14ac:dyDescent="0.25">
      <c r="A201">
        <v>198</v>
      </c>
      <c r="B201" s="15" t="s">
        <v>435</v>
      </c>
      <c r="C201" t="s">
        <v>180</v>
      </c>
      <c r="D201" s="19" t="s">
        <v>468</v>
      </c>
      <c r="E201">
        <v>1</v>
      </c>
      <c r="F201" s="13">
        <v>76</v>
      </c>
      <c r="G201" s="11" t="s">
        <v>254</v>
      </c>
      <c r="H201" t="s">
        <v>219</v>
      </c>
      <c r="L201" t="s">
        <v>346</v>
      </c>
      <c r="N201" s="31">
        <v>6</v>
      </c>
      <c r="O201" s="31">
        <v>2</v>
      </c>
      <c r="P201" s="34">
        <f t="shared" si="3"/>
        <v>1</v>
      </c>
    </row>
    <row r="202" spans="1:16" x14ac:dyDescent="0.25">
      <c r="A202">
        <v>199</v>
      </c>
      <c r="B202" s="15" t="s">
        <v>435</v>
      </c>
      <c r="C202" t="s">
        <v>180</v>
      </c>
      <c r="D202" s="19" t="s">
        <v>357</v>
      </c>
      <c r="E202">
        <v>1</v>
      </c>
      <c r="F202" s="13">
        <v>76</v>
      </c>
      <c r="G202" s="11" t="s">
        <v>254</v>
      </c>
      <c r="H202" t="s">
        <v>219</v>
      </c>
      <c r="L202" t="s">
        <v>346</v>
      </c>
      <c r="N202" s="31">
        <v>6</v>
      </c>
      <c r="O202" s="31">
        <v>1</v>
      </c>
      <c r="P202" s="34">
        <f t="shared" si="3"/>
        <v>0.5</v>
      </c>
    </row>
    <row r="203" spans="1:16" x14ac:dyDescent="0.25">
      <c r="A203">
        <v>200</v>
      </c>
      <c r="B203" s="15" t="s">
        <v>435</v>
      </c>
      <c r="C203" t="s">
        <v>181</v>
      </c>
      <c r="D203" s="19" t="s">
        <v>469</v>
      </c>
      <c r="E203">
        <v>1</v>
      </c>
      <c r="F203" s="13">
        <v>76</v>
      </c>
      <c r="G203" s="11" t="s">
        <v>254</v>
      </c>
      <c r="H203" t="s">
        <v>219</v>
      </c>
      <c r="N203" s="31">
        <v>6</v>
      </c>
      <c r="O203" s="31">
        <v>1</v>
      </c>
      <c r="P203" s="34">
        <f t="shared" si="3"/>
        <v>0.5</v>
      </c>
    </row>
    <row r="204" spans="1:16" x14ac:dyDescent="0.25">
      <c r="A204">
        <v>201</v>
      </c>
      <c r="B204" s="15" t="s">
        <v>435</v>
      </c>
      <c r="C204" t="s">
        <v>181</v>
      </c>
      <c r="D204" s="19" t="s">
        <v>471</v>
      </c>
      <c r="E204">
        <v>0</v>
      </c>
      <c r="F204" s="13">
        <v>76</v>
      </c>
      <c r="G204" s="11" t="s">
        <v>169</v>
      </c>
      <c r="H204" t="s">
        <v>219</v>
      </c>
      <c r="N204" s="31">
        <v>6</v>
      </c>
      <c r="O204" s="31">
        <v>0</v>
      </c>
      <c r="P204" s="34">
        <f t="shared" si="3"/>
        <v>0</v>
      </c>
    </row>
    <row r="205" spans="1:16" x14ac:dyDescent="0.25">
      <c r="A205">
        <v>202</v>
      </c>
      <c r="B205" s="15" t="s">
        <v>435</v>
      </c>
      <c r="C205" t="s">
        <v>181</v>
      </c>
      <c r="D205" s="19" t="s">
        <v>472</v>
      </c>
      <c r="E205">
        <v>0</v>
      </c>
      <c r="F205" s="13">
        <v>76</v>
      </c>
      <c r="G205" s="11" t="s">
        <v>169</v>
      </c>
      <c r="H205" t="s">
        <v>219</v>
      </c>
      <c r="N205" s="31">
        <v>6</v>
      </c>
      <c r="O205" s="31">
        <v>0</v>
      </c>
      <c r="P205" s="34">
        <f t="shared" si="3"/>
        <v>0</v>
      </c>
    </row>
    <row r="206" spans="1:16" x14ac:dyDescent="0.25">
      <c r="A206">
        <v>203</v>
      </c>
      <c r="B206" s="15" t="s">
        <v>435</v>
      </c>
      <c r="C206" t="s">
        <v>181</v>
      </c>
      <c r="D206" s="19" t="s">
        <v>470</v>
      </c>
      <c r="E206">
        <v>1</v>
      </c>
      <c r="F206" s="13">
        <v>76</v>
      </c>
      <c r="G206" s="11" t="s">
        <v>254</v>
      </c>
      <c r="H206" t="s">
        <v>219</v>
      </c>
      <c r="N206" s="31">
        <v>6</v>
      </c>
      <c r="O206" s="31">
        <v>1</v>
      </c>
      <c r="P206" s="34">
        <f t="shared" si="3"/>
        <v>0.5</v>
      </c>
    </row>
    <row r="207" spans="1:16" x14ac:dyDescent="0.25">
      <c r="A207">
        <v>204</v>
      </c>
      <c r="B207" s="15" t="s">
        <v>435</v>
      </c>
      <c r="C207" t="s">
        <v>181</v>
      </c>
      <c r="D207" s="19" t="s">
        <v>473</v>
      </c>
      <c r="E207">
        <v>0</v>
      </c>
      <c r="F207" s="13">
        <v>76</v>
      </c>
      <c r="G207" s="11" t="s">
        <v>169</v>
      </c>
      <c r="H207" t="s">
        <v>219</v>
      </c>
      <c r="N207" s="31">
        <v>6</v>
      </c>
      <c r="O207" s="31">
        <v>0</v>
      </c>
      <c r="P207" s="34">
        <f t="shared" si="3"/>
        <v>0</v>
      </c>
    </row>
    <row r="208" spans="1:16" x14ac:dyDescent="0.25">
      <c r="A208">
        <v>205</v>
      </c>
      <c r="B208" s="15" t="s">
        <v>435</v>
      </c>
      <c r="C208" t="s">
        <v>181</v>
      </c>
      <c r="D208" s="19" t="s">
        <v>474</v>
      </c>
      <c r="E208">
        <v>0</v>
      </c>
      <c r="F208" s="13">
        <v>76</v>
      </c>
      <c r="G208" s="11" t="s">
        <v>169</v>
      </c>
      <c r="H208" t="s">
        <v>219</v>
      </c>
      <c r="N208" s="31">
        <v>6</v>
      </c>
      <c r="O208" s="31">
        <v>0</v>
      </c>
      <c r="P208" s="34">
        <f t="shared" si="3"/>
        <v>0</v>
      </c>
    </row>
    <row r="209" spans="1:16" x14ac:dyDescent="0.25">
      <c r="A209">
        <v>206</v>
      </c>
      <c r="B209" s="15" t="s">
        <v>435</v>
      </c>
      <c r="C209" t="s">
        <v>197</v>
      </c>
      <c r="D209" s="19" t="s">
        <v>362</v>
      </c>
      <c r="E209">
        <v>1</v>
      </c>
      <c r="F209" s="13" t="s">
        <v>569</v>
      </c>
      <c r="G209" s="11" t="s">
        <v>254</v>
      </c>
      <c r="H209" t="s">
        <v>219</v>
      </c>
      <c r="N209" s="31">
        <v>6</v>
      </c>
      <c r="O209" s="31">
        <v>2</v>
      </c>
      <c r="P209" s="34">
        <f t="shared" si="3"/>
        <v>1</v>
      </c>
    </row>
    <row r="210" spans="1:16" x14ac:dyDescent="0.25">
      <c r="A210">
        <v>207</v>
      </c>
      <c r="B210" s="15" t="s">
        <v>435</v>
      </c>
      <c r="C210" t="s">
        <v>197</v>
      </c>
      <c r="D210" s="19" t="s">
        <v>363</v>
      </c>
      <c r="E210">
        <v>1</v>
      </c>
      <c r="F210" s="13" t="s">
        <v>569</v>
      </c>
      <c r="G210" s="11" t="s">
        <v>254</v>
      </c>
      <c r="H210" t="s">
        <v>219</v>
      </c>
      <c r="N210" s="31">
        <v>6</v>
      </c>
      <c r="O210" s="31">
        <v>2</v>
      </c>
      <c r="P210" s="34">
        <f t="shared" si="3"/>
        <v>1</v>
      </c>
    </row>
    <row r="211" spans="1:16" x14ac:dyDescent="0.25">
      <c r="A211">
        <v>208</v>
      </c>
      <c r="B211" s="15" t="s">
        <v>435</v>
      </c>
      <c r="C211" t="s">
        <v>197</v>
      </c>
      <c r="D211" s="19" t="s">
        <v>475</v>
      </c>
      <c r="E211">
        <v>1</v>
      </c>
      <c r="F211" s="13" t="s">
        <v>569</v>
      </c>
      <c r="G211" s="11" t="s">
        <v>254</v>
      </c>
      <c r="H211" t="s">
        <v>219</v>
      </c>
      <c r="N211" s="31">
        <v>6</v>
      </c>
      <c r="O211" s="31">
        <v>2</v>
      </c>
      <c r="P211" s="34">
        <f t="shared" si="3"/>
        <v>1</v>
      </c>
    </row>
    <row r="212" spans="1:16" x14ac:dyDescent="0.25">
      <c r="A212">
        <v>209</v>
      </c>
      <c r="B212" s="15" t="s">
        <v>435</v>
      </c>
      <c r="C212" t="s">
        <v>197</v>
      </c>
      <c r="D212" s="19" t="s">
        <v>476</v>
      </c>
      <c r="E212">
        <v>1</v>
      </c>
      <c r="F212" s="13" t="s">
        <v>569</v>
      </c>
      <c r="G212" s="11" t="s">
        <v>46</v>
      </c>
      <c r="H212" t="s">
        <v>219</v>
      </c>
      <c r="N212" s="31">
        <v>6</v>
      </c>
      <c r="O212" s="31">
        <v>1</v>
      </c>
      <c r="P212" s="34">
        <f t="shared" si="3"/>
        <v>0.5</v>
      </c>
    </row>
    <row r="213" spans="1:16" x14ac:dyDescent="0.25">
      <c r="A213">
        <v>210</v>
      </c>
      <c r="B213" s="15" t="s">
        <v>435</v>
      </c>
      <c r="C213" t="s">
        <v>197</v>
      </c>
      <c r="D213" s="19" t="s">
        <v>477</v>
      </c>
      <c r="E213">
        <v>1</v>
      </c>
      <c r="F213" s="13" t="s">
        <v>569</v>
      </c>
      <c r="G213" s="11" t="s">
        <v>254</v>
      </c>
      <c r="H213" t="s">
        <v>219</v>
      </c>
      <c r="N213" s="31">
        <v>6</v>
      </c>
      <c r="O213" s="31">
        <v>1</v>
      </c>
      <c r="P213" s="34">
        <f t="shared" si="3"/>
        <v>0.5</v>
      </c>
    </row>
    <row r="214" spans="1:16" x14ac:dyDescent="0.25">
      <c r="A214">
        <v>211</v>
      </c>
      <c r="B214" s="15" t="s">
        <v>435</v>
      </c>
      <c r="C214" t="s">
        <v>197</v>
      </c>
      <c r="D214" s="19" t="s">
        <v>478</v>
      </c>
      <c r="E214">
        <v>1</v>
      </c>
      <c r="F214" s="13" t="s">
        <v>569</v>
      </c>
      <c r="G214" s="11" t="s">
        <v>46</v>
      </c>
      <c r="H214" t="s">
        <v>219</v>
      </c>
      <c r="N214" s="31">
        <v>6</v>
      </c>
      <c r="O214" s="31">
        <v>1</v>
      </c>
      <c r="P214" s="34">
        <f t="shared" si="3"/>
        <v>0.5</v>
      </c>
    </row>
    <row r="215" spans="1:16" x14ac:dyDescent="0.25">
      <c r="A215">
        <v>212</v>
      </c>
      <c r="B215" s="15" t="s">
        <v>435</v>
      </c>
      <c r="C215" t="s">
        <v>182</v>
      </c>
      <c r="D215" s="19" t="s">
        <v>175</v>
      </c>
      <c r="E215">
        <v>1</v>
      </c>
      <c r="F215" s="13" t="s">
        <v>721</v>
      </c>
      <c r="G215" s="11" t="s">
        <v>46</v>
      </c>
      <c r="H215" t="s">
        <v>219</v>
      </c>
      <c r="I215" t="s">
        <v>221</v>
      </c>
      <c r="L215" t="s">
        <v>346</v>
      </c>
      <c r="N215" s="31">
        <v>7</v>
      </c>
      <c r="O215" s="31">
        <v>1</v>
      </c>
      <c r="P215" s="34">
        <f t="shared" si="3"/>
        <v>0.5</v>
      </c>
    </row>
    <row r="216" spans="1:16" x14ac:dyDescent="0.25">
      <c r="A216">
        <v>213</v>
      </c>
      <c r="B216" s="15" t="s">
        <v>435</v>
      </c>
      <c r="C216" t="s">
        <v>182</v>
      </c>
      <c r="D216" s="19" t="s">
        <v>389</v>
      </c>
      <c r="E216">
        <v>1</v>
      </c>
      <c r="F216" s="13" t="s">
        <v>721</v>
      </c>
      <c r="G216" s="11" t="s">
        <v>46</v>
      </c>
      <c r="H216" t="s">
        <v>219</v>
      </c>
      <c r="I216" t="s">
        <v>221</v>
      </c>
      <c r="L216" t="s">
        <v>346</v>
      </c>
      <c r="N216" s="31">
        <v>7</v>
      </c>
      <c r="O216" s="31">
        <v>1</v>
      </c>
      <c r="P216" s="34">
        <f t="shared" si="3"/>
        <v>0.5</v>
      </c>
    </row>
    <row r="217" spans="1:16" x14ac:dyDescent="0.25">
      <c r="A217">
        <v>214</v>
      </c>
      <c r="B217" s="15" t="s">
        <v>435</v>
      </c>
      <c r="C217" t="s">
        <v>182</v>
      </c>
      <c r="D217" s="19" t="s">
        <v>479</v>
      </c>
      <c r="E217">
        <v>1</v>
      </c>
      <c r="F217" s="13" t="s">
        <v>721</v>
      </c>
      <c r="G217" s="11" t="s">
        <v>46</v>
      </c>
      <c r="H217" t="s">
        <v>219</v>
      </c>
      <c r="I217" t="s">
        <v>221</v>
      </c>
      <c r="L217" t="s">
        <v>346</v>
      </c>
      <c r="N217" s="31">
        <v>7</v>
      </c>
      <c r="O217" s="31">
        <v>1</v>
      </c>
      <c r="P217" s="34">
        <f t="shared" si="3"/>
        <v>0.5</v>
      </c>
    </row>
    <row r="218" spans="1:16" x14ac:dyDescent="0.25">
      <c r="A218">
        <v>215</v>
      </c>
      <c r="B218" s="15" t="s">
        <v>435</v>
      </c>
      <c r="C218" t="s">
        <v>182</v>
      </c>
      <c r="D218" s="19" t="s">
        <v>480</v>
      </c>
      <c r="E218">
        <v>1</v>
      </c>
      <c r="F218" s="13" t="s">
        <v>721</v>
      </c>
      <c r="G218" s="11" t="s">
        <v>46</v>
      </c>
      <c r="H218" t="s">
        <v>219</v>
      </c>
      <c r="I218" t="s">
        <v>221</v>
      </c>
      <c r="L218" t="s">
        <v>346</v>
      </c>
      <c r="N218" s="31">
        <v>7</v>
      </c>
      <c r="O218" s="31">
        <v>1</v>
      </c>
      <c r="P218" s="34">
        <f t="shared" si="3"/>
        <v>0.5</v>
      </c>
    </row>
    <row r="219" spans="1:16" x14ac:dyDescent="0.25">
      <c r="A219">
        <v>216</v>
      </c>
      <c r="B219" s="15" t="s">
        <v>435</v>
      </c>
      <c r="C219" t="s">
        <v>182</v>
      </c>
      <c r="D219" s="19" t="s">
        <v>481</v>
      </c>
      <c r="E219">
        <v>1</v>
      </c>
      <c r="F219" s="13" t="s">
        <v>721</v>
      </c>
      <c r="G219" s="11" t="s">
        <v>46</v>
      </c>
      <c r="H219" t="s">
        <v>219</v>
      </c>
      <c r="I219" t="s">
        <v>221</v>
      </c>
      <c r="L219" t="s">
        <v>346</v>
      </c>
      <c r="N219" s="31">
        <v>7</v>
      </c>
      <c r="O219" s="31">
        <v>1</v>
      </c>
      <c r="P219" s="34">
        <f t="shared" si="3"/>
        <v>0.5</v>
      </c>
    </row>
    <row r="220" spans="1:16" x14ac:dyDescent="0.25">
      <c r="A220">
        <v>217</v>
      </c>
      <c r="B220" s="15" t="s">
        <v>435</v>
      </c>
      <c r="C220" t="s">
        <v>182</v>
      </c>
      <c r="D220" s="19" t="s">
        <v>482</v>
      </c>
      <c r="E220">
        <v>1</v>
      </c>
      <c r="F220" s="13" t="s">
        <v>721</v>
      </c>
      <c r="G220" s="11" t="s">
        <v>254</v>
      </c>
      <c r="H220" t="s">
        <v>219</v>
      </c>
      <c r="I220" t="s">
        <v>221</v>
      </c>
      <c r="L220" t="s">
        <v>346</v>
      </c>
      <c r="N220" s="31">
        <v>7</v>
      </c>
      <c r="O220" s="31">
        <v>1</v>
      </c>
      <c r="P220" s="34">
        <f t="shared" si="3"/>
        <v>0.5</v>
      </c>
    </row>
    <row r="221" spans="1:16" x14ac:dyDescent="0.25">
      <c r="A221">
        <v>218</v>
      </c>
      <c r="B221" s="15" t="s">
        <v>435</v>
      </c>
      <c r="C221" t="s">
        <v>182</v>
      </c>
      <c r="D221" s="19" t="s">
        <v>483</v>
      </c>
      <c r="E221">
        <v>1</v>
      </c>
      <c r="F221" s="13" t="s">
        <v>721</v>
      </c>
      <c r="G221" s="11" t="s">
        <v>46</v>
      </c>
      <c r="H221" t="s">
        <v>219</v>
      </c>
      <c r="I221" t="s">
        <v>221</v>
      </c>
      <c r="L221" t="s">
        <v>346</v>
      </c>
      <c r="N221" s="31">
        <v>7</v>
      </c>
      <c r="O221" s="31">
        <v>1</v>
      </c>
      <c r="P221" s="34">
        <f t="shared" si="3"/>
        <v>0.5</v>
      </c>
    </row>
    <row r="222" spans="1:16" x14ac:dyDescent="0.25">
      <c r="A222">
        <v>219</v>
      </c>
      <c r="B222" s="15" t="s">
        <v>435</v>
      </c>
      <c r="C222" t="s">
        <v>182</v>
      </c>
      <c r="D222" s="19" t="s">
        <v>484</v>
      </c>
      <c r="E222">
        <v>1</v>
      </c>
      <c r="F222" s="13" t="s">
        <v>721</v>
      </c>
      <c r="G222" s="11" t="s">
        <v>254</v>
      </c>
      <c r="H222" t="s">
        <v>219</v>
      </c>
      <c r="I222" t="s">
        <v>221</v>
      </c>
      <c r="L222" t="s">
        <v>346</v>
      </c>
      <c r="N222" s="31">
        <v>7</v>
      </c>
      <c r="O222" s="31">
        <v>1</v>
      </c>
      <c r="P222" s="34">
        <f t="shared" si="3"/>
        <v>0.5</v>
      </c>
    </row>
    <row r="223" spans="1:16" x14ac:dyDescent="0.25">
      <c r="A223">
        <v>220</v>
      </c>
      <c r="B223" s="15" t="s">
        <v>435</v>
      </c>
      <c r="C223" t="s">
        <v>182</v>
      </c>
      <c r="D223" s="19" t="s">
        <v>485</v>
      </c>
      <c r="E223">
        <v>1</v>
      </c>
      <c r="F223" s="13" t="s">
        <v>721</v>
      </c>
      <c r="G223" s="11" t="s">
        <v>46</v>
      </c>
      <c r="H223" t="s">
        <v>219</v>
      </c>
      <c r="I223" t="s">
        <v>221</v>
      </c>
      <c r="L223" t="s">
        <v>346</v>
      </c>
      <c r="N223" s="31">
        <v>7</v>
      </c>
      <c r="O223" s="31">
        <v>1</v>
      </c>
      <c r="P223" s="34">
        <f t="shared" si="3"/>
        <v>0.5</v>
      </c>
    </row>
    <row r="224" spans="1:16" x14ac:dyDescent="0.25">
      <c r="A224">
        <v>221</v>
      </c>
      <c r="B224" s="15" t="s">
        <v>435</v>
      </c>
      <c r="C224" t="s">
        <v>182</v>
      </c>
      <c r="D224" s="19" t="s">
        <v>486</v>
      </c>
      <c r="E224">
        <v>1</v>
      </c>
      <c r="F224" s="13" t="s">
        <v>721</v>
      </c>
      <c r="G224" s="11" t="s">
        <v>46</v>
      </c>
      <c r="H224" t="s">
        <v>219</v>
      </c>
      <c r="I224" t="s">
        <v>221</v>
      </c>
      <c r="L224" t="s">
        <v>346</v>
      </c>
      <c r="N224" s="31">
        <v>7</v>
      </c>
      <c r="O224" s="31">
        <v>1</v>
      </c>
      <c r="P224" s="34">
        <f t="shared" si="3"/>
        <v>0.5</v>
      </c>
    </row>
    <row r="225" spans="1:16" x14ac:dyDescent="0.25">
      <c r="A225">
        <v>222</v>
      </c>
      <c r="B225" s="15" t="s">
        <v>435</v>
      </c>
      <c r="C225" t="s">
        <v>182</v>
      </c>
      <c r="D225" s="19" t="s">
        <v>487</v>
      </c>
      <c r="E225">
        <v>1</v>
      </c>
      <c r="F225" s="13" t="s">
        <v>721</v>
      </c>
      <c r="G225" s="11" t="s">
        <v>46</v>
      </c>
      <c r="H225" t="s">
        <v>219</v>
      </c>
      <c r="I225" t="s">
        <v>221</v>
      </c>
      <c r="L225" t="s">
        <v>346</v>
      </c>
      <c r="N225" s="31">
        <v>7</v>
      </c>
      <c r="O225" s="31">
        <v>1</v>
      </c>
      <c r="P225" s="34">
        <f t="shared" si="3"/>
        <v>0.5</v>
      </c>
    </row>
    <row r="226" spans="1:16" x14ac:dyDescent="0.25">
      <c r="A226">
        <v>223</v>
      </c>
      <c r="B226" s="15" t="s">
        <v>435</v>
      </c>
      <c r="C226" t="s">
        <v>182</v>
      </c>
      <c r="D226" s="19" t="s">
        <v>488</v>
      </c>
      <c r="E226">
        <v>1</v>
      </c>
      <c r="F226" s="13" t="s">
        <v>721</v>
      </c>
      <c r="G226" s="11" t="s">
        <v>259</v>
      </c>
      <c r="H226" t="s">
        <v>219</v>
      </c>
      <c r="I226" t="s">
        <v>221</v>
      </c>
      <c r="L226" t="s">
        <v>346</v>
      </c>
      <c r="N226" s="31">
        <v>7</v>
      </c>
      <c r="O226" s="31">
        <v>1</v>
      </c>
      <c r="P226" s="34">
        <f t="shared" si="3"/>
        <v>0.5</v>
      </c>
    </row>
    <row r="227" spans="1:16" x14ac:dyDescent="0.25">
      <c r="A227">
        <v>224</v>
      </c>
      <c r="B227" s="15" t="s">
        <v>435</v>
      </c>
      <c r="C227" t="s">
        <v>183</v>
      </c>
      <c r="D227" s="19" t="s">
        <v>489</v>
      </c>
      <c r="E227">
        <v>1</v>
      </c>
      <c r="F227" s="13" t="s">
        <v>721</v>
      </c>
      <c r="G227" s="11" t="s">
        <v>46</v>
      </c>
      <c r="H227" t="s">
        <v>219</v>
      </c>
      <c r="I227" t="s">
        <v>221</v>
      </c>
      <c r="L227" t="s">
        <v>346</v>
      </c>
      <c r="N227" s="31">
        <v>7</v>
      </c>
      <c r="O227" s="31">
        <v>1</v>
      </c>
      <c r="P227" s="34">
        <f t="shared" si="3"/>
        <v>0.5</v>
      </c>
    </row>
    <row r="228" spans="1:16" x14ac:dyDescent="0.25">
      <c r="A228">
        <v>225</v>
      </c>
      <c r="B228" s="15" t="s">
        <v>435</v>
      </c>
      <c r="C228" t="s">
        <v>183</v>
      </c>
      <c r="D228" s="19" t="s">
        <v>490</v>
      </c>
      <c r="E228">
        <v>1</v>
      </c>
      <c r="F228" s="13" t="s">
        <v>721</v>
      </c>
      <c r="G228" s="11" t="s">
        <v>46</v>
      </c>
      <c r="H228" t="s">
        <v>219</v>
      </c>
      <c r="I228" t="s">
        <v>221</v>
      </c>
      <c r="L228" t="s">
        <v>346</v>
      </c>
      <c r="N228" s="31">
        <v>7</v>
      </c>
      <c r="O228" s="31">
        <v>1</v>
      </c>
      <c r="P228" s="34">
        <f t="shared" si="3"/>
        <v>0.5</v>
      </c>
    </row>
    <row r="229" spans="1:16" x14ac:dyDescent="0.25">
      <c r="A229">
        <v>226</v>
      </c>
      <c r="B229" s="15" t="s">
        <v>435</v>
      </c>
      <c r="C229" t="s">
        <v>183</v>
      </c>
      <c r="D229" s="19" t="s">
        <v>491</v>
      </c>
      <c r="E229">
        <v>1</v>
      </c>
      <c r="F229" s="13" t="s">
        <v>721</v>
      </c>
      <c r="G229" s="11" t="s">
        <v>46</v>
      </c>
      <c r="H229" t="s">
        <v>219</v>
      </c>
      <c r="I229" t="s">
        <v>221</v>
      </c>
      <c r="L229" t="s">
        <v>346</v>
      </c>
      <c r="N229" s="31">
        <v>7</v>
      </c>
      <c r="O229" s="31">
        <v>1</v>
      </c>
      <c r="P229" s="34">
        <f t="shared" si="3"/>
        <v>0.5</v>
      </c>
    </row>
    <row r="230" spans="1:16" x14ac:dyDescent="0.25">
      <c r="A230">
        <v>227</v>
      </c>
      <c r="B230" s="15" t="s">
        <v>435</v>
      </c>
      <c r="C230" t="s">
        <v>183</v>
      </c>
      <c r="D230" s="19" t="s">
        <v>492</v>
      </c>
      <c r="E230">
        <v>1</v>
      </c>
      <c r="F230" s="13" t="s">
        <v>721</v>
      </c>
      <c r="G230" s="11" t="s">
        <v>46</v>
      </c>
      <c r="H230" t="s">
        <v>219</v>
      </c>
      <c r="I230" t="s">
        <v>221</v>
      </c>
      <c r="L230" t="s">
        <v>346</v>
      </c>
      <c r="N230" s="31">
        <v>7</v>
      </c>
      <c r="O230" s="31">
        <v>1</v>
      </c>
      <c r="P230" s="34">
        <f t="shared" si="3"/>
        <v>0.5</v>
      </c>
    </row>
    <row r="231" spans="1:16" x14ac:dyDescent="0.25">
      <c r="A231">
        <v>228</v>
      </c>
      <c r="B231" s="15" t="s">
        <v>435</v>
      </c>
      <c r="C231" t="s">
        <v>183</v>
      </c>
      <c r="D231" s="19" t="s">
        <v>493</v>
      </c>
      <c r="E231">
        <v>1</v>
      </c>
      <c r="F231" s="13" t="s">
        <v>721</v>
      </c>
      <c r="G231" s="11" t="s">
        <v>46</v>
      </c>
      <c r="H231" t="s">
        <v>219</v>
      </c>
      <c r="I231" t="s">
        <v>221</v>
      </c>
      <c r="L231" t="s">
        <v>346</v>
      </c>
      <c r="N231" s="31">
        <v>7</v>
      </c>
      <c r="O231" s="31">
        <v>1</v>
      </c>
      <c r="P231" s="34">
        <f t="shared" si="3"/>
        <v>0.5</v>
      </c>
    </row>
    <row r="232" spans="1:16" x14ac:dyDescent="0.25">
      <c r="A232">
        <v>229</v>
      </c>
      <c r="B232" s="15" t="s">
        <v>494</v>
      </c>
      <c r="C232" t="s">
        <v>212</v>
      </c>
      <c r="D232" s="19" t="s">
        <v>495</v>
      </c>
      <c r="E232">
        <v>1</v>
      </c>
      <c r="F232" s="13">
        <v>80</v>
      </c>
      <c r="G232" s="11" t="s">
        <v>254</v>
      </c>
      <c r="H232" t="s">
        <v>218</v>
      </c>
      <c r="K232" t="s">
        <v>498</v>
      </c>
      <c r="O232" s="31">
        <v>1</v>
      </c>
      <c r="P232" s="34">
        <f t="shared" si="3"/>
        <v>0.5</v>
      </c>
    </row>
    <row r="233" spans="1:16" x14ac:dyDescent="0.25">
      <c r="A233">
        <v>230</v>
      </c>
      <c r="B233" s="15" t="s">
        <v>494</v>
      </c>
      <c r="C233" t="s">
        <v>212</v>
      </c>
      <c r="D233" s="19" t="s">
        <v>496</v>
      </c>
      <c r="E233">
        <v>1</v>
      </c>
      <c r="F233" s="13">
        <v>80</v>
      </c>
      <c r="G233" s="11" t="s">
        <v>254</v>
      </c>
      <c r="H233" t="s">
        <v>218</v>
      </c>
      <c r="O233" s="31">
        <v>1</v>
      </c>
      <c r="P233" s="34">
        <f t="shared" si="3"/>
        <v>0.5</v>
      </c>
    </row>
    <row r="234" spans="1:16" x14ac:dyDescent="0.25">
      <c r="A234">
        <v>231</v>
      </c>
      <c r="B234" s="15" t="s">
        <v>494</v>
      </c>
      <c r="C234" t="s">
        <v>212</v>
      </c>
      <c r="D234" s="19" t="s">
        <v>353</v>
      </c>
      <c r="E234">
        <v>1</v>
      </c>
      <c r="F234" s="13">
        <v>80</v>
      </c>
      <c r="G234" s="11" t="s">
        <v>254</v>
      </c>
      <c r="H234" t="s">
        <v>218</v>
      </c>
      <c r="O234" s="31">
        <v>1</v>
      </c>
      <c r="P234" s="34">
        <f t="shared" si="3"/>
        <v>0.5</v>
      </c>
    </row>
    <row r="235" spans="1:16" x14ac:dyDescent="0.25">
      <c r="A235">
        <v>232</v>
      </c>
      <c r="B235" s="15" t="s">
        <v>494</v>
      </c>
      <c r="C235" t="s">
        <v>212</v>
      </c>
      <c r="D235" s="19" t="s">
        <v>497</v>
      </c>
      <c r="E235">
        <v>1</v>
      </c>
      <c r="F235" s="13">
        <v>80</v>
      </c>
      <c r="G235" s="11" t="s">
        <v>259</v>
      </c>
      <c r="H235" t="s">
        <v>218</v>
      </c>
      <c r="O235" s="31">
        <v>1</v>
      </c>
      <c r="P235" s="34">
        <f t="shared" si="3"/>
        <v>0.5</v>
      </c>
    </row>
    <row r="236" spans="1:16" x14ac:dyDescent="0.25">
      <c r="A236">
        <v>233</v>
      </c>
      <c r="B236" s="15" t="s">
        <v>494</v>
      </c>
      <c r="C236" t="s">
        <v>212</v>
      </c>
      <c r="D236" s="19" t="s">
        <v>445</v>
      </c>
      <c r="E236">
        <v>0</v>
      </c>
      <c r="F236" s="13">
        <v>80</v>
      </c>
      <c r="G236" s="11" t="s">
        <v>169</v>
      </c>
      <c r="H236" t="s">
        <v>218</v>
      </c>
      <c r="O236" s="31">
        <v>0</v>
      </c>
      <c r="P236" s="34">
        <f t="shared" si="3"/>
        <v>0</v>
      </c>
    </row>
    <row r="237" spans="1:16" x14ac:dyDescent="0.25">
      <c r="A237">
        <v>234</v>
      </c>
      <c r="B237" s="15" t="s">
        <v>494</v>
      </c>
      <c r="C237" t="s">
        <v>212</v>
      </c>
      <c r="D237" s="19" t="s">
        <v>499</v>
      </c>
      <c r="E237">
        <v>0</v>
      </c>
      <c r="F237" s="13">
        <v>80</v>
      </c>
      <c r="G237" s="11" t="s">
        <v>169</v>
      </c>
      <c r="H237" t="s">
        <v>218</v>
      </c>
      <c r="O237" s="31">
        <v>0</v>
      </c>
      <c r="P237" s="34">
        <f t="shared" si="3"/>
        <v>0</v>
      </c>
    </row>
    <row r="238" spans="1:16" x14ac:dyDescent="0.25">
      <c r="A238">
        <v>235</v>
      </c>
      <c r="B238" s="15" t="s">
        <v>494</v>
      </c>
      <c r="C238" t="s">
        <v>212</v>
      </c>
      <c r="D238" s="19" t="s">
        <v>500</v>
      </c>
      <c r="E238">
        <v>0</v>
      </c>
      <c r="F238" s="13">
        <v>80</v>
      </c>
      <c r="G238" s="11" t="s">
        <v>169</v>
      </c>
      <c r="H238" t="s">
        <v>218</v>
      </c>
      <c r="O238" s="31">
        <v>0</v>
      </c>
      <c r="P238" s="34">
        <f t="shared" si="3"/>
        <v>0</v>
      </c>
    </row>
    <row r="239" spans="1:16" x14ac:dyDescent="0.25">
      <c r="A239">
        <v>236</v>
      </c>
      <c r="B239" s="15" t="s">
        <v>494</v>
      </c>
      <c r="C239" t="s">
        <v>212</v>
      </c>
      <c r="D239" s="19" t="s">
        <v>501</v>
      </c>
      <c r="E239">
        <v>0</v>
      </c>
      <c r="F239" s="13">
        <v>80</v>
      </c>
      <c r="G239" s="11" t="s">
        <v>169</v>
      </c>
      <c r="H239" t="s">
        <v>218</v>
      </c>
      <c r="O239" s="31">
        <v>0</v>
      </c>
      <c r="P239" s="34">
        <f t="shared" si="3"/>
        <v>0</v>
      </c>
    </row>
    <row r="240" spans="1:16" x14ac:dyDescent="0.25">
      <c r="A240">
        <v>237</v>
      </c>
      <c r="B240" s="15" t="s">
        <v>494</v>
      </c>
      <c r="C240" t="s">
        <v>212</v>
      </c>
      <c r="D240" s="19" t="s">
        <v>502</v>
      </c>
      <c r="E240">
        <v>0</v>
      </c>
      <c r="F240" s="13">
        <v>80</v>
      </c>
      <c r="G240" s="11" t="s">
        <v>169</v>
      </c>
      <c r="H240" t="s">
        <v>218</v>
      </c>
      <c r="O240" s="31">
        <v>0</v>
      </c>
      <c r="P240" s="34">
        <f t="shared" si="3"/>
        <v>0</v>
      </c>
    </row>
    <row r="241" spans="1:16" x14ac:dyDescent="0.25">
      <c r="A241">
        <v>238</v>
      </c>
      <c r="B241" s="15" t="s">
        <v>494</v>
      </c>
      <c r="C241" t="s">
        <v>212</v>
      </c>
      <c r="D241" s="19" t="s">
        <v>503</v>
      </c>
      <c r="E241">
        <v>1</v>
      </c>
      <c r="F241" s="13">
        <v>80</v>
      </c>
      <c r="G241" s="11" t="s">
        <v>254</v>
      </c>
      <c r="H241" t="s">
        <v>218</v>
      </c>
      <c r="O241" s="31">
        <v>1</v>
      </c>
      <c r="P241" s="34">
        <f t="shared" si="3"/>
        <v>0.5</v>
      </c>
    </row>
    <row r="242" spans="1:16" x14ac:dyDescent="0.25">
      <c r="A242">
        <v>239</v>
      </c>
      <c r="B242" s="15" t="s">
        <v>494</v>
      </c>
      <c r="C242" t="s">
        <v>212</v>
      </c>
      <c r="D242" s="19" t="s">
        <v>442</v>
      </c>
      <c r="E242">
        <v>0</v>
      </c>
      <c r="F242" s="13">
        <v>80</v>
      </c>
      <c r="G242" s="11" t="s">
        <v>169</v>
      </c>
      <c r="H242" t="s">
        <v>218</v>
      </c>
      <c r="O242" s="31">
        <v>0</v>
      </c>
      <c r="P242" s="34">
        <f t="shared" si="3"/>
        <v>0</v>
      </c>
    </row>
    <row r="243" spans="1:16" x14ac:dyDescent="0.25">
      <c r="A243">
        <v>240</v>
      </c>
      <c r="B243" s="15" t="s">
        <v>494</v>
      </c>
      <c r="C243" t="s">
        <v>212</v>
      </c>
      <c r="D243" s="19" t="s">
        <v>447</v>
      </c>
      <c r="E243">
        <v>0</v>
      </c>
      <c r="F243" s="13">
        <v>80</v>
      </c>
      <c r="G243" s="11" t="s">
        <v>169</v>
      </c>
      <c r="H243" t="s">
        <v>218</v>
      </c>
      <c r="O243" s="31">
        <v>0</v>
      </c>
      <c r="P243" s="34">
        <f t="shared" si="3"/>
        <v>0</v>
      </c>
    </row>
    <row r="244" spans="1:16" x14ac:dyDescent="0.25">
      <c r="A244">
        <v>241</v>
      </c>
      <c r="B244" s="15" t="s">
        <v>494</v>
      </c>
      <c r="C244" t="s">
        <v>197</v>
      </c>
      <c r="D244" s="19" t="s">
        <v>504</v>
      </c>
      <c r="E244">
        <v>1</v>
      </c>
      <c r="F244" s="13">
        <v>81</v>
      </c>
      <c r="G244" s="11" t="s">
        <v>46</v>
      </c>
      <c r="H244" t="s">
        <v>218</v>
      </c>
      <c r="O244" s="31">
        <v>1</v>
      </c>
      <c r="P244" s="34">
        <f t="shared" si="3"/>
        <v>0.5</v>
      </c>
    </row>
    <row r="245" spans="1:16" x14ac:dyDescent="0.25">
      <c r="A245">
        <v>242</v>
      </c>
      <c r="B245" s="15" t="s">
        <v>494</v>
      </c>
      <c r="C245" t="s">
        <v>198</v>
      </c>
      <c r="D245" s="19" t="s">
        <v>505</v>
      </c>
      <c r="E245">
        <v>1</v>
      </c>
      <c r="F245" s="13">
        <v>81</v>
      </c>
      <c r="G245" s="11" t="s">
        <v>259</v>
      </c>
      <c r="H245" t="s">
        <v>218</v>
      </c>
      <c r="O245" s="31">
        <v>1</v>
      </c>
      <c r="P245" s="34">
        <f t="shared" si="3"/>
        <v>0.5</v>
      </c>
    </row>
    <row r="246" spans="1:16" x14ac:dyDescent="0.25">
      <c r="A246">
        <v>243</v>
      </c>
      <c r="B246" s="15" t="s">
        <v>494</v>
      </c>
      <c r="C246" t="s">
        <v>198</v>
      </c>
      <c r="D246" s="19" t="s">
        <v>358</v>
      </c>
      <c r="E246">
        <v>1</v>
      </c>
      <c r="F246" s="13">
        <v>81</v>
      </c>
      <c r="G246" s="11" t="s">
        <v>254</v>
      </c>
      <c r="H246" t="s">
        <v>218</v>
      </c>
      <c r="L246" t="s">
        <v>346</v>
      </c>
      <c r="O246" s="31">
        <v>2</v>
      </c>
      <c r="P246" s="34">
        <f t="shared" si="3"/>
        <v>1</v>
      </c>
    </row>
    <row r="247" spans="1:16" x14ac:dyDescent="0.25">
      <c r="A247">
        <v>244</v>
      </c>
      <c r="B247" s="15" t="s">
        <v>494</v>
      </c>
      <c r="C247" t="s">
        <v>198</v>
      </c>
      <c r="D247" s="19" t="s">
        <v>359</v>
      </c>
      <c r="E247">
        <v>0</v>
      </c>
      <c r="F247" s="13">
        <v>81</v>
      </c>
      <c r="G247" s="11" t="s">
        <v>169</v>
      </c>
      <c r="H247" t="s">
        <v>218</v>
      </c>
      <c r="L247" t="s">
        <v>346</v>
      </c>
      <c r="O247" s="31">
        <v>0</v>
      </c>
      <c r="P247" s="34">
        <f t="shared" ref="P247:P310" si="4">IF(ISNUMBER(O247),HLOOKUP(O247,$O$1:$S$2,2,FALSE)*E247,"")</f>
        <v>0</v>
      </c>
    </row>
    <row r="248" spans="1:16" x14ac:dyDescent="0.25">
      <c r="A248">
        <v>245</v>
      </c>
      <c r="B248" s="15" t="s">
        <v>494</v>
      </c>
      <c r="C248" t="s">
        <v>198</v>
      </c>
      <c r="D248" s="19" t="s">
        <v>360</v>
      </c>
      <c r="E248">
        <v>1</v>
      </c>
      <c r="F248" s="13">
        <v>81</v>
      </c>
      <c r="G248" s="11" t="s">
        <v>405</v>
      </c>
      <c r="H248" t="s">
        <v>218</v>
      </c>
      <c r="L248" t="s">
        <v>346</v>
      </c>
      <c r="O248" s="31">
        <v>1</v>
      </c>
      <c r="P248" s="34">
        <f t="shared" si="4"/>
        <v>0.5</v>
      </c>
    </row>
    <row r="249" spans="1:16" ht="30" x14ac:dyDescent="0.25">
      <c r="A249">
        <v>246</v>
      </c>
      <c r="B249" s="15" t="s">
        <v>494</v>
      </c>
      <c r="C249" t="s">
        <v>198</v>
      </c>
      <c r="D249" s="19" t="s">
        <v>361</v>
      </c>
      <c r="E249">
        <v>1</v>
      </c>
      <c r="F249" s="13">
        <v>81</v>
      </c>
      <c r="G249" s="11" t="s">
        <v>406</v>
      </c>
      <c r="H249" t="s">
        <v>218</v>
      </c>
      <c r="L249" t="s">
        <v>346</v>
      </c>
      <c r="O249" s="31">
        <v>1</v>
      </c>
      <c r="P249" s="34">
        <f t="shared" si="4"/>
        <v>0.5</v>
      </c>
    </row>
    <row r="250" spans="1:16" x14ac:dyDescent="0.25">
      <c r="A250">
        <v>247</v>
      </c>
      <c r="B250" s="15" t="s">
        <v>494</v>
      </c>
      <c r="C250" t="s">
        <v>198</v>
      </c>
      <c r="D250" s="19" t="s">
        <v>506</v>
      </c>
      <c r="E250">
        <v>1</v>
      </c>
      <c r="F250" s="13">
        <v>82</v>
      </c>
      <c r="G250" s="11" t="s">
        <v>254</v>
      </c>
      <c r="H250" t="s">
        <v>218</v>
      </c>
      <c r="K250" t="s">
        <v>507</v>
      </c>
      <c r="O250" s="31">
        <v>2</v>
      </c>
      <c r="P250" s="34">
        <f t="shared" si="4"/>
        <v>1</v>
      </c>
    </row>
    <row r="251" spans="1:16" x14ac:dyDescent="0.25">
      <c r="A251">
        <v>248</v>
      </c>
      <c r="B251" s="15" t="s">
        <v>494</v>
      </c>
      <c r="C251" t="s">
        <v>198</v>
      </c>
      <c r="D251" s="19" t="s">
        <v>505</v>
      </c>
      <c r="E251">
        <v>1</v>
      </c>
      <c r="F251" s="13">
        <v>82</v>
      </c>
      <c r="G251" s="11" t="s">
        <v>254</v>
      </c>
      <c r="H251" t="s">
        <v>218</v>
      </c>
      <c r="K251" t="s">
        <v>507</v>
      </c>
      <c r="O251" s="31">
        <v>2</v>
      </c>
      <c r="P251" s="34">
        <f t="shared" si="4"/>
        <v>1</v>
      </c>
    </row>
    <row r="252" spans="1:16" x14ac:dyDescent="0.25">
      <c r="A252">
        <v>249</v>
      </c>
      <c r="B252" s="15" t="s">
        <v>509</v>
      </c>
      <c r="C252" t="s">
        <v>185</v>
      </c>
      <c r="D252" s="19" t="s">
        <v>508</v>
      </c>
      <c r="E252">
        <v>1</v>
      </c>
      <c r="F252" s="13">
        <v>84</v>
      </c>
      <c r="G252" s="11" t="s">
        <v>254</v>
      </c>
      <c r="H252" t="s">
        <v>184</v>
      </c>
      <c r="O252" s="31">
        <v>1</v>
      </c>
      <c r="P252" s="34">
        <f t="shared" si="4"/>
        <v>0.5</v>
      </c>
    </row>
    <row r="253" spans="1:16" x14ac:dyDescent="0.25">
      <c r="A253">
        <v>250</v>
      </c>
      <c r="B253" s="15" t="s">
        <v>510</v>
      </c>
      <c r="C253" t="s">
        <v>178</v>
      </c>
      <c r="D253" s="19" t="s">
        <v>511</v>
      </c>
      <c r="E253">
        <v>0</v>
      </c>
      <c r="F253" s="13">
        <v>86</v>
      </c>
      <c r="G253" s="11" t="s">
        <v>400</v>
      </c>
      <c r="H253" t="s">
        <v>235</v>
      </c>
      <c r="O253" s="31">
        <v>0</v>
      </c>
      <c r="P253" s="34">
        <f t="shared" si="4"/>
        <v>0</v>
      </c>
    </row>
    <row r="254" spans="1:16" x14ac:dyDescent="0.25">
      <c r="A254">
        <v>251</v>
      </c>
      <c r="B254" s="15" t="s">
        <v>461</v>
      </c>
      <c r="C254" t="s">
        <v>179</v>
      </c>
      <c r="D254" s="19" t="s">
        <v>460</v>
      </c>
      <c r="E254">
        <v>1</v>
      </c>
      <c r="F254" s="13">
        <v>88</v>
      </c>
      <c r="G254" s="11" t="s">
        <v>46</v>
      </c>
      <c r="H254" t="s">
        <v>191</v>
      </c>
      <c r="O254" s="31">
        <v>1</v>
      </c>
      <c r="P254" s="34">
        <f t="shared" si="4"/>
        <v>0.5</v>
      </c>
    </row>
    <row r="255" spans="1:16" x14ac:dyDescent="0.25">
      <c r="A255">
        <v>252</v>
      </c>
      <c r="B255" s="15" t="s">
        <v>461</v>
      </c>
      <c r="C255" t="s">
        <v>179</v>
      </c>
      <c r="D255" s="19" t="s">
        <v>455</v>
      </c>
      <c r="E255">
        <v>1</v>
      </c>
      <c r="F255" s="13" t="s">
        <v>227</v>
      </c>
      <c r="G255" s="11" t="s">
        <v>46</v>
      </c>
      <c r="H255" t="s">
        <v>191</v>
      </c>
      <c r="O255" s="31">
        <v>1</v>
      </c>
      <c r="P255" s="34">
        <f t="shared" si="4"/>
        <v>0.5</v>
      </c>
    </row>
    <row r="256" spans="1:16" x14ac:dyDescent="0.25">
      <c r="A256">
        <v>253</v>
      </c>
      <c r="B256" s="15" t="s">
        <v>461</v>
      </c>
      <c r="C256" t="s">
        <v>192</v>
      </c>
      <c r="D256" s="19" t="s">
        <v>512</v>
      </c>
      <c r="E256">
        <v>1</v>
      </c>
      <c r="F256" s="13">
        <v>89</v>
      </c>
      <c r="G256" s="11" t="s">
        <v>259</v>
      </c>
      <c r="H256" t="s">
        <v>191</v>
      </c>
      <c r="O256" s="31">
        <v>1</v>
      </c>
      <c r="P256" s="34">
        <f t="shared" si="4"/>
        <v>0.5</v>
      </c>
    </row>
    <row r="257" spans="1:16" x14ac:dyDescent="0.25">
      <c r="A257">
        <v>254</v>
      </c>
      <c r="B257" s="15" t="s">
        <v>461</v>
      </c>
      <c r="C257" t="s">
        <v>192</v>
      </c>
      <c r="D257" s="19" t="s">
        <v>513</v>
      </c>
      <c r="E257">
        <v>1</v>
      </c>
      <c r="F257" s="13">
        <v>89</v>
      </c>
      <c r="G257" s="11" t="s">
        <v>254</v>
      </c>
      <c r="H257" t="s">
        <v>191</v>
      </c>
      <c r="O257" s="31">
        <v>1</v>
      </c>
      <c r="P257" s="34">
        <f t="shared" si="4"/>
        <v>0.5</v>
      </c>
    </row>
    <row r="258" spans="1:16" x14ac:dyDescent="0.25">
      <c r="A258">
        <v>255</v>
      </c>
      <c r="B258" s="15" t="s">
        <v>461</v>
      </c>
      <c r="C258" t="s">
        <v>192</v>
      </c>
      <c r="D258" s="19" t="s">
        <v>514</v>
      </c>
      <c r="E258">
        <v>1</v>
      </c>
      <c r="F258" s="13">
        <v>89</v>
      </c>
      <c r="G258" s="11" t="s">
        <v>259</v>
      </c>
      <c r="H258" t="s">
        <v>191</v>
      </c>
      <c r="O258" s="31">
        <v>1</v>
      </c>
      <c r="P258" s="34">
        <f t="shared" si="4"/>
        <v>0.5</v>
      </c>
    </row>
    <row r="259" spans="1:16" x14ac:dyDescent="0.25">
      <c r="A259">
        <v>256</v>
      </c>
      <c r="B259" s="15" t="s">
        <v>515</v>
      </c>
      <c r="C259" t="s">
        <v>187</v>
      </c>
      <c r="D259" s="19" t="s">
        <v>516</v>
      </c>
      <c r="E259">
        <v>1</v>
      </c>
      <c r="F259" s="13">
        <v>94</v>
      </c>
      <c r="G259" s="11" t="s">
        <v>46</v>
      </c>
      <c r="H259" t="s">
        <v>186</v>
      </c>
      <c r="O259" s="31">
        <v>1</v>
      </c>
      <c r="P259" s="34">
        <f t="shared" si="4"/>
        <v>0.5</v>
      </c>
    </row>
    <row r="260" spans="1:16" x14ac:dyDescent="0.25">
      <c r="A260">
        <v>257</v>
      </c>
      <c r="B260" s="15" t="s">
        <v>515</v>
      </c>
      <c r="C260" t="s">
        <v>187</v>
      </c>
      <c r="D260" s="19" t="s">
        <v>517</v>
      </c>
      <c r="E260">
        <v>1</v>
      </c>
      <c r="F260" s="13">
        <v>94</v>
      </c>
      <c r="G260" s="11" t="s">
        <v>527</v>
      </c>
      <c r="H260" t="s">
        <v>186</v>
      </c>
      <c r="O260" s="31">
        <v>1</v>
      </c>
      <c r="P260" s="34">
        <f t="shared" si="4"/>
        <v>0.5</v>
      </c>
    </row>
    <row r="261" spans="1:16" x14ac:dyDescent="0.25">
      <c r="A261">
        <v>258</v>
      </c>
      <c r="B261" s="15" t="s">
        <v>515</v>
      </c>
      <c r="C261" t="s">
        <v>187</v>
      </c>
      <c r="D261" s="19" t="s">
        <v>518</v>
      </c>
      <c r="E261">
        <v>1</v>
      </c>
      <c r="F261" s="13">
        <v>94</v>
      </c>
      <c r="G261" s="11" t="s">
        <v>46</v>
      </c>
      <c r="H261" t="s">
        <v>186</v>
      </c>
      <c r="K261" t="s">
        <v>528</v>
      </c>
      <c r="O261" s="31">
        <v>1</v>
      </c>
      <c r="P261" s="34">
        <f t="shared" si="4"/>
        <v>0.5</v>
      </c>
    </row>
    <row r="262" spans="1:16" x14ac:dyDescent="0.25">
      <c r="A262">
        <v>259</v>
      </c>
      <c r="B262" s="15" t="s">
        <v>515</v>
      </c>
      <c r="C262" t="s">
        <v>187</v>
      </c>
      <c r="D262" s="19" t="s">
        <v>519</v>
      </c>
      <c r="E262">
        <v>0</v>
      </c>
      <c r="F262" s="13">
        <v>94</v>
      </c>
      <c r="G262" s="11" t="s">
        <v>169</v>
      </c>
      <c r="H262" t="s">
        <v>186</v>
      </c>
      <c r="K262" t="s">
        <v>528</v>
      </c>
      <c r="O262" s="31">
        <v>1</v>
      </c>
      <c r="P262" s="34">
        <f t="shared" si="4"/>
        <v>0</v>
      </c>
    </row>
    <row r="263" spans="1:16" x14ac:dyDescent="0.25">
      <c r="A263">
        <v>260</v>
      </c>
      <c r="B263" s="15" t="s">
        <v>515</v>
      </c>
      <c r="C263" t="s">
        <v>187</v>
      </c>
      <c r="D263" s="19" t="s">
        <v>520</v>
      </c>
      <c r="E263">
        <v>1</v>
      </c>
      <c r="F263" s="13">
        <v>94</v>
      </c>
      <c r="G263" s="11" t="s">
        <v>46</v>
      </c>
      <c r="H263" t="s">
        <v>186</v>
      </c>
      <c r="K263" t="s">
        <v>528</v>
      </c>
      <c r="O263" s="31">
        <v>1</v>
      </c>
      <c r="P263" s="34">
        <f t="shared" si="4"/>
        <v>0.5</v>
      </c>
    </row>
    <row r="264" spans="1:16" x14ac:dyDescent="0.25">
      <c r="A264">
        <v>261</v>
      </c>
      <c r="B264" s="15" t="s">
        <v>515</v>
      </c>
      <c r="C264" t="s">
        <v>187</v>
      </c>
      <c r="D264" s="19" t="s">
        <v>521</v>
      </c>
      <c r="E264">
        <v>0</v>
      </c>
      <c r="F264" s="13">
        <v>94</v>
      </c>
      <c r="G264" s="11" t="s">
        <v>169</v>
      </c>
      <c r="H264" t="s">
        <v>186</v>
      </c>
      <c r="K264" t="s">
        <v>528</v>
      </c>
      <c r="O264" s="31">
        <v>1</v>
      </c>
      <c r="P264" s="34">
        <f t="shared" si="4"/>
        <v>0</v>
      </c>
    </row>
    <row r="265" spans="1:16" x14ac:dyDescent="0.25">
      <c r="A265">
        <v>262</v>
      </c>
      <c r="B265" s="15" t="s">
        <v>515</v>
      </c>
      <c r="C265" t="s">
        <v>187</v>
      </c>
      <c r="D265" s="19" t="s">
        <v>522</v>
      </c>
      <c r="E265">
        <v>1</v>
      </c>
      <c r="F265" s="13">
        <v>94</v>
      </c>
      <c r="G265" s="11" t="s">
        <v>46</v>
      </c>
      <c r="H265" t="s">
        <v>186</v>
      </c>
      <c r="K265" t="s">
        <v>528</v>
      </c>
      <c r="O265" s="31">
        <v>1</v>
      </c>
      <c r="P265" s="34">
        <f t="shared" si="4"/>
        <v>0.5</v>
      </c>
    </row>
    <row r="266" spans="1:16" x14ac:dyDescent="0.25">
      <c r="A266">
        <v>263</v>
      </c>
      <c r="B266" s="15" t="s">
        <v>515</v>
      </c>
      <c r="C266" t="s">
        <v>187</v>
      </c>
      <c r="D266" s="19" t="s">
        <v>523</v>
      </c>
      <c r="E266">
        <v>1</v>
      </c>
      <c r="F266" s="13">
        <v>94</v>
      </c>
      <c r="G266" s="11" t="s">
        <v>46</v>
      </c>
      <c r="H266" t="s">
        <v>186</v>
      </c>
      <c r="K266" t="s">
        <v>529</v>
      </c>
      <c r="O266" s="31">
        <v>1</v>
      </c>
      <c r="P266" s="34">
        <f t="shared" si="4"/>
        <v>0.5</v>
      </c>
    </row>
    <row r="267" spans="1:16" x14ac:dyDescent="0.25">
      <c r="A267">
        <v>264</v>
      </c>
      <c r="B267" s="15" t="s">
        <v>515</v>
      </c>
      <c r="C267" t="s">
        <v>187</v>
      </c>
      <c r="D267" s="19" t="s">
        <v>524</v>
      </c>
      <c r="E267">
        <v>0</v>
      </c>
      <c r="F267" s="13">
        <v>94</v>
      </c>
      <c r="G267" s="11" t="s">
        <v>169</v>
      </c>
      <c r="H267" t="s">
        <v>186</v>
      </c>
      <c r="K267" t="s">
        <v>529</v>
      </c>
      <c r="O267" s="31">
        <v>1</v>
      </c>
      <c r="P267" s="34">
        <f t="shared" si="4"/>
        <v>0</v>
      </c>
    </row>
    <row r="268" spans="1:16" x14ac:dyDescent="0.25">
      <c r="A268">
        <v>265</v>
      </c>
      <c r="B268" s="15" t="s">
        <v>515</v>
      </c>
      <c r="C268" t="s">
        <v>187</v>
      </c>
      <c r="D268" s="19" t="s">
        <v>525</v>
      </c>
      <c r="E268">
        <v>1</v>
      </c>
      <c r="F268" s="13">
        <v>94</v>
      </c>
      <c r="G268" s="11" t="s">
        <v>46</v>
      </c>
      <c r="H268" t="s">
        <v>186</v>
      </c>
      <c r="K268" t="s">
        <v>529</v>
      </c>
      <c r="O268" s="31">
        <v>1</v>
      </c>
      <c r="P268" s="34">
        <f t="shared" si="4"/>
        <v>0.5</v>
      </c>
    </row>
    <row r="269" spans="1:16" x14ac:dyDescent="0.25">
      <c r="A269">
        <v>266</v>
      </c>
      <c r="B269" s="15" t="s">
        <v>515</v>
      </c>
      <c r="C269" t="s">
        <v>187</v>
      </c>
      <c r="D269" s="19" t="s">
        <v>526</v>
      </c>
      <c r="E269">
        <v>1</v>
      </c>
      <c r="F269" s="13">
        <v>94</v>
      </c>
      <c r="G269" s="11" t="s">
        <v>254</v>
      </c>
      <c r="H269" t="s">
        <v>186</v>
      </c>
      <c r="K269" t="s">
        <v>529</v>
      </c>
      <c r="O269" s="31">
        <v>1</v>
      </c>
      <c r="P269" s="34">
        <f t="shared" si="4"/>
        <v>0.5</v>
      </c>
    </row>
    <row r="270" spans="1:16" x14ac:dyDescent="0.25">
      <c r="A270">
        <v>267</v>
      </c>
      <c r="B270" s="15" t="s">
        <v>515</v>
      </c>
      <c r="C270" t="s">
        <v>187</v>
      </c>
      <c r="D270" s="19" t="s">
        <v>522</v>
      </c>
      <c r="E270">
        <v>1</v>
      </c>
      <c r="F270" s="13">
        <v>94</v>
      </c>
      <c r="G270" s="11" t="s">
        <v>46</v>
      </c>
      <c r="H270" t="s">
        <v>186</v>
      </c>
      <c r="K270" t="s">
        <v>529</v>
      </c>
      <c r="O270" s="31">
        <v>1</v>
      </c>
      <c r="P270" s="34">
        <f t="shared" si="4"/>
        <v>0.5</v>
      </c>
    </row>
    <row r="271" spans="1:16" x14ac:dyDescent="0.25">
      <c r="A271">
        <v>268</v>
      </c>
      <c r="B271" s="15" t="s">
        <v>515</v>
      </c>
      <c r="C271" t="s">
        <v>188</v>
      </c>
      <c r="D271" s="19" t="s">
        <v>531</v>
      </c>
      <c r="E271">
        <v>1</v>
      </c>
      <c r="F271" s="13">
        <v>94</v>
      </c>
      <c r="G271" s="11" t="s">
        <v>539</v>
      </c>
      <c r="H271" t="s">
        <v>186</v>
      </c>
      <c r="L271" t="s">
        <v>530</v>
      </c>
      <c r="O271" s="31">
        <v>3</v>
      </c>
      <c r="P271" s="34">
        <f t="shared" si="4"/>
        <v>1.5</v>
      </c>
    </row>
    <row r="272" spans="1:16" x14ac:dyDescent="0.25">
      <c r="A272">
        <v>269</v>
      </c>
      <c r="B272" s="15" t="s">
        <v>515</v>
      </c>
      <c r="C272" t="s">
        <v>188</v>
      </c>
      <c r="D272" s="19" t="s">
        <v>532</v>
      </c>
      <c r="E272">
        <v>1</v>
      </c>
      <c r="F272" s="13">
        <v>94</v>
      </c>
      <c r="G272" s="11" t="s">
        <v>539</v>
      </c>
      <c r="H272" t="s">
        <v>186</v>
      </c>
      <c r="L272" t="s">
        <v>530</v>
      </c>
      <c r="O272" s="31">
        <v>3</v>
      </c>
      <c r="P272" s="34">
        <f t="shared" si="4"/>
        <v>1.5</v>
      </c>
    </row>
    <row r="273" spans="1:16" x14ac:dyDescent="0.25">
      <c r="A273">
        <v>270</v>
      </c>
      <c r="B273" s="15" t="s">
        <v>515</v>
      </c>
      <c r="C273" t="s">
        <v>188</v>
      </c>
      <c r="D273" s="19" t="s">
        <v>533</v>
      </c>
      <c r="E273">
        <v>1</v>
      </c>
      <c r="F273" s="13">
        <v>94</v>
      </c>
      <c r="G273" s="11" t="s">
        <v>539</v>
      </c>
      <c r="H273" t="s">
        <v>186</v>
      </c>
      <c r="L273" t="s">
        <v>530</v>
      </c>
      <c r="O273" s="31">
        <v>3</v>
      </c>
      <c r="P273" s="34">
        <f t="shared" si="4"/>
        <v>1.5</v>
      </c>
    </row>
    <row r="274" spans="1:16" x14ac:dyDescent="0.25">
      <c r="A274">
        <v>271</v>
      </c>
      <c r="B274" s="15" t="s">
        <v>515</v>
      </c>
      <c r="C274" t="s">
        <v>188</v>
      </c>
      <c r="D274" s="19" t="s">
        <v>534</v>
      </c>
      <c r="E274">
        <v>1</v>
      </c>
      <c r="F274" s="13">
        <v>94</v>
      </c>
      <c r="G274" s="11" t="s">
        <v>539</v>
      </c>
      <c r="H274" t="s">
        <v>186</v>
      </c>
      <c r="L274" t="s">
        <v>530</v>
      </c>
      <c r="O274" s="31">
        <v>3</v>
      </c>
      <c r="P274" s="34">
        <f t="shared" si="4"/>
        <v>1.5</v>
      </c>
    </row>
    <row r="275" spans="1:16" x14ac:dyDescent="0.25">
      <c r="A275">
        <v>272</v>
      </c>
      <c r="B275" s="15" t="s">
        <v>515</v>
      </c>
      <c r="C275" t="s">
        <v>189</v>
      </c>
      <c r="D275" s="19" t="s">
        <v>535</v>
      </c>
      <c r="E275">
        <v>1</v>
      </c>
      <c r="F275" s="13">
        <v>94</v>
      </c>
      <c r="G275" s="11" t="s">
        <v>46</v>
      </c>
      <c r="H275" t="s">
        <v>186</v>
      </c>
      <c r="K275" t="s">
        <v>540</v>
      </c>
      <c r="O275" s="31">
        <v>1</v>
      </c>
      <c r="P275" s="34">
        <f t="shared" si="4"/>
        <v>0.5</v>
      </c>
    </row>
    <row r="276" spans="1:16" x14ac:dyDescent="0.25">
      <c r="A276">
        <v>273</v>
      </c>
      <c r="B276" s="15" t="s">
        <v>515</v>
      </c>
      <c r="C276" t="s">
        <v>189</v>
      </c>
      <c r="D276" s="19" t="s">
        <v>536</v>
      </c>
      <c r="E276">
        <v>1</v>
      </c>
      <c r="F276" s="13">
        <v>94</v>
      </c>
      <c r="G276" s="11" t="s">
        <v>46</v>
      </c>
      <c r="H276" t="s">
        <v>186</v>
      </c>
      <c r="K276" t="s">
        <v>540</v>
      </c>
      <c r="O276" s="31">
        <v>1</v>
      </c>
      <c r="P276" s="34">
        <f t="shared" si="4"/>
        <v>0.5</v>
      </c>
    </row>
    <row r="277" spans="1:16" x14ac:dyDescent="0.25">
      <c r="A277">
        <v>274</v>
      </c>
      <c r="B277" s="15" t="s">
        <v>515</v>
      </c>
      <c r="C277" t="s">
        <v>189</v>
      </c>
      <c r="D277" s="19" t="s">
        <v>537</v>
      </c>
      <c r="E277">
        <v>1</v>
      </c>
      <c r="F277" s="13">
        <v>94</v>
      </c>
      <c r="G277" s="11" t="s">
        <v>46</v>
      </c>
      <c r="H277" t="s">
        <v>186</v>
      </c>
      <c r="K277" t="s">
        <v>540</v>
      </c>
      <c r="O277" s="31">
        <v>1</v>
      </c>
      <c r="P277" s="34">
        <f t="shared" si="4"/>
        <v>0.5</v>
      </c>
    </row>
    <row r="278" spans="1:16" x14ac:dyDescent="0.25">
      <c r="A278">
        <v>275</v>
      </c>
      <c r="B278" s="15" t="s">
        <v>515</v>
      </c>
      <c r="C278" t="s">
        <v>322</v>
      </c>
      <c r="D278" s="19" t="s">
        <v>538</v>
      </c>
      <c r="E278">
        <v>1</v>
      </c>
      <c r="F278" s="13">
        <v>94</v>
      </c>
      <c r="G278" s="11" t="s">
        <v>236</v>
      </c>
      <c r="H278" t="s">
        <v>186</v>
      </c>
      <c r="K278" t="s">
        <v>541</v>
      </c>
      <c r="O278" s="31">
        <v>1</v>
      </c>
      <c r="P278" s="34">
        <f t="shared" si="4"/>
        <v>0.5</v>
      </c>
    </row>
    <row r="279" spans="1:16" x14ac:dyDescent="0.25">
      <c r="A279">
        <v>276</v>
      </c>
      <c r="B279" s="15" t="s">
        <v>515</v>
      </c>
      <c r="C279" t="s">
        <v>322</v>
      </c>
      <c r="D279" s="19" t="s">
        <v>363</v>
      </c>
      <c r="E279">
        <v>0</v>
      </c>
      <c r="F279" s="13">
        <v>94</v>
      </c>
      <c r="G279" s="11" t="s">
        <v>169</v>
      </c>
      <c r="H279" t="s">
        <v>186</v>
      </c>
      <c r="K279" t="s">
        <v>541</v>
      </c>
      <c r="O279" s="31">
        <v>1</v>
      </c>
      <c r="P279" s="34">
        <f t="shared" si="4"/>
        <v>0</v>
      </c>
    </row>
    <row r="280" spans="1:16" x14ac:dyDescent="0.25">
      <c r="A280">
        <v>277</v>
      </c>
      <c r="B280" s="15" t="s">
        <v>515</v>
      </c>
      <c r="C280" t="s">
        <v>190</v>
      </c>
      <c r="D280" s="19" t="s">
        <v>141</v>
      </c>
      <c r="E280">
        <v>1</v>
      </c>
      <c r="F280" s="13">
        <v>94</v>
      </c>
      <c r="G280" s="11" t="s">
        <v>46</v>
      </c>
      <c r="H280" t="s">
        <v>186</v>
      </c>
      <c r="O280" s="31">
        <v>1</v>
      </c>
      <c r="P280" s="34">
        <f t="shared" si="4"/>
        <v>0.5</v>
      </c>
    </row>
    <row r="281" spans="1:16" x14ac:dyDescent="0.25">
      <c r="A281">
        <v>278</v>
      </c>
      <c r="B281" s="15" t="s">
        <v>515</v>
      </c>
      <c r="C281" t="s">
        <v>190</v>
      </c>
      <c r="D281" s="19" t="s">
        <v>99</v>
      </c>
      <c r="E281">
        <v>1</v>
      </c>
      <c r="F281" s="13">
        <v>94</v>
      </c>
      <c r="G281" s="11" t="s">
        <v>46</v>
      </c>
      <c r="H281" t="s">
        <v>186</v>
      </c>
      <c r="O281" s="31">
        <v>1</v>
      </c>
      <c r="P281" s="34">
        <f t="shared" si="4"/>
        <v>0.5</v>
      </c>
    </row>
    <row r="282" spans="1:16" x14ac:dyDescent="0.25">
      <c r="A282">
        <v>279</v>
      </c>
      <c r="B282" s="15" t="s">
        <v>515</v>
      </c>
      <c r="C282" t="s">
        <v>190</v>
      </c>
      <c r="D282" s="19" t="s">
        <v>20</v>
      </c>
      <c r="E282">
        <v>1</v>
      </c>
      <c r="F282" s="13">
        <v>94</v>
      </c>
      <c r="G282" s="11" t="s">
        <v>46</v>
      </c>
      <c r="H282" t="s">
        <v>186</v>
      </c>
      <c r="O282" s="31">
        <v>1</v>
      </c>
      <c r="P282" s="34">
        <f t="shared" si="4"/>
        <v>0.5</v>
      </c>
    </row>
    <row r="283" spans="1:16" x14ac:dyDescent="0.25">
      <c r="A283">
        <v>280</v>
      </c>
      <c r="B283" s="15" t="s">
        <v>515</v>
      </c>
      <c r="C283" t="s">
        <v>190</v>
      </c>
      <c r="D283" s="19" t="s">
        <v>511</v>
      </c>
      <c r="E283">
        <v>1</v>
      </c>
      <c r="F283" s="13">
        <v>94</v>
      </c>
      <c r="G283" s="11" t="s">
        <v>400</v>
      </c>
      <c r="H283" t="s">
        <v>186</v>
      </c>
      <c r="O283" s="31">
        <v>1</v>
      </c>
      <c r="P283" s="34">
        <f t="shared" si="4"/>
        <v>0.5</v>
      </c>
    </row>
    <row r="284" spans="1:16" x14ac:dyDescent="0.25">
      <c r="A284">
        <v>281</v>
      </c>
      <c r="B284" s="15" t="s">
        <v>542</v>
      </c>
      <c r="C284" t="s">
        <v>194</v>
      </c>
      <c r="D284" s="19" t="s">
        <v>543</v>
      </c>
      <c r="E284">
        <v>0</v>
      </c>
      <c r="F284" s="13">
        <v>97</v>
      </c>
      <c r="G284" s="11" t="s">
        <v>169</v>
      </c>
      <c r="H284" t="s">
        <v>193</v>
      </c>
      <c r="O284" s="31">
        <v>0</v>
      </c>
      <c r="P284" s="34">
        <f t="shared" si="4"/>
        <v>0</v>
      </c>
    </row>
    <row r="285" spans="1:16" x14ac:dyDescent="0.25">
      <c r="A285">
        <v>282</v>
      </c>
      <c r="B285" s="15" t="s">
        <v>542</v>
      </c>
      <c r="C285" t="s">
        <v>194</v>
      </c>
      <c r="D285" s="19" t="s">
        <v>544</v>
      </c>
      <c r="E285">
        <v>1</v>
      </c>
      <c r="F285" s="13">
        <v>97</v>
      </c>
      <c r="G285" s="11" t="s">
        <v>254</v>
      </c>
      <c r="H285" t="s">
        <v>193</v>
      </c>
      <c r="O285" s="31">
        <v>1</v>
      </c>
      <c r="P285" s="34">
        <f t="shared" si="4"/>
        <v>0.5</v>
      </c>
    </row>
    <row r="286" spans="1:16" x14ac:dyDescent="0.25">
      <c r="A286">
        <v>283</v>
      </c>
      <c r="B286" s="15" t="s">
        <v>542</v>
      </c>
      <c r="C286" t="s">
        <v>194</v>
      </c>
      <c r="D286" s="19" t="s">
        <v>561</v>
      </c>
      <c r="E286">
        <v>1</v>
      </c>
      <c r="F286" s="13">
        <v>97</v>
      </c>
      <c r="G286" s="11" t="s">
        <v>254</v>
      </c>
      <c r="H286" t="s">
        <v>193</v>
      </c>
      <c r="O286" s="31">
        <v>1</v>
      </c>
      <c r="P286" s="34">
        <f t="shared" si="4"/>
        <v>0.5</v>
      </c>
    </row>
    <row r="287" spans="1:16" x14ac:dyDescent="0.25">
      <c r="A287">
        <v>284</v>
      </c>
      <c r="B287" s="15" t="s">
        <v>542</v>
      </c>
      <c r="C287" t="s">
        <v>194</v>
      </c>
      <c r="D287" s="19" t="s">
        <v>545</v>
      </c>
      <c r="E287">
        <v>1</v>
      </c>
      <c r="F287" s="13">
        <v>97</v>
      </c>
      <c r="G287" s="11" t="s">
        <v>254</v>
      </c>
      <c r="H287" t="s">
        <v>193</v>
      </c>
      <c r="O287" s="31">
        <v>1</v>
      </c>
      <c r="P287" s="34">
        <f t="shared" si="4"/>
        <v>0.5</v>
      </c>
    </row>
    <row r="288" spans="1:16" x14ac:dyDescent="0.25">
      <c r="A288">
        <v>285</v>
      </c>
      <c r="B288" s="15" t="s">
        <v>542</v>
      </c>
      <c r="C288" t="s">
        <v>194</v>
      </c>
      <c r="D288" s="19" t="s">
        <v>546</v>
      </c>
      <c r="E288">
        <v>1</v>
      </c>
      <c r="F288" s="13">
        <v>97</v>
      </c>
      <c r="G288" s="11" t="s">
        <v>254</v>
      </c>
      <c r="H288" t="s">
        <v>193</v>
      </c>
      <c r="O288" s="31">
        <v>1</v>
      </c>
      <c r="P288" s="34">
        <f t="shared" si="4"/>
        <v>0.5</v>
      </c>
    </row>
    <row r="289" spans="1:16" x14ac:dyDescent="0.25">
      <c r="A289">
        <v>286</v>
      </c>
      <c r="B289" s="15" t="s">
        <v>542</v>
      </c>
      <c r="C289" t="s">
        <v>194</v>
      </c>
      <c r="D289" s="19" t="s">
        <v>547</v>
      </c>
      <c r="E289">
        <v>1</v>
      </c>
      <c r="F289" s="13">
        <v>97</v>
      </c>
      <c r="G289" s="11" t="s">
        <v>254</v>
      </c>
      <c r="H289" t="s">
        <v>193</v>
      </c>
      <c r="O289" s="31">
        <v>1</v>
      </c>
      <c r="P289" s="34">
        <f t="shared" si="4"/>
        <v>0.5</v>
      </c>
    </row>
    <row r="290" spans="1:16" x14ac:dyDescent="0.25">
      <c r="A290">
        <v>287</v>
      </c>
      <c r="B290" s="15" t="s">
        <v>542</v>
      </c>
      <c r="C290" t="s">
        <v>195</v>
      </c>
      <c r="D290" s="26" t="s">
        <v>377</v>
      </c>
      <c r="E290">
        <v>1</v>
      </c>
      <c r="F290" s="13">
        <v>98</v>
      </c>
      <c r="G290" s="11" t="s">
        <v>46</v>
      </c>
      <c r="H290" t="s">
        <v>193</v>
      </c>
      <c r="L290" t="s">
        <v>347</v>
      </c>
      <c r="O290" s="31">
        <v>1</v>
      </c>
      <c r="P290" s="34">
        <f t="shared" si="4"/>
        <v>0.5</v>
      </c>
    </row>
    <row r="291" spans="1:16" x14ac:dyDescent="0.25">
      <c r="A291">
        <v>288</v>
      </c>
      <c r="B291" s="15" t="s">
        <v>542</v>
      </c>
      <c r="C291" t="s">
        <v>195</v>
      </c>
      <c r="D291" s="26" t="s">
        <v>154</v>
      </c>
      <c r="E291">
        <v>0</v>
      </c>
      <c r="F291" s="13">
        <v>98</v>
      </c>
      <c r="G291" s="11" t="s">
        <v>169</v>
      </c>
      <c r="H291" t="s">
        <v>193</v>
      </c>
      <c r="O291" s="31">
        <v>0</v>
      </c>
      <c r="P291" s="34">
        <f t="shared" si="4"/>
        <v>0</v>
      </c>
    </row>
    <row r="292" spans="1:16" x14ac:dyDescent="0.25">
      <c r="A292">
        <v>289</v>
      </c>
      <c r="B292" s="15" t="s">
        <v>542</v>
      </c>
      <c r="C292" t="s">
        <v>195</v>
      </c>
      <c r="D292" s="26" t="s">
        <v>378</v>
      </c>
      <c r="E292">
        <v>0</v>
      </c>
      <c r="F292" s="13">
        <v>98</v>
      </c>
      <c r="G292" s="11" t="s">
        <v>169</v>
      </c>
      <c r="H292" t="s">
        <v>193</v>
      </c>
      <c r="O292" s="31">
        <v>0</v>
      </c>
      <c r="P292" s="34">
        <f t="shared" si="4"/>
        <v>0</v>
      </c>
    </row>
    <row r="293" spans="1:16" x14ac:dyDescent="0.25">
      <c r="A293">
        <v>290</v>
      </c>
      <c r="B293" s="15" t="s">
        <v>542</v>
      </c>
      <c r="C293" t="s">
        <v>195</v>
      </c>
      <c r="D293" s="26" t="s">
        <v>379</v>
      </c>
      <c r="E293">
        <v>1</v>
      </c>
      <c r="F293" s="13">
        <v>98</v>
      </c>
      <c r="G293" s="11" t="s">
        <v>46</v>
      </c>
      <c r="H293" t="s">
        <v>193</v>
      </c>
      <c r="L293" t="s">
        <v>347</v>
      </c>
      <c r="O293" s="31">
        <v>1</v>
      </c>
      <c r="P293" s="34">
        <f t="shared" si="4"/>
        <v>0.5</v>
      </c>
    </row>
    <row r="294" spans="1:16" x14ac:dyDescent="0.25">
      <c r="A294">
        <v>291</v>
      </c>
      <c r="B294" s="15" t="s">
        <v>542</v>
      </c>
      <c r="C294" t="s">
        <v>195</v>
      </c>
      <c r="D294" s="26" t="s">
        <v>155</v>
      </c>
      <c r="E294">
        <v>0</v>
      </c>
      <c r="F294" s="13">
        <v>98</v>
      </c>
      <c r="G294" s="11" t="s">
        <v>169</v>
      </c>
      <c r="H294" t="s">
        <v>193</v>
      </c>
      <c r="O294" s="31">
        <v>0</v>
      </c>
      <c r="P294" s="34">
        <f t="shared" si="4"/>
        <v>0</v>
      </c>
    </row>
    <row r="295" spans="1:16" x14ac:dyDescent="0.25">
      <c r="A295">
        <v>292</v>
      </c>
      <c r="B295" s="15" t="s">
        <v>542</v>
      </c>
      <c r="C295" t="s">
        <v>195</v>
      </c>
      <c r="D295" s="26" t="s">
        <v>380</v>
      </c>
      <c r="E295">
        <v>1</v>
      </c>
      <c r="F295" s="13">
        <v>98</v>
      </c>
      <c r="G295" s="11" t="s">
        <v>46</v>
      </c>
      <c r="H295" t="s">
        <v>193</v>
      </c>
      <c r="L295" t="s">
        <v>347</v>
      </c>
      <c r="O295" s="31">
        <v>1</v>
      </c>
      <c r="P295" s="34">
        <f t="shared" si="4"/>
        <v>0.5</v>
      </c>
    </row>
    <row r="296" spans="1:16" x14ac:dyDescent="0.25">
      <c r="A296">
        <v>293</v>
      </c>
      <c r="B296" s="15" t="s">
        <v>542</v>
      </c>
      <c r="C296" t="s">
        <v>195</v>
      </c>
      <c r="D296" s="26" t="s">
        <v>381</v>
      </c>
      <c r="E296">
        <v>1</v>
      </c>
      <c r="F296" s="13">
        <v>98</v>
      </c>
      <c r="G296" s="11" t="s">
        <v>46</v>
      </c>
      <c r="H296" t="s">
        <v>193</v>
      </c>
      <c r="L296" t="s">
        <v>347</v>
      </c>
      <c r="O296" s="31">
        <v>1</v>
      </c>
      <c r="P296" s="34">
        <f t="shared" si="4"/>
        <v>0.5</v>
      </c>
    </row>
    <row r="297" spans="1:16" x14ac:dyDescent="0.25">
      <c r="A297">
        <v>294</v>
      </c>
      <c r="B297" s="15" t="s">
        <v>542</v>
      </c>
      <c r="C297" t="s">
        <v>195</v>
      </c>
      <c r="D297" s="26" t="s">
        <v>382</v>
      </c>
      <c r="E297">
        <v>1</v>
      </c>
      <c r="F297" s="13">
        <v>98</v>
      </c>
      <c r="G297" s="11" t="s">
        <v>46</v>
      </c>
      <c r="H297" t="s">
        <v>193</v>
      </c>
      <c r="L297" t="s">
        <v>347</v>
      </c>
      <c r="O297" s="31">
        <v>1</v>
      </c>
      <c r="P297" s="34">
        <f t="shared" si="4"/>
        <v>0.5</v>
      </c>
    </row>
    <row r="298" spans="1:16" x14ac:dyDescent="0.25">
      <c r="A298">
        <v>295</v>
      </c>
      <c r="B298" s="15" t="s">
        <v>542</v>
      </c>
      <c r="C298" t="s">
        <v>195</v>
      </c>
      <c r="D298" s="26" t="s">
        <v>383</v>
      </c>
      <c r="E298">
        <v>0</v>
      </c>
      <c r="F298" s="13">
        <v>98</v>
      </c>
      <c r="G298" s="11" t="s">
        <v>169</v>
      </c>
      <c r="H298" t="s">
        <v>193</v>
      </c>
      <c r="O298" s="31">
        <v>0</v>
      </c>
      <c r="P298" s="34">
        <f t="shared" si="4"/>
        <v>0</v>
      </c>
    </row>
    <row r="299" spans="1:16" x14ac:dyDescent="0.25">
      <c r="A299">
        <v>296</v>
      </c>
      <c r="B299" s="15" t="s">
        <v>542</v>
      </c>
      <c r="C299" t="s">
        <v>195</v>
      </c>
      <c r="D299" s="26" t="s">
        <v>384</v>
      </c>
      <c r="E299">
        <v>0</v>
      </c>
      <c r="F299" s="13">
        <v>98</v>
      </c>
      <c r="G299" s="11" t="s">
        <v>169</v>
      </c>
      <c r="H299" t="s">
        <v>193</v>
      </c>
      <c r="O299" s="31">
        <v>0</v>
      </c>
      <c r="P299" s="34">
        <f t="shared" si="4"/>
        <v>0</v>
      </c>
    </row>
    <row r="300" spans="1:16" x14ac:dyDescent="0.25">
      <c r="A300">
        <v>297</v>
      </c>
      <c r="B300" s="15" t="s">
        <v>542</v>
      </c>
      <c r="C300" t="s">
        <v>195</v>
      </c>
      <c r="D300" s="26" t="s">
        <v>385</v>
      </c>
      <c r="E300">
        <v>0</v>
      </c>
      <c r="F300" s="13">
        <v>98</v>
      </c>
      <c r="G300" s="11" t="s">
        <v>169</v>
      </c>
      <c r="H300" t="s">
        <v>193</v>
      </c>
      <c r="O300" s="31">
        <v>0</v>
      </c>
      <c r="P300" s="34">
        <f t="shared" si="4"/>
        <v>0</v>
      </c>
    </row>
    <row r="301" spans="1:16" x14ac:dyDescent="0.25">
      <c r="A301">
        <v>298</v>
      </c>
      <c r="B301" s="15" t="s">
        <v>542</v>
      </c>
      <c r="C301" t="s">
        <v>195</v>
      </c>
      <c r="D301" s="26" t="s">
        <v>386</v>
      </c>
      <c r="E301">
        <v>1</v>
      </c>
      <c r="F301" s="13">
        <v>98</v>
      </c>
      <c r="G301" s="11" t="s">
        <v>46</v>
      </c>
      <c r="H301" t="s">
        <v>193</v>
      </c>
      <c r="L301" t="s">
        <v>347</v>
      </c>
      <c r="O301" s="31">
        <v>1</v>
      </c>
      <c r="P301" s="34">
        <f t="shared" si="4"/>
        <v>0.5</v>
      </c>
    </row>
    <row r="302" spans="1:16" x14ac:dyDescent="0.25">
      <c r="A302">
        <v>299</v>
      </c>
      <c r="B302" s="15" t="s">
        <v>542</v>
      </c>
      <c r="C302" t="s">
        <v>195</v>
      </c>
      <c r="D302" s="26" t="s">
        <v>387</v>
      </c>
      <c r="E302">
        <v>0</v>
      </c>
      <c r="F302" s="13">
        <v>98</v>
      </c>
      <c r="G302" s="11" t="s">
        <v>169</v>
      </c>
      <c r="H302" t="s">
        <v>193</v>
      </c>
      <c r="O302" s="31">
        <v>0</v>
      </c>
      <c r="P302" s="34">
        <f t="shared" si="4"/>
        <v>0</v>
      </c>
    </row>
    <row r="303" spans="1:16" x14ac:dyDescent="0.25">
      <c r="A303">
        <v>300</v>
      </c>
      <c r="B303" s="15" t="s">
        <v>542</v>
      </c>
      <c r="C303" t="s">
        <v>195</v>
      </c>
      <c r="D303" s="19" t="s">
        <v>548</v>
      </c>
      <c r="E303">
        <v>0</v>
      </c>
      <c r="F303" s="13">
        <v>98</v>
      </c>
      <c r="G303" s="11" t="s">
        <v>169</v>
      </c>
      <c r="H303" t="s">
        <v>193</v>
      </c>
      <c r="O303" s="31">
        <v>0</v>
      </c>
      <c r="P303" s="34">
        <f t="shared" si="4"/>
        <v>0</v>
      </c>
    </row>
    <row r="304" spans="1:16" x14ac:dyDescent="0.25">
      <c r="A304">
        <v>301</v>
      </c>
      <c r="B304" s="15" t="s">
        <v>542</v>
      </c>
      <c r="C304" t="s">
        <v>195</v>
      </c>
      <c r="D304" s="19" t="s">
        <v>549</v>
      </c>
      <c r="E304">
        <v>0</v>
      </c>
      <c r="F304" s="13">
        <v>98</v>
      </c>
      <c r="G304" s="11" t="s">
        <v>169</v>
      </c>
      <c r="H304" t="s">
        <v>193</v>
      </c>
      <c r="O304" s="31">
        <v>0</v>
      </c>
      <c r="P304" s="34">
        <f t="shared" si="4"/>
        <v>0</v>
      </c>
    </row>
    <row r="305" spans="1:16" x14ac:dyDescent="0.25">
      <c r="A305">
        <v>302</v>
      </c>
      <c r="B305" s="15" t="s">
        <v>542</v>
      </c>
      <c r="C305" t="s">
        <v>195</v>
      </c>
      <c r="D305" s="19" t="s">
        <v>550</v>
      </c>
      <c r="E305">
        <v>0</v>
      </c>
      <c r="F305" s="13">
        <v>98</v>
      </c>
      <c r="G305" s="11" t="s">
        <v>169</v>
      </c>
      <c r="H305" t="s">
        <v>193</v>
      </c>
      <c r="O305" s="31">
        <v>0</v>
      </c>
      <c r="P305" s="34">
        <f t="shared" si="4"/>
        <v>0</v>
      </c>
    </row>
    <row r="306" spans="1:16" x14ac:dyDescent="0.25">
      <c r="A306">
        <v>303</v>
      </c>
      <c r="B306" s="15" t="s">
        <v>542</v>
      </c>
      <c r="C306" t="s">
        <v>196</v>
      </c>
      <c r="D306" s="19" t="s">
        <v>551</v>
      </c>
      <c r="E306">
        <v>1</v>
      </c>
      <c r="F306" s="13" t="s">
        <v>723</v>
      </c>
      <c r="G306" s="11" t="s">
        <v>46</v>
      </c>
      <c r="H306" t="s">
        <v>193</v>
      </c>
      <c r="I306" t="s">
        <v>221</v>
      </c>
      <c r="O306" s="31">
        <v>1</v>
      </c>
      <c r="P306" s="34">
        <f t="shared" si="4"/>
        <v>0.5</v>
      </c>
    </row>
    <row r="307" spans="1:16" x14ac:dyDescent="0.25">
      <c r="A307">
        <v>304</v>
      </c>
      <c r="B307" s="15" t="s">
        <v>542</v>
      </c>
      <c r="C307" t="s">
        <v>196</v>
      </c>
      <c r="D307" s="19" t="s">
        <v>552</v>
      </c>
      <c r="E307">
        <v>1</v>
      </c>
      <c r="F307" s="13" t="s">
        <v>723</v>
      </c>
      <c r="G307" s="11" t="s">
        <v>46</v>
      </c>
      <c r="H307" t="s">
        <v>193</v>
      </c>
      <c r="I307" t="s">
        <v>221</v>
      </c>
      <c r="O307" s="31">
        <v>1</v>
      </c>
      <c r="P307" s="34">
        <f t="shared" si="4"/>
        <v>0.5</v>
      </c>
    </row>
    <row r="308" spans="1:16" x14ac:dyDescent="0.25">
      <c r="A308">
        <v>305</v>
      </c>
      <c r="B308" s="15" t="s">
        <v>542</v>
      </c>
      <c r="C308" t="s">
        <v>196</v>
      </c>
      <c r="D308" s="19" t="s">
        <v>553</v>
      </c>
      <c r="E308">
        <v>1</v>
      </c>
      <c r="F308" s="13" t="s">
        <v>723</v>
      </c>
      <c r="G308" s="11" t="s">
        <v>254</v>
      </c>
      <c r="H308" t="s">
        <v>193</v>
      </c>
      <c r="I308" t="s">
        <v>221</v>
      </c>
      <c r="O308" s="31">
        <v>1</v>
      </c>
      <c r="P308" s="34">
        <f t="shared" si="4"/>
        <v>0.5</v>
      </c>
    </row>
    <row r="309" spans="1:16" x14ac:dyDescent="0.25">
      <c r="A309">
        <v>306</v>
      </c>
      <c r="B309" s="15" t="s">
        <v>542</v>
      </c>
      <c r="C309" t="s">
        <v>196</v>
      </c>
      <c r="D309" s="19" t="s">
        <v>554</v>
      </c>
      <c r="E309">
        <v>1</v>
      </c>
      <c r="F309" s="13" t="s">
        <v>723</v>
      </c>
      <c r="G309" s="11" t="s">
        <v>46</v>
      </c>
      <c r="H309" t="s">
        <v>193</v>
      </c>
      <c r="I309" t="s">
        <v>221</v>
      </c>
      <c r="O309" s="31">
        <v>1</v>
      </c>
      <c r="P309" s="34">
        <f t="shared" si="4"/>
        <v>0.5</v>
      </c>
    </row>
    <row r="310" spans="1:16" x14ac:dyDescent="0.25">
      <c r="A310">
        <v>307</v>
      </c>
      <c r="B310" s="15" t="s">
        <v>542</v>
      </c>
      <c r="C310" t="s">
        <v>196</v>
      </c>
      <c r="D310" s="19" t="s">
        <v>555</v>
      </c>
      <c r="E310">
        <v>1</v>
      </c>
      <c r="F310" s="13" t="s">
        <v>723</v>
      </c>
      <c r="G310" s="11" t="s">
        <v>46</v>
      </c>
      <c r="H310" t="s">
        <v>193</v>
      </c>
      <c r="I310" t="s">
        <v>221</v>
      </c>
      <c r="O310" s="31">
        <v>1</v>
      </c>
      <c r="P310" s="34">
        <f t="shared" si="4"/>
        <v>0.5</v>
      </c>
    </row>
    <row r="311" spans="1:16" x14ac:dyDescent="0.25">
      <c r="A311">
        <v>308</v>
      </c>
      <c r="B311" s="15" t="s">
        <v>542</v>
      </c>
      <c r="C311" t="s">
        <v>196</v>
      </c>
      <c r="D311" s="19" t="s">
        <v>556</v>
      </c>
      <c r="E311">
        <v>1</v>
      </c>
      <c r="F311" s="13" t="s">
        <v>723</v>
      </c>
      <c r="G311" s="11" t="s">
        <v>46</v>
      </c>
      <c r="H311" t="s">
        <v>193</v>
      </c>
      <c r="I311" t="s">
        <v>221</v>
      </c>
      <c r="O311" s="31">
        <v>1</v>
      </c>
      <c r="P311" s="34">
        <f t="shared" ref="P311:P510" si="5">IF(ISNUMBER(O311),HLOOKUP(O311,$O$1:$S$2,2,FALSE)*E311,"")</f>
        <v>0.5</v>
      </c>
    </row>
    <row r="312" spans="1:16" x14ac:dyDescent="0.25">
      <c r="A312">
        <v>309</v>
      </c>
      <c r="B312" s="15" t="s">
        <v>542</v>
      </c>
      <c r="C312" t="s">
        <v>196</v>
      </c>
      <c r="D312" s="19" t="s">
        <v>557</v>
      </c>
      <c r="E312">
        <v>1</v>
      </c>
      <c r="F312" s="13" t="s">
        <v>723</v>
      </c>
      <c r="G312" s="11" t="s">
        <v>259</v>
      </c>
      <c r="H312" t="s">
        <v>193</v>
      </c>
      <c r="I312" t="s">
        <v>221</v>
      </c>
      <c r="O312" s="31">
        <v>1</v>
      </c>
      <c r="P312" s="34">
        <f t="shared" si="5"/>
        <v>0.5</v>
      </c>
    </row>
    <row r="313" spans="1:16" x14ac:dyDescent="0.25">
      <c r="A313">
        <v>310</v>
      </c>
      <c r="B313" s="15" t="s">
        <v>542</v>
      </c>
      <c r="C313" t="s">
        <v>196</v>
      </c>
      <c r="D313" s="19" t="s">
        <v>558</v>
      </c>
      <c r="E313">
        <v>1</v>
      </c>
      <c r="F313" s="13" t="s">
        <v>723</v>
      </c>
      <c r="G313" s="11" t="s">
        <v>259</v>
      </c>
      <c r="H313" t="s">
        <v>193</v>
      </c>
      <c r="I313" t="s">
        <v>221</v>
      </c>
      <c r="O313" s="31">
        <v>1</v>
      </c>
      <c r="P313" s="34">
        <f t="shared" si="5"/>
        <v>0.5</v>
      </c>
    </row>
    <row r="314" spans="1:16" x14ac:dyDescent="0.25">
      <c r="A314">
        <v>311</v>
      </c>
      <c r="B314" s="15" t="s">
        <v>542</v>
      </c>
      <c r="C314" t="s">
        <v>559</v>
      </c>
      <c r="D314" s="19" t="s">
        <v>102</v>
      </c>
      <c r="E314">
        <v>1</v>
      </c>
      <c r="F314" s="13">
        <v>99</v>
      </c>
      <c r="G314" s="11" t="s">
        <v>46</v>
      </c>
      <c r="H314" t="s">
        <v>193</v>
      </c>
      <c r="O314" s="31">
        <v>1</v>
      </c>
      <c r="P314" s="34">
        <f t="shared" si="5"/>
        <v>0.5</v>
      </c>
    </row>
    <row r="315" spans="1:16" x14ac:dyDescent="0.25">
      <c r="A315">
        <v>312</v>
      </c>
      <c r="B315" s="15" t="s">
        <v>542</v>
      </c>
      <c r="C315" t="s">
        <v>559</v>
      </c>
      <c r="D315" s="19" t="s">
        <v>560</v>
      </c>
      <c r="E315">
        <v>1</v>
      </c>
      <c r="F315" s="13">
        <v>99</v>
      </c>
      <c r="G315" s="11" t="s">
        <v>46</v>
      </c>
      <c r="H315" t="s">
        <v>193</v>
      </c>
      <c r="O315" s="31">
        <v>1</v>
      </c>
      <c r="P315" s="34">
        <f t="shared" si="5"/>
        <v>0.5</v>
      </c>
    </row>
    <row r="316" spans="1:16" x14ac:dyDescent="0.25">
      <c r="A316">
        <v>313</v>
      </c>
      <c r="B316" s="15" t="s">
        <v>542</v>
      </c>
      <c r="C316" t="s">
        <v>559</v>
      </c>
      <c r="D316" s="19" t="s">
        <v>511</v>
      </c>
      <c r="E316">
        <v>1</v>
      </c>
      <c r="F316" s="13">
        <v>99</v>
      </c>
      <c r="G316" s="11" t="s">
        <v>400</v>
      </c>
      <c r="H316" t="s">
        <v>193</v>
      </c>
      <c r="O316" s="31">
        <v>1</v>
      </c>
      <c r="P316" s="34">
        <f t="shared" si="5"/>
        <v>0.5</v>
      </c>
    </row>
    <row r="317" spans="1:16" x14ac:dyDescent="0.25">
      <c r="A317">
        <v>314</v>
      </c>
      <c r="B317" s="15" t="s">
        <v>230</v>
      </c>
      <c r="C317" t="s">
        <v>202</v>
      </c>
      <c r="D317" s="19" t="s">
        <v>350</v>
      </c>
      <c r="E317">
        <v>1</v>
      </c>
      <c r="F317" s="13">
        <v>105</v>
      </c>
      <c r="G317" s="11" t="s">
        <v>254</v>
      </c>
      <c r="H317" t="s">
        <v>230</v>
      </c>
      <c r="O317" s="31">
        <v>1</v>
      </c>
      <c r="P317" s="34">
        <f t="shared" si="5"/>
        <v>0.5</v>
      </c>
    </row>
    <row r="318" spans="1:16" x14ac:dyDescent="0.25">
      <c r="A318">
        <v>315</v>
      </c>
      <c r="B318" s="15" t="s">
        <v>230</v>
      </c>
      <c r="C318" t="s">
        <v>202</v>
      </c>
      <c r="D318" s="19" t="s">
        <v>562</v>
      </c>
      <c r="E318">
        <v>1</v>
      </c>
      <c r="F318" s="13">
        <v>105</v>
      </c>
      <c r="G318" s="11" t="s">
        <v>254</v>
      </c>
      <c r="H318" t="s">
        <v>230</v>
      </c>
      <c r="O318" s="31">
        <v>1</v>
      </c>
      <c r="P318" s="34">
        <f t="shared" si="5"/>
        <v>0.5</v>
      </c>
    </row>
    <row r="319" spans="1:16" x14ac:dyDescent="0.25">
      <c r="A319">
        <v>316</v>
      </c>
      <c r="B319" s="15" t="s">
        <v>230</v>
      </c>
      <c r="C319" t="s">
        <v>202</v>
      </c>
      <c r="D319" s="19" t="s">
        <v>392</v>
      </c>
      <c r="E319">
        <v>0</v>
      </c>
      <c r="F319" s="13">
        <v>105</v>
      </c>
      <c r="G319" s="11" t="s">
        <v>169</v>
      </c>
      <c r="H319" t="s">
        <v>230</v>
      </c>
      <c r="O319" s="31">
        <v>0</v>
      </c>
      <c r="P319" s="34">
        <f t="shared" si="5"/>
        <v>0</v>
      </c>
    </row>
    <row r="320" spans="1:16" x14ac:dyDescent="0.25">
      <c r="A320">
        <v>317</v>
      </c>
      <c r="B320" s="15" t="s">
        <v>230</v>
      </c>
      <c r="C320" t="s">
        <v>202</v>
      </c>
      <c r="D320" s="19" t="s">
        <v>393</v>
      </c>
      <c r="E320">
        <v>0</v>
      </c>
      <c r="F320" s="13">
        <v>105</v>
      </c>
      <c r="G320" s="11" t="s">
        <v>169</v>
      </c>
      <c r="H320" t="s">
        <v>230</v>
      </c>
      <c r="O320" s="31">
        <v>0</v>
      </c>
      <c r="P320" s="34">
        <f t="shared" si="5"/>
        <v>0</v>
      </c>
    </row>
    <row r="321" spans="1:16" x14ac:dyDescent="0.25">
      <c r="A321">
        <v>318</v>
      </c>
      <c r="B321" s="15" t="s">
        <v>230</v>
      </c>
      <c r="C321" t="s">
        <v>202</v>
      </c>
      <c r="D321" s="19" t="s">
        <v>394</v>
      </c>
      <c r="E321">
        <v>1</v>
      </c>
      <c r="F321" s="13">
        <v>105</v>
      </c>
      <c r="G321" s="11" t="s">
        <v>254</v>
      </c>
      <c r="H321" t="s">
        <v>230</v>
      </c>
      <c r="O321" s="31">
        <v>1</v>
      </c>
      <c r="P321" s="34">
        <f t="shared" si="5"/>
        <v>0.5</v>
      </c>
    </row>
    <row r="322" spans="1:16" x14ac:dyDescent="0.25">
      <c r="A322">
        <v>319</v>
      </c>
      <c r="B322" s="15" t="s">
        <v>230</v>
      </c>
      <c r="C322" t="s">
        <v>202</v>
      </c>
      <c r="D322" s="19" t="s">
        <v>563</v>
      </c>
      <c r="E322">
        <v>1</v>
      </c>
      <c r="F322" s="13">
        <v>105</v>
      </c>
      <c r="G322" s="11" t="s">
        <v>251</v>
      </c>
      <c r="H322" t="s">
        <v>230</v>
      </c>
      <c r="O322" s="31">
        <v>1</v>
      </c>
      <c r="P322" s="34">
        <f t="shared" si="5"/>
        <v>0.5</v>
      </c>
    </row>
    <row r="323" spans="1:16" x14ac:dyDescent="0.25">
      <c r="A323">
        <v>320</v>
      </c>
      <c r="B323" s="15" t="s">
        <v>566</v>
      </c>
      <c r="C323" t="s">
        <v>200</v>
      </c>
      <c r="D323" s="19" t="s">
        <v>564</v>
      </c>
      <c r="E323">
        <v>1</v>
      </c>
      <c r="F323" s="13">
        <v>107</v>
      </c>
      <c r="G323" s="11" t="s">
        <v>46</v>
      </c>
      <c r="H323" t="s">
        <v>199</v>
      </c>
      <c r="O323" s="31">
        <v>1</v>
      </c>
      <c r="P323" s="34">
        <f t="shared" si="5"/>
        <v>0.5</v>
      </c>
    </row>
    <row r="324" spans="1:16" x14ac:dyDescent="0.25">
      <c r="A324">
        <v>321</v>
      </c>
      <c r="B324" s="15" t="s">
        <v>566</v>
      </c>
      <c r="C324" t="s">
        <v>200</v>
      </c>
      <c r="D324" s="19" t="s">
        <v>565</v>
      </c>
      <c r="E324">
        <v>1</v>
      </c>
      <c r="F324" s="13">
        <v>107</v>
      </c>
      <c r="G324" s="11" t="s">
        <v>46</v>
      </c>
      <c r="H324" t="s">
        <v>199</v>
      </c>
      <c r="O324" s="31">
        <v>1</v>
      </c>
      <c r="P324" s="34">
        <f t="shared" si="5"/>
        <v>0.5</v>
      </c>
    </row>
    <row r="325" spans="1:16" x14ac:dyDescent="0.25">
      <c r="A325">
        <v>322</v>
      </c>
      <c r="B325" s="15" t="s">
        <v>567</v>
      </c>
      <c r="C325" t="s">
        <v>203</v>
      </c>
      <c r="D325" s="19" t="s">
        <v>372</v>
      </c>
      <c r="E325">
        <v>1</v>
      </c>
      <c r="F325" s="13">
        <v>110</v>
      </c>
      <c r="G325" s="11" t="s">
        <v>254</v>
      </c>
      <c r="H325" t="s">
        <v>235</v>
      </c>
      <c r="O325" s="31">
        <v>3</v>
      </c>
      <c r="P325" s="34">
        <f t="shared" si="5"/>
        <v>1.5</v>
      </c>
    </row>
    <row r="326" spans="1:16" x14ac:dyDescent="0.25">
      <c r="A326">
        <v>323</v>
      </c>
      <c r="B326" s="15" t="s">
        <v>567</v>
      </c>
      <c r="C326" t="s">
        <v>203</v>
      </c>
      <c r="D326" s="19" t="s">
        <v>374</v>
      </c>
      <c r="E326">
        <v>1</v>
      </c>
      <c r="F326" s="13">
        <v>110</v>
      </c>
      <c r="G326" s="11" t="s">
        <v>254</v>
      </c>
      <c r="H326" t="s">
        <v>235</v>
      </c>
      <c r="O326" s="31">
        <v>3</v>
      </c>
      <c r="P326" s="34">
        <f t="shared" si="5"/>
        <v>1.5</v>
      </c>
    </row>
    <row r="327" spans="1:16" x14ac:dyDescent="0.25">
      <c r="A327">
        <v>324</v>
      </c>
      <c r="B327" s="15" t="s">
        <v>568</v>
      </c>
      <c r="C327" t="s">
        <v>204</v>
      </c>
      <c r="D327" s="19" t="s">
        <v>432</v>
      </c>
      <c r="E327">
        <v>1</v>
      </c>
      <c r="F327" s="13">
        <v>111</v>
      </c>
      <c r="G327" s="11" t="s">
        <v>251</v>
      </c>
      <c r="H327" t="s">
        <v>218</v>
      </c>
      <c r="O327" s="31">
        <v>1</v>
      </c>
      <c r="P327" s="34">
        <f t="shared" si="5"/>
        <v>0.5</v>
      </c>
    </row>
    <row r="328" spans="1:16" x14ac:dyDescent="0.25">
      <c r="A328">
        <v>325</v>
      </c>
      <c r="B328" s="15" t="s">
        <v>568</v>
      </c>
      <c r="C328" t="s">
        <v>204</v>
      </c>
      <c r="D328" s="19" t="s">
        <v>433</v>
      </c>
      <c r="E328">
        <v>1</v>
      </c>
      <c r="F328" s="13">
        <v>111</v>
      </c>
      <c r="G328" s="11" t="s">
        <v>46</v>
      </c>
      <c r="H328" t="s">
        <v>218</v>
      </c>
      <c r="O328" s="31">
        <v>1</v>
      </c>
      <c r="P328" s="34">
        <f t="shared" si="5"/>
        <v>0.5</v>
      </c>
    </row>
    <row r="329" spans="1:16" x14ac:dyDescent="0.25">
      <c r="A329">
        <v>326</v>
      </c>
      <c r="B329" s="15" t="s">
        <v>570</v>
      </c>
      <c r="C329" t="s">
        <v>321</v>
      </c>
      <c r="D329" s="19" t="s">
        <v>426</v>
      </c>
      <c r="E329">
        <v>0</v>
      </c>
      <c r="F329" s="13">
        <v>113</v>
      </c>
      <c r="H329" t="s">
        <v>221</v>
      </c>
      <c r="O329" s="31" t="s">
        <v>429</v>
      </c>
      <c r="P329" s="34" t="str">
        <f t="shared" si="5"/>
        <v/>
      </c>
    </row>
    <row r="330" spans="1:16" x14ac:dyDescent="0.25">
      <c r="A330">
        <v>327</v>
      </c>
      <c r="B330" s="15" t="s">
        <v>570</v>
      </c>
      <c r="C330" t="s">
        <v>572</v>
      </c>
      <c r="D330" s="19" t="s">
        <v>573</v>
      </c>
      <c r="E330">
        <v>1</v>
      </c>
      <c r="F330" s="13">
        <v>113</v>
      </c>
      <c r="G330" s="11" t="s">
        <v>46</v>
      </c>
      <c r="H330" t="s">
        <v>221</v>
      </c>
      <c r="O330" s="31">
        <v>1</v>
      </c>
      <c r="P330" s="34">
        <f t="shared" si="5"/>
        <v>0.5</v>
      </c>
    </row>
    <row r="331" spans="1:16" x14ac:dyDescent="0.25">
      <c r="A331">
        <v>328</v>
      </c>
      <c r="B331" s="15" t="s">
        <v>570</v>
      </c>
      <c r="C331" t="s">
        <v>572</v>
      </c>
      <c r="D331" s="19" t="s">
        <v>574</v>
      </c>
      <c r="E331">
        <v>1</v>
      </c>
      <c r="F331" s="13">
        <v>113</v>
      </c>
      <c r="G331" s="11" t="s">
        <v>46</v>
      </c>
      <c r="H331" t="s">
        <v>221</v>
      </c>
      <c r="O331" s="31">
        <v>1</v>
      </c>
      <c r="P331" s="34">
        <f t="shared" si="5"/>
        <v>0.5</v>
      </c>
    </row>
    <row r="332" spans="1:16" x14ac:dyDescent="0.25">
      <c r="A332">
        <v>329</v>
      </c>
      <c r="B332" s="15" t="s">
        <v>570</v>
      </c>
      <c r="C332" t="s">
        <v>575</v>
      </c>
      <c r="D332" s="19" t="s">
        <v>576</v>
      </c>
      <c r="E332">
        <v>1</v>
      </c>
      <c r="F332" s="13">
        <v>113</v>
      </c>
      <c r="G332" s="11" t="s">
        <v>254</v>
      </c>
      <c r="H332" t="s">
        <v>221</v>
      </c>
      <c r="O332" s="31">
        <v>1</v>
      </c>
      <c r="P332" s="34">
        <f t="shared" si="5"/>
        <v>0.5</v>
      </c>
    </row>
    <row r="333" spans="1:16" x14ac:dyDescent="0.25">
      <c r="A333">
        <v>330</v>
      </c>
      <c r="B333" s="15" t="s">
        <v>570</v>
      </c>
      <c r="C333" t="s">
        <v>580</v>
      </c>
      <c r="D333" s="19" t="s">
        <v>577</v>
      </c>
      <c r="E333">
        <v>0</v>
      </c>
      <c r="F333" s="13">
        <v>115</v>
      </c>
      <c r="G333" s="11" t="s">
        <v>601</v>
      </c>
      <c r="H333" t="s">
        <v>221</v>
      </c>
      <c r="O333" s="31">
        <v>3</v>
      </c>
      <c r="P333" s="34">
        <f t="shared" si="5"/>
        <v>0</v>
      </c>
    </row>
    <row r="334" spans="1:16" x14ac:dyDescent="0.25">
      <c r="A334">
        <v>331</v>
      </c>
      <c r="B334" s="15" t="s">
        <v>570</v>
      </c>
      <c r="C334" t="s">
        <v>580</v>
      </c>
      <c r="D334" s="19" t="s">
        <v>578</v>
      </c>
      <c r="E334">
        <v>0</v>
      </c>
      <c r="F334" s="13">
        <v>115</v>
      </c>
      <c r="G334" s="11" t="s">
        <v>601</v>
      </c>
      <c r="H334" t="s">
        <v>221</v>
      </c>
      <c r="O334" s="31">
        <v>3</v>
      </c>
      <c r="P334" s="34">
        <f t="shared" si="5"/>
        <v>0</v>
      </c>
    </row>
    <row r="335" spans="1:16" x14ac:dyDescent="0.25">
      <c r="A335">
        <v>332</v>
      </c>
      <c r="B335" s="15" t="s">
        <v>570</v>
      </c>
      <c r="C335" t="s">
        <v>580</v>
      </c>
      <c r="D335" s="19" t="s">
        <v>175</v>
      </c>
      <c r="E335">
        <v>0</v>
      </c>
      <c r="F335" s="13">
        <v>115</v>
      </c>
      <c r="G335" s="11" t="s">
        <v>169</v>
      </c>
      <c r="H335" t="s">
        <v>221</v>
      </c>
      <c r="O335" s="31">
        <v>0</v>
      </c>
      <c r="P335" s="34">
        <f t="shared" si="5"/>
        <v>0</v>
      </c>
    </row>
    <row r="336" spans="1:16" x14ac:dyDescent="0.25">
      <c r="A336">
        <v>333</v>
      </c>
      <c r="B336" s="15" t="s">
        <v>570</v>
      </c>
      <c r="C336" t="s">
        <v>580</v>
      </c>
      <c r="D336" s="19" t="s">
        <v>598</v>
      </c>
      <c r="E336">
        <v>0</v>
      </c>
      <c r="F336" s="13">
        <v>115</v>
      </c>
      <c r="G336" s="11" t="s">
        <v>169</v>
      </c>
      <c r="H336" t="s">
        <v>221</v>
      </c>
      <c r="O336" s="31">
        <v>0</v>
      </c>
      <c r="P336" s="34">
        <f t="shared" si="5"/>
        <v>0</v>
      </c>
    </row>
    <row r="337" spans="1:16" x14ac:dyDescent="0.25">
      <c r="A337">
        <v>334</v>
      </c>
      <c r="B337" s="15" t="s">
        <v>570</v>
      </c>
      <c r="C337" t="s">
        <v>580</v>
      </c>
      <c r="D337" s="19" t="s">
        <v>599</v>
      </c>
      <c r="E337">
        <v>0</v>
      </c>
      <c r="F337" s="13">
        <v>115</v>
      </c>
      <c r="G337" s="11" t="s">
        <v>169</v>
      </c>
      <c r="H337" t="s">
        <v>221</v>
      </c>
      <c r="O337" s="31">
        <v>0</v>
      </c>
      <c r="P337" s="34">
        <f t="shared" si="5"/>
        <v>0</v>
      </c>
    </row>
    <row r="338" spans="1:16" x14ac:dyDescent="0.25">
      <c r="A338">
        <v>335</v>
      </c>
      <c r="B338" s="15" t="s">
        <v>570</v>
      </c>
      <c r="C338" t="s">
        <v>580</v>
      </c>
      <c r="D338" s="19" t="s">
        <v>579</v>
      </c>
      <c r="E338">
        <v>1</v>
      </c>
      <c r="F338" s="13">
        <v>115</v>
      </c>
      <c r="G338" s="11" t="s">
        <v>46</v>
      </c>
      <c r="H338" t="s">
        <v>221</v>
      </c>
      <c r="O338" s="31">
        <v>1</v>
      </c>
      <c r="P338" s="34">
        <f t="shared" si="5"/>
        <v>0.5</v>
      </c>
    </row>
    <row r="339" spans="1:16" x14ac:dyDescent="0.25">
      <c r="A339">
        <v>336</v>
      </c>
      <c r="B339" s="15" t="s">
        <v>570</v>
      </c>
      <c r="C339" t="s">
        <v>580</v>
      </c>
      <c r="D339" s="19" t="s">
        <v>600</v>
      </c>
      <c r="E339">
        <v>0</v>
      </c>
      <c r="F339" s="13">
        <v>115</v>
      </c>
      <c r="G339" s="11" t="s">
        <v>597</v>
      </c>
      <c r="H339" t="s">
        <v>221</v>
      </c>
      <c r="O339" s="31">
        <v>1</v>
      </c>
      <c r="P339" s="34">
        <f t="shared" si="5"/>
        <v>0</v>
      </c>
    </row>
    <row r="340" spans="1:16" x14ac:dyDescent="0.25">
      <c r="A340">
        <v>337</v>
      </c>
      <c r="B340" s="15" t="s">
        <v>570</v>
      </c>
      <c r="C340" t="s">
        <v>580</v>
      </c>
      <c r="D340" s="19" t="s">
        <v>621</v>
      </c>
      <c r="E340">
        <v>0</v>
      </c>
      <c r="F340" s="13">
        <v>115</v>
      </c>
      <c r="G340" s="11" t="s">
        <v>601</v>
      </c>
      <c r="H340" t="s">
        <v>221</v>
      </c>
      <c r="O340" s="31">
        <v>3</v>
      </c>
      <c r="P340" s="34">
        <f t="shared" si="5"/>
        <v>0</v>
      </c>
    </row>
    <row r="341" spans="1:16" x14ac:dyDescent="0.25">
      <c r="A341">
        <v>338</v>
      </c>
      <c r="B341" s="15" t="s">
        <v>570</v>
      </c>
      <c r="C341" t="s">
        <v>580</v>
      </c>
      <c r="D341" s="19" t="s">
        <v>581</v>
      </c>
      <c r="E341">
        <v>0</v>
      </c>
      <c r="F341" s="13">
        <v>115</v>
      </c>
      <c r="G341" s="11" t="s">
        <v>597</v>
      </c>
      <c r="H341" t="s">
        <v>221</v>
      </c>
      <c r="O341" s="31">
        <v>1</v>
      </c>
      <c r="P341" s="34">
        <f t="shared" si="5"/>
        <v>0</v>
      </c>
    </row>
    <row r="342" spans="1:16" x14ac:dyDescent="0.25">
      <c r="A342">
        <v>339</v>
      </c>
      <c r="B342" s="15" t="s">
        <v>570</v>
      </c>
      <c r="C342" t="s">
        <v>582</v>
      </c>
      <c r="D342" s="19" t="s">
        <v>620</v>
      </c>
      <c r="E342">
        <v>0</v>
      </c>
      <c r="F342" s="13">
        <v>116</v>
      </c>
      <c r="G342" s="11" t="s">
        <v>601</v>
      </c>
      <c r="H342" t="s">
        <v>221</v>
      </c>
      <c r="O342" s="31">
        <v>3</v>
      </c>
      <c r="P342" s="34">
        <f t="shared" si="5"/>
        <v>0</v>
      </c>
    </row>
    <row r="343" spans="1:16" x14ac:dyDescent="0.25">
      <c r="A343">
        <v>340</v>
      </c>
      <c r="B343" s="15" t="s">
        <v>570</v>
      </c>
      <c r="C343" t="s">
        <v>582</v>
      </c>
      <c r="D343" s="19" t="s">
        <v>583</v>
      </c>
      <c r="E343">
        <v>0</v>
      </c>
      <c r="F343" s="13">
        <v>116</v>
      </c>
      <c r="G343" s="11" t="s">
        <v>597</v>
      </c>
      <c r="H343" t="s">
        <v>221</v>
      </c>
      <c r="O343" s="31">
        <v>1</v>
      </c>
      <c r="P343" s="34">
        <f t="shared" si="5"/>
        <v>0</v>
      </c>
    </row>
    <row r="344" spans="1:16" x14ac:dyDescent="0.25">
      <c r="A344">
        <v>341</v>
      </c>
      <c r="B344" s="15" t="s">
        <v>570</v>
      </c>
      <c r="C344" t="s">
        <v>582</v>
      </c>
      <c r="D344" s="19" t="s">
        <v>605</v>
      </c>
      <c r="E344">
        <v>0</v>
      </c>
      <c r="F344" s="13">
        <v>116</v>
      </c>
      <c r="G344" s="11" t="s">
        <v>597</v>
      </c>
      <c r="H344" t="s">
        <v>221</v>
      </c>
      <c r="O344" s="31">
        <v>1</v>
      </c>
      <c r="P344" s="34">
        <f t="shared" si="5"/>
        <v>0</v>
      </c>
    </row>
    <row r="345" spans="1:16" x14ac:dyDescent="0.25">
      <c r="A345">
        <v>342</v>
      </c>
      <c r="B345" s="15" t="s">
        <v>570</v>
      </c>
      <c r="C345" t="s">
        <v>582</v>
      </c>
      <c r="D345" s="19" t="s">
        <v>584</v>
      </c>
      <c r="E345">
        <v>0</v>
      </c>
      <c r="F345" s="13">
        <v>116</v>
      </c>
      <c r="G345" s="11" t="s">
        <v>597</v>
      </c>
      <c r="H345" t="s">
        <v>221</v>
      </c>
      <c r="O345" s="31">
        <v>1</v>
      </c>
      <c r="P345" s="34">
        <f t="shared" si="5"/>
        <v>0</v>
      </c>
    </row>
    <row r="346" spans="1:16" x14ac:dyDescent="0.25">
      <c r="A346">
        <v>343</v>
      </c>
      <c r="B346" s="15" t="s">
        <v>570</v>
      </c>
      <c r="C346" t="s">
        <v>582</v>
      </c>
      <c r="D346" s="19" t="s">
        <v>585</v>
      </c>
      <c r="E346">
        <v>0</v>
      </c>
      <c r="F346" s="13">
        <v>116</v>
      </c>
      <c r="G346" s="11" t="s">
        <v>597</v>
      </c>
      <c r="H346" t="s">
        <v>221</v>
      </c>
      <c r="O346" s="31">
        <v>1</v>
      </c>
      <c r="P346" s="34">
        <f t="shared" si="5"/>
        <v>0</v>
      </c>
    </row>
    <row r="347" spans="1:16" x14ac:dyDescent="0.25">
      <c r="A347">
        <v>344</v>
      </c>
      <c r="B347" s="15" t="s">
        <v>570</v>
      </c>
      <c r="C347" t="s">
        <v>582</v>
      </c>
      <c r="D347" s="19" t="s">
        <v>586</v>
      </c>
      <c r="E347">
        <v>0</v>
      </c>
      <c r="F347" s="13">
        <v>116</v>
      </c>
      <c r="G347" s="11" t="s">
        <v>597</v>
      </c>
      <c r="H347" t="s">
        <v>221</v>
      </c>
      <c r="O347" s="31">
        <v>1</v>
      </c>
      <c r="P347" s="34">
        <f t="shared" si="5"/>
        <v>0</v>
      </c>
    </row>
    <row r="348" spans="1:16" x14ac:dyDescent="0.25">
      <c r="A348">
        <v>345</v>
      </c>
      <c r="B348" s="15" t="s">
        <v>570</v>
      </c>
      <c r="C348" t="s">
        <v>582</v>
      </c>
      <c r="D348" s="19" t="s">
        <v>596</v>
      </c>
      <c r="E348">
        <v>0</v>
      </c>
      <c r="F348" s="13">
        <v>116</v>
      </c>
      <c r="G348" s="11" t="s">
        <v>597</v>
      </c>
      <c r="H348" t="s">
        <v>221</v>
      </c>
      <c r="O348" s="31">
        <v>1</v>
      </c>
      <c r="P348" s="34">
        <f t="shared" si="5"/>
        <v>0</v>
      </c>
    </row>
    <row r="349" spans="1:16" x14ac:dyDescent="0.25">
      <c r="A349">
        <v>346</v>
      </c>
      <c r="B349" s="15" t="s">
        <v>570</v>
      </c>
      <c r="C349" t="s">
        <v>582</v>
      </c>
      <c r="D349" s="19" t="s">
        <v>587</v>
      </c>
      <c r="E349">
        <v>0</v>
      </c>
      <c r="F349" s="13">
        <v>116</v>
      </c>
      <c r="G349" s="11" t="s">
        <v>597</v>
      </c>
      <c r="H349" t="s">
        <v>221</v>
      </c>
      <c r="O349" s="31">
        <v>1</v>
      </c>
      <c r="P349" s="34">
        <f t="shared" si="5"/>
        <v>0</v>
      </c>
    </row>
    <row r="350" spans="1:16" x14ac:dyDescent="0.25">
      <c r="A350">
        <v>347</v>
      </c>
      <c r="B350" s="15" t="s">
        <v>570</v>
      </c>
      <c r="C350" t="s">
        <v>582</v>
      </c>
      <c r="D350" s="19" t="s">
        <v>588</v>
      </c>
      <c r="E350">
        <v>0</v>
      </c>
      <c r="F350" s="13">
        <v>116</v>
      </c>
      <c r="G350" s="11" t="s">
        <v>597</v>
      </c>
      <c r="H350" t="s">
        <v>221</v>
      </c>
      <c r="O350" s="31">
        <v>1</v>
      </c>
      <c r="P350" s="34">
        <f t="shared" si="5"/>
        <v>0</v>
      </c>
    </row>
    <row r="351" spans="1:16" x14ac:dyDescent="0.25">
      <c r="A351">
        <v>348</v>
      </c>
      <c r="B351" s="15" t="s">
        <v>570</v>
      </c>
      <c r="C351" t="s">
        <v>582</v>
      </c>
      <c r="D351" s="19" t="s">
        <v>589</v>
      </c>
      <c r="E351">
        <v>0</v>
      </c>
      <c r="F351" s="13">
        <v>116</v>
      </c>
      <c r="G351" s="11" t="s">
        <v>597</v>
      </c>
      <c r="H351" t="s">
        <v>221</v>
      </c>
      <c r="O351" s="31">
        <v>1</v>
      </c>
      <c r="P351" s="34">
        <f t="shared" si="5"/>
        <v>0</v>
      </c>
    </row>
    <row r="352" spans="1:16" x14ac:dyDescent="0.25">
      <c r="A352">
        <v>349</v>
      </c>
      <c r="B352" s="15" t="s">
        <v>570</v>
      </c>
      <c r="C352" t="s">
        <v>582</v>
      </c>
      <c r="D352" s="19" t="s">
        <v>590</v>
      </c>
      <c r="E352">
        <v>0</v>
      </c>
      <c r="F352" s="13">
        <v>116</v>
      </c>
      <c r="G352" s="11" t="s">
        <v>597</v>
      </c>
      <c r="H352" t="s">
        <v>221</v>
      </c>
      <c r="O352" s="31">
        <v>1</v>
      </c>
      <c r="P352" s="34">
        <f t="shared" si="5"/>
        <v>0</v>
      </c>
    </row>
    <row r="353" spans="1:16" x14ac:dyDescent="0.25">
      <c r="A353">
        <v>350</v>
      </c>
      <c r="B353" s="15" t="s">
        <v>570</v>
      </c>
      <c r="C353" t="s">
        <v>582</v>
      </c>
      <c r="D353" s="19" t="s">
        <v>591</v>
      </c>
      <c r="E353">
        <v>0</v>
      </c>
      <c r="F353" s="13">
        <v>116</v>
      </c>
      <c r="G353" s="11" t="s">
        <v>597</v>
      </c>
      <c r="H353" t="s">
        <v>221</v>
      </c>
      <c r="O353" s="31">
        <v>1</v>
      </c>
      <c r="P353" s="34">
        <f t="shared" si="5"/>
        <v>0</v>
      </c>
    </row>
    <row r="354" spans="1:16" x14ac:dyDescent="0.25">
      <c r="A354">
        <v>351</v>
      </c>
      <c r="B354" s="15" t="s">
        <v>570</v>
      </c>
      <c r="C354" t="s">
        <v>582</v>
      </c>
      <c r="D354" s="19" t="s">
        <v>592</v>
      </c>
      <c r="E354">
        <v>0</v>
      </c>
      <c r="F354" s="13">
        <v>116</v>
      </c>
      <c r="G354" s="11" t="s">
        <v>597</v>
      </c>
      <c r="H354" t="s">
        <v>221</v>
      </c>
      <c r="O354" s="31">
        <v>1</v>
      </c>
      <c r="P354" s="34">
        <f t="shared" si="5"/>
        <v>0</v>
      </c>
    </row>
    <row r="355" spans="1:16" x14ac:dyDescent="0.25">
      <c r="A355">
        <v>352</v>
      </c>
      <c r="B355" s="15" t="s">
        <v>570</v>
      </c>
      <c r="C355" t="s">
        <v>582</v>
      </c>
      <c r="D355" s="19" t="s">
        <v>593</v>
      </c>
      <c r="E355">
        <v>0</v>
      </c>
      <c r="F355" s="13">
        <v>116</v>
      </c>
      <c r="G355" s="11" t="s">
        <v>597</v>
      </c>
      <c r="H355" t="s">
        <v>221</v>
      </c>
      <c r="O355" s="31">
        <v>1</v>
      </c>
      <c r="P355" s="34">
        <f t="shared" si="5"/>
        <v>0</v>
      </c>
    </row>
    <row r="356" spans="1:16" x14ac:dyDescent="0.25">
      <c r="A356">
        <v>353</v>
      </c>
      <c r="B356" s="15" t="s">
        <v>570</v>
      </c>
      <c r="C356" t="s">
        <v>582</v>
      </c>
      <c r="D356" s="19" t="s">
        <v>594</v>
      </c>
      <c r="E356">
        <v>0</v>
      </c>
      <c r="F356" s="13">
        <v>116</v>
      </c>
      <c r="G356" s="11" t="s">
        <v>597</v>
      </c>
      <c r="H356" t="s">
        <v>221</v>
      </c>
      <c r="O356" s="31">
        <v>1</v>
      </c>
      <c r="P356" s="34">
        <f t="shared" si="5"/>
        <v>0</v>
      </c>
    </row>
    <row r="357" spans="1:16" x14ac:dyDescent="0.25">
      <c r="A357">
        <v>354</v>
      </c>
      <c r="B357" s="15" t="s">
        <v>570</v>
      </c>
      <c r="C357" t="s">
        <v>582</v>
      </c>
      <c r="D357" s="19" t="s">
        <v>595</v>
      </c>
      <c r="E357">
        <v>0</v>
      </c>
      <c r="F357" s="13">
        <v>116</v>
      </c>
      <c r="G357" s="11" t="s">
        <v>597</v>
      </c>
      <c r="H357" t="s">
        <v>221</v>
      </c>
      <c r="O357" s="31">
        <v>1</v>
      </c>
      <c r="P357" s="34">
        <f t="shared" si="5"/>
        <v>0</v>
      </c>
    </row>
    <row r="358" spans="1:16" x14ac:dyDescent="0.25">
      <c r="A358">
        <v>355</v>
      </c>
      <c r="B358" s="15" t="s">
        <v>570</v>
      </c>
      <c r="C358" t="s">
        <v>602</v>
      </c>
      <c r="D358" s="19" t="s">
        <v>609</v>
      </c>
      <c r="E358">
        <v>0</v>
      </c>
      <c r="F358" s="13">
        <v>117</v>
      </c>
      <c r="G358" s="11" t="s">
        <v>601</v>
      </c>
      <c r="H358" t="s">
        <v>221</v>
      </c>
      <c r="O358" s="31">
        <v>3</v>
      </c>
      <c r="P358" s="34">
        <f t="shared" si="5"/>
        <v>0</v>
      </c>
    </row>
    <row r="359" spans="1:16" x14ac:dyDescent="0.25">
      <c r="A359">
        <v>356</v>
      </c>
      <c r="B359" s="15" t="s">
        <v>570</v>
      </c>
      <c r="C359" t="s">
        <v>602</v>
      </c>
      <c r="D359" s="19" t="s">
        <v>610</v>
      </c>
      <c r="E359">
        <v>0</v>
      </c>
      <c r="F359" s="13">
        <v>117</v>
      </c>
      <c r="G359" s="11" t="s">
        <v>601</v>
      </c>
      <c r="H359" t="s">
        <v>221</v>
      </c>
      <c r="O359" s="31">
        <v>3</v>
      </c>
      <c r="P359" s="34">
        <f t="shared" si="5"/>
        <v>0</v>
      </c>
    </row>
    <row r="360" spans="1:16" x14ac:dyDescent="0.25">
      <c r="A360">
        <v>357</v>
      </c>
      <c r="B360" s="15" t="s">
        <v>570</v>
      </c>
      <c r="C360" t="s">
        <v>602</v>
      </c>
      <c r="D360" s="19" t="s">
        <v>607</v>
      </c>
      <c r="E360">
        <v>0</v>
      </c>
      <c r="F360" s="13">
        <v>117</v>
      </c>
      <c r="G360" s="11" t="s">
        <v>601</v>
      </c>
      <c r="H360" t="s">
        <v>221</v>
      </c>
      <c r="O360" s="31">
        <v>3</v>
      </c>
      <c r="P360" s="34">
        <f t="shared" si="5"/>
        <v>0</v>
      </c>
    </row>
    <row r="361" spans="1:16" x14ac:dyDescent="0.25">
      <c r="A361">
        <v>358</v>
      </c>
      <c r="B361" s="15" t="s">
        <v>570</v>
      </c>
      <c r="C361" t="s">
        <v>602</v>
      </c>
      <c r="D361" s="19" t="s">
        <v>606</v>
      </c>
      <c r="E361">
        <v>0</v>
      </c>
      <c r="F361" s="13">
        <v>117</v>
      </c>
      <c r="G361" s="11" t="s">
        <v>601</v>
      </c>
      <c r="H361" t="s">
        <v>221</v>
      </c>
      <c r="O361" s="31">
        <v>3</v>
      </c>
      <c r="P361" s="34">
        <f t="shared" si="5"/>
        <v>0</v>
      </c>
    </row>
    <row r="362" spans="1:16" x14ac:dyDescent="0.25">
      <c r="A362">
        <v>359</v>
      </c>
      <c r="B362" s="15" t="s">
        <v>570</v>
      </c>
      <c r="C362" t="s">
        <v>602</v>
      </c>
      <c r="D362" s="19" t="s">
        <v>608</v>
      </c>
      <c r="E362">
        <v>0</v>
      </c>
      <c r="F362" s="13">
        <v>117</v>
      </c>
      <c r="G362" s="11" t="s">
        <v>601</v>
      </c>
      <c r="H362" t="s">
        <v>221</v>
      </c>
      <c r="O362" s="31">
        <v>3</v>
      </c>
      <c r="P362" s="34">
        <f t="shared" si="5"/>
        <v>0</v>
      </c>
    </row>
    <row r="363" spans="1:16" x14ac:dyDescent="0.25">
      <c r="A363">
        <v>360</v>
      </c>
      <c r="B363" s="15" t="s">
        <v>570</v>
      </c>
      <c r="C363" t="s">
        <v>602</v>
      </c>
      <c r="D363" s="19" t="s">
        <v>611</v>
      </c>
      <c r="E363">
        <v>0</v>
      </c>
      <c r="F363" s="13">
        <v>117</v>
      </c>
      <c r="G363" s="11" t="s">
        <v>601</v>
      </c>
      <c r="H363" t="s">
        <v>221</v>
      </c>
      <c r="O363" s="31">
        <v>3</v>
      </c>
      <c r="P363" s="34">
        <f t="shared" si="5"/>
        <v>0</v>
      </c>
    </row>
    <row r="364" spans="1:16" x14ac:dyDescent="0.25">
      <c r="A364">
        <v>361</v>
      </c>
      <c r="B364" s="15" t="s">
        <v>570</v>
      </c>
      <c r="C364" t="s">
        <v>602</v>
      </c>
      <c r="D364" s="19" t="s">
        <v>612</v>
      </c>
      <c r="E364">
        <v>0</v>
      </c>
      <c r="F364" s="13">
        <v>117</v>
      </c>
      <c r="G364" s="11" t="s">
        <v>601</v>
      </c>
      <c r="H364" t="s">
        <v>221</v>
      </c>
      <c r="O364" s="31">
        <v>3</v>
      </c>
      <c r="P364" s="34">
        <f t="shared" si="5"/>
        <v>0</v>
      </c>
    </row>
    <row r="365" spans="1:16" x14ac:dyDescent="0.25">
      <c r="A365">
        <v>362</v>
      </c>
      <c r="B365" s="15" t="s">
        <v>570</v>
      </c>
      <c r="C365" t="s">
        <v>602</v>
      </c>
      <c r="D365" s="19" t="s">
        <v>613</v>
      </c>
      <c r="E365">
        <v>0</v>
      </c>
      <c r="F365" s="13">
        <v>117</v>
      </c>
      <c r="G365" s="11" t="s">
        <v>601</v>
      </c>
      <c r="H365" t="s">
        <v>221</v>
      </c>
      <c r="O365" s="31">
        <v>3</v>
      </c>
      <c r="P365" s="34">
        <f t="shared" si="5"/>
        <v>0</v>
      </c>
    </row>
    <row r="366" spans="1:16" x14ac:dyDescent="0.25">
      <c r="A366">
        <v>363</v>
      </c>
      <c r="B366" s="15" t="s">
        <v>570</v>
      </c>
      <c r="C366" t="s">
        <v>602</v>
      </c>
      <c r="D366" s="19" t="s">
        <v>614</v>
      </c>
      <c r="E366">
        <v>0</v>
      </c>
      <c r="F366" s="13">
        <v>117</v>
      </c>
      <c r="G366" s="11" t="s">
        <v>601</v>
      </c>
      <c r="H366" t="s">
        <v>221</v>
      </c>
      <c r="O366" s="31">
        <v>3</v>
      </c>
      <c r="P366" s="34">
        <f t="shared" si="5"/>
        <v>0</v>
      </c>
    </row>
    <row r="367" spans="1:16" x14ac:dyDescent="0.25">
      <c r="A367">
        <v>364</v>
      </c>
      <c r="B367" s="15" t="s">
        <v>570</v>
      </c>
      <c r="C367" t="s">
        <v>602</v>
      </c>
      <c r="D367" s="19" t="s">
        <v>615</v>
      </c>
      <c r="E367">
        <v>0</v>
      </c>
      <c r="F367" s="13">
        <v>117</v>
      </c>
      <c r="G367" s="11" t="s">
        <v>601</v>
      </c>
      <c r="H367" t="s">
        <v>221</v>
      </c>
      <c r="O367" s="31">
        <v>3</v>
      </c>
      <c r="P367" s="34">
        <f t="shared" si="5"/>
        <v>0</v>
      </c>
    </row>
    <row r="368" spans="1:16" x14ac:dyDescent="0.25">
      <c r="A368">
        <v>365</v>
      </c>
      <c r="B368" s="15" t="s">
        <v>570</v>
      </c>
      <c r="C368" t="s">
        <v>602</v>
      </c>
      <c r="D368" s="19" t="s">
        <v>616</v>
      </c>
      <c r="E368">
        <v>0</v>
      </c>
      <c r="F368" s="13">
        <v>117</v>
      </c>
      <c r="G368" s="11" t="s">
        <v>601</v>
      </c>
      <c r="H368" t="s">
        <v>221</v>
      </c>
      <c r="O368" s="31">
        <v>3</v>
      </c>
      <c r="P368" s="34">
        <f t="shared" si="5"/>
        <v>0</v>
      </c>
    </row>
    <row r="369" spans="1:16" x14ac:dyDescent="0.25">
      <c r="A369">
        <v>366</v>
      </c>
      <c r="B369" s="15" t="s">
        <v>570</v>
      </c>
      <c r="C369" t="s">
        <v>602</v>
      </c>
      <c r="D369" s="19" t="s">
        <v>617</v>
      </c>
      <c r="E369">
        <v>0</v>
      </c>
      <c r="F369" s="13">
        <v>117</v>
      </c>
      <c r="G369" s="11" t="s">
        <v>601</v>
      </c>
      <c r="H369" t="s">
        <v>221</v>
      </c>
      <c r="O369" s="31">
        <v>3</v>
      </c>
      <c r="P369" s="34">
        <f t="shared" si="5"/>
        <v>0</v>
      </c>
    </row>
    <row r="370" spans="1:16" x14ac:dyDescent="0.25">
      <c r="A370">
        <v>367</v>
      </c>
      <c r="B370" s="15" t="s">
        <v>570</v>
      </c>
      <c r="C370" t="s">
        <v>602</v>
      </c>
      <c r="D370" s="19" t="s">
        <v>618</v>
      </c>
      <c r="E370">
        <v>0</v>
      </c>
      <c r="F370" s="13">
        <v>117</v>
      </c>
      <c r="G370" s="11" t="s">
        <v>601</v>
      </c>
      <c r="H370" t="s">
        <v>221</v>
      </c>
      <c r="O370" s="31">
        <v>3</v>
      </c>
      <c r="P370" s="34">
        <f t="shared" si="5"/>
        <v>0</v>
      </c>
    </row>
    <row r="371" spans="1:16" x14ac:dyDescent="0.25">
      <c r="A371">
        <v>368</v>
      </c>
      <c r="B371" s="15" t="s">
        <v>570</v>
      </c>
      <c r="C371" t="s">
        <v>602</v>
      </c>
      <c r="D371" s="19" t="s">
        <v>619</v>
      </c>
      <c r="E371">
        <v>0</v>
      </c>
      <c r="F371" s="13">
        <v>117</v>
      </c>
      <c r="G371" s="11" t="s">
        <v>601</v>
      </c>
      <c r="H371" t="s">
        <v>221</v>
      </c>
      <c r="O371" s="31">
        <v>3</v>
      </c>
      <c r="P371" s="34">
        <f t="shared" si="5"/>
        <v>0</v>
      </c>
    </row>
    <row r="372" spans="1:16" x14ac:dyDescent="0.25">
      <c r="A372">
        <v>369</v>
      </c>
      <c r="B372" s="15" t="s">
        <v>570</v>
      </c>
      <c r="C372" t="s">
        <v>603</v>
      </c>
      <c r="D372" s="19" t="s">
        <v>622</v>
      </c>
      <c r="E372">
        <v>0</v>
      </c>
      <c r="F372" s="13">
        <v>117</v>
      </c>
      <c r="G372" s="11" t="s">
        <v>676</v>
      </c>
      <c r="H372" t="s">
        <v>221</v>
      </c>
      <c r="O372" s="31">
        <v>0</v>
      </c>
      <c r="P372" s="34">
        <f t="shared" si="5"/>
        <v>0</v>
      </c>
    </row>
    <row r="373" spans="1:16" x14ac:dyDescent="0.25">
      <c r="A373">
        <v>370</v>
      </c>
      <c r="B373" s="15" t="s">
        <v>570</v>
      </c>
      <c r="C373" t="s">
        <v>603</v>
      </c>
      <c r="D373" s="19" t="s">
        <v>623</v>
      </c>
      <c r="E373">
        <v>0</v>
      </c>
      <c r="F373" s="13">
        <v>117</v>
      </c>
      <c r="G373" s="11" t="s">
        <v>676</v>
      </c>
      <c r="H373" t="s">
        <v>221</v>
      </c>
      <c r="O373" s="31">
        <v>0</v>
      </c>
      <c r="P373" s="34">
        <f t="shared" si="5"/>
        <v>0</v>
      </c>
    </row>
    <row r="374" spans="1:16" x14ac:dyDescent="0.25">
      <c r="A374">
        <v>371</v>
      </c>
      <c r="B374" s="15" t="s">
        <v>570</v>
      </c>
      <c r="C374" t="s">
        <v>603</v>
      </c>
      <c r="D374" s="19" t="s">
        <v>624</v>
      </c>
      <c r="E374">
        <v>0</v>
      </c>
      <c r="F374" s="13">
        <v>117</v>
      </c>
      <c r="G374" s="11" t="s">
        <v>676</v>
      </c>
      <c r="H374" t="s">
        <v>221</v>
      </c>
      <c r="O374" s="31">
        <v>0</v>
      </c>
      <c r="P374" s="34">
        <f t="shared" si="5"/>
        <v>0</v>
      </c>
    </row>
    <row r="375" spans="1:16" x14ac:dyDescent="0.25">
      <c r="A375">
        <v>372</v>
      </c>
      <c r="B375" s="15" t="s">
        <v>570</v>
      </c>
      <c r="C375" t="s">
        <v>603</v>
      </c>
      <c r="D375" s="19" t="s">
        <v>625</v>
      </c>
      <c r="E375">
        <v>0</v>
      </c>
      <c r="F375" s="13">
        <v>117</v>
      </c>
      <c r="G375" s="11" t="s">
        <v>676</v>
      </c>
      <c r="H375" t="s">
        <v>221</v>
      </c>
      <c r="O375" s="31">
        <v>0</v>
      </c>
      <c r="P375" s="34">
        <f t="shared" si="5"/>
        <v>0</v>
      </c>
    </row>
    <row r="376" spans="1:16" x14ac:dyDescent="0.25">
      <c r="A376">
        <v>373</v>
      </c>
      <c r="B376" s="15" t="s">
        <v>570</v>
      </c>
      <c r="C376" t="s">
        <v>603</v>
      </c>
      <c r="D376" s="19" t="s">
        <v>626</v>
      </c>
      <c r="E376">
        <v>0</v>
      </c>
      <c r="F376" s="13">
        <v>117</v>
      </c>
      <c r="G376" s="11" t="s">
        <v>676</v>
      </c>
      <c r="H376" t="s">
        <v>221</v>
      </c>
      <c r="O376" s="31">
        <v>0</v>
      </c>
      <c r="P376" s="34">
        <f t="shared" si="5"/>
        <v>0</v>
      </c>
    </row>
    <row r="377" spans="1:16" x14ac:dyDescent="0.25">
      <c r="A377">
        <v>374</v>
      </c>
      <c r="B377" s="15" t="s">
        <v>570</v>
      </c>
      <c r="C377" t="s">
        <v>603</v>
      </c>
      <c r="D377" s="19" t="s">
        <v>627</v>
      </c>
      <c r="E377">
        <v>0</v>
      </c>
      <c r="F377" s="13">
        <v>117</v>
      </c>
      <c r="G377" s="11" t="s">
        <v>676</v>
      </c>
      <c r="H377" t="s">
        <v>221</v>
      </c>
      <c r="O377" s="31">
        <v>0</v>
      </c>
      <c r="P377" s="34">
        <f t="shared" si="5"/>
        <v>0</v>
      </c>
    </row>
    <row r="378" spans="1:16" x14ac:dyDescent="0.25">
      <c r="A378">
        <v>375</v>
      </c>
      <c r="B378" s="15" t="s">
        <v>570</v>
      </c>
      <c r="C378" t="s">
        <v>603</v>
      </c>
      <c r="D378" s="19" t="s">
        <v>628</v>
      </c>
      <c r="E378">
        <v>0</v>
      </c>
      <c r="F378" s="13">
        <v>117</v>
      </c>
      <c r="G378" s="11" t="s">
        <v>676</v>
      </c>
      <c r="H378" t="s">
        <v>221</v>
      </c>
      <c r="O378" s="31">
        <v>0</v>
      </c>
      <c r="P378" s="34">
        <f t="shared" si="5"/>
        <v>0</v>
      </c>
    </row>
    <row r="379" spans="1:16" x14ac:dyDescent="0.25">
      <c r="A379">
        <v>376</v>
      </c>
      <c r="B379" s="15" t="s">
        <v>570</v>
      </c>
      <c r="C379" t="s">
        <v>603</v>
      </c>
      <c r="D379" s="19" t="s">
        <v>629</v>
      </c>
      <c r="E379">
        <v>0</v>
      </c>
      <c r="F379" s="13">
        <v>117</v>
      </c>
      <c r="G379" s="11" t="s">
        <v>676</v>
      </c>
      <c r="H379" t="s">
        <v>221</v>
      </c>
      <c r="O379" s="31">
        <v>0</v>
      </c>
      <c r="P379" s="34">
        <f t="shared" si="5"/>
        <v>0</v>
      </c>
    </row>
    <row r="380" spans="1:16" x14ac:dyDescent="0.25">
      <c r="A380">
        <v>377</v>
      </c>
      <c r="B380" s="15" t="s">
        <v>570</v>
      </c>
      <c r="C380" t="s">
        <v>603</v>
      </c>
      <c r="D380" s="19" t="s">
        <v>630</v>
      </c>
      <c r="E380">
        <v>0</v>
      </c>
      <c r="F380" s="13">
        <v>117</v>
      </c>
      <c r="G380" s="11" t="s">
        <v>676</v>
      </c>
      <c r="H380" t="s">
        <v>221</v>
      </c>
      <c r="O380" s="31">
        <v>0</v>
      </c>
      <c r="P380" s="34">
        <f t="shared" si="5"/>
        <v>0</v>
      </c>
    </row>
    <row r="381" spans="1:16" x14ac:dyDescent="0.25">
      <c r="A381">
        <v>378</v>
      </c>
      <c r="B381" s="15" t="s">
        <v>570</v>
      </c>
      <c r="C381" t="s">
        <v>603</v>
      </c>
      <c r="D381" s="19" t="s">
        <v>631</v>
      </c>
      <c r="E381">
        <v>0</v>
      </c>
      <c r="F381" s="13">
        <v>117</v>
      </c>
      <c r="G381" s="11" t="s">
        <v>676</v>
      </c>
      <c r="H381" t="s">
        <v>221</v>
      </c>
      <c r="O381" s="31">
        <v>0</v>
      </c>
      <c r="P381" s="34">
        <f t="shared" si="5"/>
        <v>0</v>
      </c>
    </row>
    <row r="382" spans="1:16" x14ac:dyDescent="0.25">
      <c r="A382">
        <v>379</v>
      </c>
      <c r="B382" s="15" t="s">
        <v>570</v>
      </c>
      <c r="C382" t="s">
        <v>603</v>
      </c>
      <c r="D382" s="19" t="s">
        <v>632</v>
      </c>
      <c r="E382">
        <v>0</v>
      </c>
      <c r="F382" s="13">
        <v>117</v>
      </c>
      <c r="G382" s="11" t="s">
        <v>676</v>
      </c>
      <c r="H382" t="s">
        <v>221</v>
      </c>
      <c r="O382" s="31">
        <v>0</v>
      </c>
      <c r="P382" s="34">
        <f t="shared" si="5"/>
        <v>0</v>
      </c>
    </row>
    <row r="383" spans="1:16" x14ac:dyDescent="0.25">
      <c r="A383">
        <v>380</v>
      </c>
      <c r="B383" s="15" t="s">
        <v>570</v>
      </c>
      <c r="C383" t="s">
        <v>603</v>
      </c>
      <c r="D383" s="19" t="s">
        <v>633</v>
      </c>
      <c r="E383">
        <v>0</v>
      </c>
      <c r="F383" s="13">
        <v>117</v>
      </c>
      <c r="G383" s="11" t="s">
        <v>676</v>
      </c>
      <c r="H383" t="s">
        <v>221</v>
      </c>
      <c r="O383" s="31">
        <v>0</v>
      </c>
      <c r="P383" s="34">
        <f t="shared" si="5"/>
        <v>0</v>
      </c>
    </row>
    <row r="384" spans="1:16" x14ac:dyDescent="0.25">
      <c r="A384">
        <v>381</v>
      </c>
      <c r="B384" s="15" t="s">
        <v>570</v>
      </c>
      <c r="C384" t="s">
        <v>603</v>
      </c>
      <c r="D384" s="19" t="s">
        <v>634</v>
      </c>
      <c r="E384">
        <v>0</v>
      </c>
      <c r="F384" s="13">
        <v>117</v>
      </c>
      <c r="G384" s="11" t="s">
        <v>676</v>
      </c>
      <c r="H384" t="s">
        <v>221</v>
      </c>
      <c r="O384" s="31">
        <v>0</v>
      </c>
      <c r="P384" s="34">
        <f t="shared" si="5"/>
        <v>0</v>
      </c>
    </row>
    <row r="385" spans="1:16" x14ac:dyDescent="0.25">
      <c r="A385">
        <v>382</v>
      </c>
      <c r="B385" s="15" t="s">
        <v>570</v>
      </c>
      <c r="C385" t="s">
        <v>603</v>
      </c>
      <c r="D385" s="19" t="s">
        <v>635</v>
      </c>
      <c r="E385">
        <v>0</v>
      </c>
      <c r="F385" s="13">
        <v>117</v>
      </c>
      <c r="G385" s="11" t="s">
        <v>676</v>
      </c>
      <c r="H385" t="s">
        <v>221</v>
      </c>
      <c r="O385" s="31">
        <v>0</v>
      </c>
      <c r="P385" s="34">
        <f t="shared" si="5"/>
        <v>0</v>
      </c>
    </row>
    <row r="386" spans="1:16" x14ac:dyDescent="0.25">
      <c r="A386">
        <v>383</v>
      </c>
      <c r="B386" s="15" t="s">
        <v>570</v>
      </c>
      <c r="C386" t="s">
        <v>603</v>
      </c>
      <c r="D386" s="19" t="s">
        <v>636</v>
      </c>
      <c r="E386">
        <v>0</v>
      </c>
      <c r="F386" s="13">
        <v>117</v>
      </c>
      <c r="G386" s="11" t="s">
        <v>676</v>
      </c>
      <c r="H386" t="s">
        <v>221</v>
      </c>
      <c r="O386" s="31">
        <v>0</v>
      </c>
      <c r="P386" s="34">
        <f t="shared" si="5"/>
        <v>0</v>
      </c>
    </row>
    <row r="387" spans="1:16" x14ac:dyDescent="0.25">
      <c r="A387">
        <v>384</v>
      </c>
      <c r="B387" s="15" t="s">
        <v>570</v>
      </c>
      <c r="C387" t="s">
        <v>603</v>
      </c>
      <c r="D387" s="19" t="s">
        <v>637</v>
      </c>
      <c r="E387">
        <v>0</v>
      </c>
      <c r="F387" s="13">
        <v>117</v>
      </c>
      <c r="G387" s="11" t="s">
        <v>676</v>
      </c>
      <c r="H387" t="s">
        <v>221</v>
      </c>
      <c r="O387" s="31">
        <v>0</v>
      </c>
      <c r="P387" s="34">
        <f t="shared" si="5"/>
        <v>0</v>
      </c>
    </row>
    <row r="388" spans="1:16" x14ac:dyDescent="0.25">
      <c r="A388">
        <v>385</v>
      </c>
      <c r="B388" s="15" t="s">
        <v>570</v>
      </c>
      <c r="C388" t="s">
        <v>603</v>
      </c>
      <c r="D388" s="19" t="s">
        <v>638</v>
      </c>
      <c r="E388">
        <v>0</v>
      </c>
      <c r="F388" s="13">
        <v>117</v>
      </c>
      <c r="G388" s="11" t="s">
        <v>676</v>
      </c>
      <c r="H388" t="s">
        <v>221</v>
      </c>
      <c r="O388" s="31">
        <v>0</v>
      </c>
      <c r="P388" s="34">
        <f t="shared" si="5"/>
        <v>0</v>
      </c>
    </row>
    <row r="389" spans="1:16" x14ac:dyDescent="0.25">
      <c r="A389">
        <v>386</v>
      </c>
      <c r="B389" s="15" t="s">
        <v>570</v>
      </c>
      <c r="C389" t="s">
        <v>603</v>
      </c>
      <c r="D389" s="19" t="s">
        <v>644</v>
      </c>
      <c r="E389">
        <v>0</v>
      </c>
      <c r="F389" s="13">
        <v>117</v>
      </c>
      <c r="G389" s="11" t="s">
        <v>676</v>
      </c>
      <c r="H389" t="s">
        <v>221</v>
      </c>
      <c r="O389" s="31">
        <v>0</v>
      </c>
      <c r="P389" s="34">
        <f t="shared" si="5"/>
        <v>0</v>
      </c>
    </row>
    <row r="390" spans="1:16" x14ac:dyDescent="0.25">
      <c r="A390">
        <v>387</v>
      </c>
      <c r="B390" s="15" t="s">
        <v>570</v>
      </c>
      <c r="C390" t="s">
        <v>603</v>
      </c>
      <c r="D390" s="19" t="s">
        <v>639</v>
      </c>
      <c r="E390">
        <v>0</v>
      </c>
      <c r="F390" s="13">
        <v>117</v>
      </c>
      <c r="G390" s="11" t="s">
        <v>676</v>
      </c>
      <c r="H390" t="s">
        <v>221</v>
      </c>
      <c r="O390" s="31">
        <v>0</v>
      </c>
      <c r="P390" s="34">
        <f t="shared" si="5"/>
        <v>0</v>
      </c>
    </row>
    <row r="391" spans="1:16" x14ac:dyDescent="0.25">
      <c r="A391">
        <v>388</v>
      </c>
      <c r="B391" s="15" t="s">
        <v>570</v>
      </c>
      <c r="C391" t="s">
        <v>603</v>
      </c>
      <c r="D391" s="19" t="s">
        <v>640</v>
      </c>
      <c r="E391">
        <v>0</v>
      </c>
      <c r="F391" s="13">
        <v>117</v>
      </c>
      <c r="G391" s="11" t="s">
        <v>676</v>
      </c>
      <c r="H391" t="s">
        <v>221</v>
      </c>
      <c r="O391" s="31">
        <v>0</v>
      </c>
      <c r="P391" s="34">
        <f t="shared" si="5"/>
        <v>0</v>
      </c>
    </row>
    <row r="392" spans="1:16" x14ac:dyDescent="0.25">
      <c r="A392">
        <v>389</v>
      </c>
      <c r="B392" s="15" t="s">
        <v>570</v>
      </c>
      <c r="C392" t="s">
        <v>603</v>
      </c>
      <c r="D392" s="19" t="s">
        <v>641</v>
      </c>
      <c r="E392">
        <v>0</v>
      </c>
      <c r="F392" s="13">
        <v>117</v>
      </c>
      <c r="G392" s="11" t="s">
        <v>676</v>
      </c>
      <c r="H392" t="s">
        <v>221</v>
      </c>
      <c r="O392" s="31">
        <v>0</v>
      </c>
      <c r="P392" s="34">
        <f t="shared" si="5"/>
        <v>0</v>
      </c>
    </row>
    <row r="393" spans="1:16" x14ac:dyDescent="0.25">
      <c r="A393">
        <v>390</v>
      </c>
      <c r="B393" s="15" t="s">
        <v>570</v>
      </c>
      <c r="C393" t="s">
        <v>603</v>
      </c>
      <c r="D393" s="19" t="s">
        <v>642</v>
      </c>
      <c r="E393">
        <v>0</v>
      </c>
      <c r="F393" s="13">
        <v>117</v>
      </c>
      <c r="G393" s="11" t="s">
        <v>676</v>
      </c>
      <c r="H393" t="s">
        <v>221</v>
      </c>
      <c r="O393" s="31">
        <v>0</v>
      </c>
      <c r="P393" s="34">
        <f t="shared" si="5"/>
        <v>0</v>
      </c>
    </row>
    <row r="394" spans="1:16" x14ac:dyDescent="0.25">
      <c r="A394">
        <v>391</v>
      </c>
      <c r="B394" s="15" t="s">
        <v>570</v>
      </c>
      <c r="C394" t="s">
        <v>603</v>
      </c>
      <c r="D394" s="19" t="s">
        <v>643</v>
      </c>
      <c r="E394">
        <v>0</v>
      </c>
      <c r="F394" s="13">
        <v>117</v>
      </c>
      <c r="G394" s="11" t="s">
        <v>676</v>
      </c>
      <c r="H394" t="s">
        <v>221</v>
      </c>
      <c r="O394" s="31">
        <v>0</v>
      </c>
      <c r="P394" s="34">
        <f t="shared" si="5"/>
        <v>0</v>
      </c>
    </row>
    <row r="395" spans="1:16" x14ac:dyDescent="0.25">
      <c r="A395">
        <v>392</v>
      </c>
      <c r="B395" s="15" t="s">
        <v>570</v>
      </c>
      <c r="C395" t="s">
        <v>603</v>
      </c>
      <c r="D395" s="19" t="s">
        <v>645</v>
      </c>
      <c r="E395">
        <v>0</v>
      </c>
      <c r="F395" s="13">
        <v>117</v>
      </c>
      <c r="G395" s="11" t="s">
        <v>676</v>
      </c>
      <c r="H395" t="s">
        <v>221</v>
      </c>
      <c r="O395" s="31">
        <v>0</v>
      </c>
      <c r="P395" s="34">
        <f t="shared" si="5"/>
        <v>0</v>
      </c>
    </row>
    <row r="396" spans="1:16" x14ac:dyDescent="0.25">
      <c r="A396">
        <v>393</v>
      </c>
      <c r="B396" s="15" t="s">
        <v>570</v>
      </c>
      <c r="C396" t="s">
        <v>603</v>
      </c>
      <c r="D396" s="19" t="s">
        <v>646</v>
      </c>
      <c r="E396">
        <v>0</v>
      </c>
      <c r="F396" s="13">
        <v>117</v>
      </c>
      <c r="G396" s="11" t="s">
        <v>676</v>
      </c>
      <c r="H396" t="s">
        <v>221</v>
      </c>
      <c r="O396" s="31">
        <v>0</v>
      </c>
      <c r="P396" s="34">
        <f t="shared" si="5"/>
        <v>0</v>
      </c>
    </row>
    <row r="397" spans="1:16" x14ac:dyDescent="0.25">
      <c r="A397">
        <v>394</v>
      </c>
      <c r="B397" s="15" t="s">
        <v>570</v>
      </c>
      <c r="C397" t="s">
        <v>604</v>
      </c>
      <c r="D397" s="19" t="s">
        <v>647</v>
      </c>
      <c r="E397">
        <v>0</v>
      </c>
      <c r="F397" s="13">
        <v>117</v>
      </c>
      <c r="G397" s="11" t="s">
        <v>676</v>
      </c>
      <c r="H397" t="s">
        <v>221</v>
      </c>
      <c r="O397" s="31">
        <v>0</v>
      </c>
      <c r="P397" s="34">
        <f t="shared" si="5"/>
        <v>0</v>
      </c>
    </row>
    <row r="398" spans="1:16" x14ac:dyDescent="0.25">
      <c r="A398">
        <v>395</v>
      </c>
      <c r="B398" s="15" t="s">
        <v>570</v>
      </c>
      <c r="C398" t="s">
        <v>604</v>
      </c>
      <c r="D398" s="19" t="s">
        <v>648</v>
      </c>
      <c r="E398">
        <v>0</v>
      </c>
      <c r="F398" s="13">
        <v>117</v>
      </c>
      <c r="G398" s="11" t="s">
        <v>676</v>
      </c>
      <c r="H398" t="s">
        <v>221</v>
      </c>
      <c r="O398" s="31">
        <v>0</v>
      </c>
      <c r="P398" s="34">
        <f t="shared" si="5"/>
        <v>0</v>
      </c>
    </row>
    <row r="399" spans="1:16" x14ac:dyDescent="0.25">
      <c r="A399">
        <v>396</v>
      </c>
      <c r="B399" s="15" t="s">
        <v>570</v>
      </c>
      <c r="C399" t="s">
        <v>604</v>
      </c>
      <c r="D399" s="19" t="s">
        <v>649</v>
      </c>
      <c r="E399">
        <v>0</v>
      </c>
      <c r="F399" s="13">
        <v>117</v>
      </c>
      <c r="G399" s="11" t="s">
        <v>676</v>
      </c>
      <c r="H399" t="s">
        <v>221</v>
      </c>
      <c r="O399" s="31">
        <v>0</v>
      </c>
      <c r="P399" s="34">
        <f t="shared" si="5"/>
        <v>0</v>
      </c>
    </row>
    <row r="400" spans="1:16" x14ac:dyDescent="0.25">
      <c r="A400">
        <v>397</v>
      </c>
      <c r="B400" s="15" t="s">
        <v>570</v>
      </c>
      <c r="C400" t="s">
        <v>604</v>
      </c>
      <c r="D400" s="19" t="s">
        <v>650</v>
      </c>
      <c r="E400">
        <v>0</v>
      </c>
      <c r="F400" s="13">
        <v>117</v>
      </c>
      <c r="G400" s="11" t="s">
        <v>676</v>
      </c>
      <c r="H400" t="s">
        <v>221</v>
      </c>
      <c r="O400" s="31">
        <v>0</v>
      </c>
      <c r="P400" s="34">
        <f t="shared" si="5"/>
        <v>0</v>
      </c>
    </row>
    <row r="401" spans="1:16" x14ac:dyDescent="0.25">
      <c r="A401">
        <v>398</v>
      </c>
      <c r="B401" s="15" t="s">
        <v>570</v>
      </c>
      <c r="C401" t="s">
        <v>604</v>
      </c>
      <c r="D401" s="19" t="s">
        <v>651</v>
      </c>
      <c r="E401">
        <v>0</v>
      </c>
      <c r="F401" s="13">
        <v>117</v>
      </c>
      <c r="G401" s="11" t="s">
        <v>676</v>
      </c>
      <c r="H401" t="s">
        <v>221</v>
      </c>
      <c r="O401" s="31">
        <v>0</v>
      </c>
      <c r="P401" s="34">
        <f t="shared" si="5"/>
        <v>0</v>
      </c>
    </row>
    <row r="402" spans="1:16" x14ac:dyDescent="0.25">
      <c r="A402">
        <v>399</v>
      </c>
      <c r="B402" s="15" t="s">
        <v>570</v>
      </c>
      <c r="C402" t="s">
        <v>604</v>
      </c>
      <c r="D402" s="19" t="s">
        <v>652</v>
      </c>
      <c r="E402">
        <v>0</v>
      </c>
      <c r="F402" s="13">
        <v>117</v>
      </c>
      <c r="G402" s="11" t="s">
        <v>676</v>
      </c>
      <c r="H402" t="s">
        <v>221</v>
      </c>
      <c r="O402" s="31">
        <v>0</v>
      </c>
      <c r="P402" s="34">
        <f t="shared" si="5"/>
        <v>0</v>
      </c>
    </row>
    <row r="403" spans="1:16" x14ac:dyDescent="0.25">
      <c r="A403">
        <v>400</v>
      </c>
      <c r="B403" s="15" t="s">
        <v>570</v>
      </c>
      <c r="C403" t="s">
        <v>604</v>
      </c>
      <c r="D403" s="19" t="s">
        <v>653</v>
      </c>
      <c r="E403">
        <v>0</v>
      </c>
      <c r="F403" s="13">
        <v>117</v>
      </c>
      <c r="G403" s="11" t="s">
        <v>676</v>
      </c>
      <c r="H403" t="s">
        <v>221</v>
      </c>
      <c r="O403" s="31">
        <v>0</v>
      </c>
      <c r="P403" s="34">
        <f t="shared" si="5"/>
        <v>0</v>
      </c>
    </row>
    <row r="404" spans="1:16" x14ac:dyDescent="0.25">
      <c r="A404">
        <v>401</v>
      </c>
      <c r="B404" s="15" t="s">
        <v>570</v>
      </c>
      <c r="C404" t="s">
        <v>604</v>
      </c>
      <c r="D404" s="19" t="s">
        <v>654</v>
      </c>
      <c r="E404">
        <v>0</v>
      </c>
      <c r="F404" s="13">
        <v>117</v>
      </c>
      <c r="G404" s="11" t="s">
        <v>676</v>
      </c>
      <c r="H404" t="s">
        <v>221</v>
      </c>
      <c r="O404" s="31">
        <v>0</v>
      </c>
      <c r="P404" s="34">
        <f t="shared" si="5"/>
        <v>0</v>
      </c>
    </row>
    <row r="405" spans="1:16" x14ac:dyDescent="0.25">
      <c r="A405">
        <v>402</v>
      </c>
      <c r="B405" s="15" t="s">
        <v>570</v>
      </c>
      <c r="C405" t="s">
        <v>604</v>
      </c>
      <c r="D405" s="19" t="s">
        <v>655</v>
      </c>
      <c r="E405">
        <v>0</v>
      </c>
      <c r="F405" s="13">
        <v>117</v>
      </c>
      <c r="G405" s="11" t="s">
        <v>676</v>
      </c>
      <c r="H405" t="s">
        <v>221</v>
      </c>
      <c r="O405" s="31">
        <v>0</v>
      </c>
      <c r="P405" s="34">
        <f t="shared" si="5"/>
        <v>0</v>
      </c>
    </row>
    <row r="406" spans="1:16" x14ac:dyDescent="0.25">
      <c r="A406">
        <v>403</v>
      </c>
      <c r="B406" s="15" t="s">
        <v>570</v>
      </c>
      <c r="C406" t="s">
        <v>604</v>
      </c>
      <c r="D406" s="19" t="s">
        <v>656</v>
      </c>
      <c r="E406">
        <v>0</v>
      </c>
      <c r="F406" s="13">
        <v>117</v>
      </c>
      <c r="G406" s="11" t="s">
        <v>676</v>
      </c>
      <c r="H406" t="s">
        <v>221</v>
      </c>
      <c r="O406" s="31">
        <v>0</v>
      </c>
      <c r="P406" s="34">
        <f t="shared" si="5"/>
        <v>0</v>
      </c>
    </row>
    <row r="407" spans="1:16" x14ac:dyDescent="0.25">
      <c r="A407">
        <v>404</v>
      </c>
      <c r="B407" s="15" t="s">
        <v>570</v>
      </c>
      <c r="C407" t="s">
        <v>604</v>
      </c>
      <c r="D407" s="19" t="s">
        <v>657</v>
      </c>
      <c r="E407">
        <v>0</v>
      </c>
      <c r="F407" s="13">
        <v>117</v>
      </c>
      <c r="G407" s="11" t="s">
        <v>676</v>
      </c>
      <c r="H407" t="s">
        <v>221</v>
      </c>
      <c r="O407" s="31">
        <v>0</v>
      </c>
      <c r="P407" s="34">
        <f t="shared" si="5"/>
        <v>0</v>
      </c>
    </row>
    <row r="408" spans="1:16" x14ac:dyDescent="0.25">
      <c r="A408">
        <v>405</v>
      </c>
      <c r="B408" s="15" t="s">
        <v>570</v>
      </c>
      <c r="C408" t="s">
        <v>604</v>
      </c>
      <c r="D408" s="19" t="s">
        <v>658</v>
      </c>
      <c r="E408">
        <v>0</v>
      </c>
      <c r="F408" s="13">
        <v>117</v>
      </c>
      <c r="G408" s="11" t="s">
        <v>676</v>
      </c>
      <c r="H408" t="s">
        <v>221</v>
      </c>
      <c r="O408" s="31">
        <v>0</v>
      </c>
      <c r="P408" s="34">
        <f t="shared" si="5"/>
        <v>0</v>
      </c>
    </row>
    <row r="409" spans="1:16" x14ac:dyDescent="0.25">
      <c r="A409">
        <v>406</v>
      </c>
      <c r="B409" s="15" t="s">
        <v>570</v>
      </c>
      <c r="C409" t="s">
        <v>604</v>
      </c>
      <c r="D409" s="19" t="s">
        <v>659</v>
      </c>
      <c r="E409">
        <v>0</v>
      </c>
      <c r="F409" s="13">
        <v>117</v>
      </c>
      <c r="G409" s="11" t="s">
        <v>676</v>
      </c>
      <c r="H409" t="s">
        <v>221</v>
      </c>
      <c r="O409" s="31">
        <v>0</v>
      </c>
      <c r="P409" s="34">
        <f t="shared" si="5"/>
        <v>0</v>
      </c>
    </row>
    <row r="410" spans="1:16" x14ac:dyDescent="0.25">
      <c r="A410">
        <v>407</v>
      </c>
      <c r="B410" s="15" t="s">
        <v>570</v>
      </c>
      <c r="C410" t="s">
        <v>604</v>
      </c>
      <c r="D410" s="19" t="s">
        <v>660</v>
      </c>
      <c r="E410">
        <v>0</v>
      </c>
      <c r="F410" s="13">
        <v>117</v>
      </c>
      <c r="G410" s="11" t="s">
        <v>676</v>
      </c>
      <c r="H410" t="s">
        <v>221</v>
      </c>
      <c r="O410" s="31">
        <v>0</v>
      </c>
      <c r="P410" s="34">
        <f t="shared" si="5"/>
        <v>0</v>
      </c>
    </row>
    <row r="411" spans="1:16" x14ac:dyDescent="0.25">
      <c r="A411">
        <v>408</v>
      </c>
      <c r="B411" s="15" t="s">
        <v>570</v>
      </c>
      <c r="C411" t="s">
        <v>604</v>
      </c>
      <c r="D411" s="19" t="s">
        <v>661</v>
      </c>
      <c r="E411">
        <v>0</v>
      </c>
      <c r="F411" s="13">
        <v>117</v>
      </c>
      <c r="G411" s="11" t="s">
        <v>676</v>
      </c>
      <c r="H411" t="s">
        <v>221</v>
      </c>
      <c r="O411" s="31">
        <v>0</v>
      </c>
      <c r="P411" s="34">
        <f t="shared" si="5"/>
        <v>0</v>
      </c>
    </row>
    <row r="412" spans="1:16" x14ac:dyDescent="0.25">
      <c r="A412">
        <v>409</v>
      </c>
      <c r="B412" s="15" t="s">
        <v>570</v>
      </c>
      <c r="C412" t="s">
        <v>604</v>
      </c>
      <c r="D412" s="19" t="s">
        <v>662</v>
      </c>
      <c r="E412">
        <v>0</v>
      </c>
      <c r="F412" s="13">
        <v>117</v>
      </c>
      <c r="G412" s="11" t="s">
        <v>676</v>
      </c>
      <c r="H412" t="s">
        <v>221</v>
      </c>
      <c r="O412" s="31">
        <v>0</v>
      </c>
      <c r="P412" s="34">
        <f t="shared" si="5"/>
        <v>0</v>
      </c>
    </row>
    <row r="413" spans="1:16" x14ac:dyDescent="0.25">
      <c r="A413">
        <v>410</v>
      </c>
      <c r="B413" s="15" t="s">
        <v>570</v>
      </c>
      <c r="C413" t="s">
        <v>604</v>
      </c>
      <c r="D413" s="19" t="s">
        <v>675</v>
      </c>
      <c r="E413">
        <v>0</v>
      </c>
      <c r="F413" s="13">
        <v>117</v>
      </c>
      <c r="G413" s="11" t="s">
        <v>676</v>
      </c>
      <c r="H413" t="s">
        <v>221</v>
      </c>
      <c r="O413" s="31">
        <v>0</v>
      </c>
      <c r="P413" s="34">
        <f t="shared" si="5"/>
        <v>0</v>
      </c>
    </row>
    <row r="414" spans="1:16" x14ac:dyDescent="0.25">
      <c r="A414">
        <v>411</v>
      </c>
      <c r="B414" s="15" t="s">
        <v>570</v>
      </c>
      <c r="C414" t="s">
        <v>604</v>
      </c>
      <c r="D414" s="19" t="s">
        <v>663</v>
      </c>
      <c r="E414">
        <v>0</v>
      </c>
      <c r="F414" s="13">
        <v>117</v>
      </c>
      <c r="G414" s="11" t="s">
        <v>676</v>
      </c>
      <c r="H414" t="s">
        <v>221</v>
      </c>
      <c r="O414" s="31">
        <v>0</v>
      </c>
      <c r="P414" s="34">
        <f t="shared" si="5"/>
        <v>0</v>
      </c>
    </row>
    <row r="415" spans="1:16" x14ac:dyDescent="0.25">
      <c r="A415">
        <v>412</v>
      </c>
      <c r="B415" s="15" t="s">
        <v>570</v>
      </c>
      <c r="C415" t="s">
        <v>604</v>
      </c>
      <c r="D415" s="19" t="s">
        <v>664</v>
      </c>
      <c r="E415">
        <v>0</v>
      </c>
      <c r="F415" s="13">
        <v>117</v>
      </c>
      <c r="G415" s="11" t="s">
        <v>676</v>
      </c>
      <c r="H415" t="s">
        <v>221</v>
      </c>
      <c r="O415" s="31">
        <v>0</v>
      </c>
      <c r="P415" s="34">
        <f t="shared" si="5"/>
        <v>0</v>
      </c>
    </row>
    <row r="416" spans="1:16" x14ac:dyDescent="0.25">
      <c r="A416">
        <v>413</v>
      </c>
      <c r="B416" s="15" t="s">
        <v>570</v>
      </c>
      <c r="C416" t="s">
        <v>604</v>
      </c>
      <c r="D416" s="19" t="s">
        <v>665</v>
      </c>
      <c r="E416">
        <v>0</v>
      </c>
      <c r="F416" s="13">
        <v>117</v>
      </c>
      <c r="G416" s="11" t="s">
        <v>676</v>
      </c>
      <c r="H416" t="s">
        <v>221</v>
      </c>
      <c r="O416" s="31">
        <v>0</v>
      </c>
      <c r="P416" s="34">
        <f t="shared" si="5"/>
        <v>0</v>
      </c>
    </row>
    <row r="417" spans="1:16" x14ac:dyDescent="0.25">
      <c r="A417">
        <v>414</v>
      </c>
      <c r="B417" s="15" t="s">
        <v>570</v>
      </c>
      <c r="C417" t="s">
        <v>604</v>
      </c>
      <c r="D417" s="19" t="s">
        <v>666</v>
      </c>
      <c r="E417">
        <v>0</v>
      </c>
      <c r="F417" s="13">
        <v>117</v>
      </c>
      <c r="G417" s="11" t="s">
        <v>676</v>
      </c>
      <c r="H417" t="s">
        <v>221</v>
      </c>
      <c r="O417" s="31">
        <v>0</v>
      </c>
      <c r="P417" s="34">
        <f t="shared" si="5"/>
        <v>0</v>
      </c>
    </row>
    <row r="418" spans="1:16" x14ac:dyDescent="0.25">
      <c r="A418">
        <v>415</v>
      </c>
      <c r="B418" s="15" t="s">
        <v>570</v>
      </c>
      <c r="C418" t="s">
        <v>604</v>
      </c>
      <c r="D418" s="19" t="s">
        <v>667</v>
      </c>
      <c r="E418">
        <v>0</v>
      </c>
      <c r="F418" s="13">
        <v>117</v>
      </c>
      <c r="G418" s="11" t="s">
        <v>676</v>
      </c>
      <c r="H418" t="s">
        <v>221</v>
      </c>
      <c r="O418" s="31">
        <v>0</v>
      </c>
      <c r="P418" s="34">
        <f t="shared" si="5"/>
        <v>0</v>
      </c>
    </row>
    <row r="419" spans="1:16" x14ac:dyDescent="0.25">
      <c r="A419">
        <v>416</v>
      </c>
      <c r="B419" s="15" t="s">
        <v>570</v>
      </c>
      <c r="C419" t="s">
        <v>604</v>
      </c>
      <c r="D419" s="19" t="s">
        <v>668</v>
      </c>
      <c r="E419">
        <v>0</v>
      </c>
      <c r="F419" s="13">
        <v>117</v>
      </c>
      <c r="G419" s="11" t="s">
        <v>676</v>
      </c>
      <c r="H419" t="s">
        <v>221</v>
      </c>
      <c r="O419" s="31">
        <v>0</v>
      </c>
      <c r="P419" s="34">
        <f t="shared" si="5"/>
        <v>0</v>
      </c>
    </row>
    <row r="420" spans="1:16" x14ac:dyDescent="0.25">
      <c r="A420">
        <v>417</v>
      </c>
      <c r="B420" s="15" t="s">
        <v>570</v>
      </c>
      <c r="C420" t="s">
        <v>604</v>
      </c>
      <c r="D420" s="19" t="s">
        <v>669</v>
      </c>
      <c r="E420">
        <v>0</v>
      </c>
      <c r="F420" s="13">
        <v>117</v>
      </c>
      <c r="G420" s="11" t="s">
        <v>676</v>
      </c>
      <c r="H420" t="s">
        <v>221</v>
      </c>
      <c r="O420" s="31">
        <v>0</v>
      </c>
      <c r="P420" s="34">
        <f t="shared" si="5"/>
        <v>0</v>
      </c>
    </row>
    <row r="421" spans="1:16" x14ac:dyDescent="0.25">
      <c r="A421">
        <v>418</v>
      </c>
      <c r="B421" s="15" t="s">
        <v>570</v>
      </c>
      <c r="C421" t="s">
        <v>604</v>
      </c>
      <c r="D421" s="19" t="s">
        <v>670</v>
      </c>
      <c r="E421">
        <v>0</v>
      </c>
      <c r="F421" s="13">
        <v>117</v>
      </c>
      <c r="G421" s="11" t="s">
        <v>676</v>
      </c>
      <c r="H421" t="s">
        <v>221</v>
      </c>
      <c r="O421" s="31">
        <v>0</v>
      </c>
      <c r="P421" s="34">
        <f t="shared" si="5"/>
        <v>0</v>
      </c>
    </row>
    <row r="422" spans="1:16" x14ac:dyDescent="0.25">
      <c r="A422">
        <v>419</v>
      </c>
      <c r="B422" s="15" t="s">
        <v>570</v>
      </c>
      <c r="C422" t="s">
        <v>604</v>
      </c>
      <c r="D422" s="19" t="s">
        <v>671</v>
      </c>
      <c r="E422">
        <v>0</v>
      </c>
      <c r="F422" s="13">
        <v>117</v>
      </c>
      <c r="G422" s="11" t="s">
        <v>676</v>
      </c>
      <c r="H422" t="s">
        <v>221</v>
      </c>
      <c r="O422" s="31">
        <v>0</v>
      </c>
      <c r="P422" s="34">
        <f t="shared" si="5"/>
        <v>0</v>
      </c>
    </row>
    <row r="423" spans="1:16" x14ac:dyDescent="0.25">
      <c r="A423">
        <v>420</v>
      </c>
      <c r="B423" s="15" t="s">
        <v>570</v>
      </c>
      <c r="C423" t="s">
        <v>604</v>
      </c>
      <c r="D423" s="19" t="s">
        <v>672</v>
      </c>
      <c r="E423">
        <v>0</v>
      </c>
      <c r="F423" s="13">
        <v>117</v>
      </c>
      <c r="G423" s="11" t="s">
        <v>676</v>
      </c>
      <c r="H423" t="s">
        <v>221</v>
      </c>
      <c r="O423" s="31">
        <v>0</v>
      </c>
      <c r="P423" s="34">
        <f t="shared" si="5"/>
        <v>0</v>
      </c>
    </row>
    <row r="424" spans="1:16" x14ac:dyDescent="0.25">
      <c r="A424">
        <v>421</v>
      </c>
      <c r="B424" s="15" t="s">
        <v>570</v>
      </c>
      <c r="C424" t="s">
        <v>604</v>
      </c>
      <c r="D424" s="19" t="s">
        <v>673</v>
      </c>
      <c r="E424">
        <v>0</v>
      </c>
      <c r="F424" s="13">
        <v>117</v>
      </c>
      <c r="G424" s="11" t="s">
        <v>676</v>
      </c>
      <c r="H424" t="s">
        <v>221</v>
      </c>
      <c r="O424" s="31">
        <v>0</v>
      </c>
      <c r="P424" s="34">
        <f t="shared" si="5"/>
        <v>0</v>
      </c>
    </row>
    <row r="425" spans="1:16" x14ac:dyDescent="0.25">
      <c r="A425">
        <v>422</v>
      </c>
      <c r="B425" s="15" t="s">
        <v>570</v>
      </c>
      <c r="C425" t="s">
        <v>604</v>
      </c>
      <c r="D425" s="19" t="s">
        <v>674</v>
      </c>
      <c r="E425">
        <v>0</v>
      </c>
      <c r="F425" s="13">
        <v>117</v>
      </c>
      <c r="G425" s="11" t="s">
        <v>601</v>
      </c>
      <c r="H425" t="s">
        <v>221</v>
      </c>
      <c r="O425" s="31">
        <v>3</v>
      </c>
      <c r="P425" s="34">
        <f t="shared" si="5"/>
        <v>0</v>
      </c>
    </row>
    <row r="426" spans="1:16" x14ac:dyDescent="0.25">
      <c r="A426">
        <v>423</v>
      </c>
      <c r="B426" s="15" t="s">
        <v>570</v>
      </c>
      <c r="C426" t="s">
        <v>677</v>
      </c>
      <c r="D426" s="19" t="s">
        <v>435</v>
      </c>
      <c r="E426">
        <v>1</v>
      </c>
      <c r="F426" s="13">
        <v>118</v>
      </c>
      <c r="G426" s="11" t="s">
        <v>236</v>
      </c>
      <c r="H426" t="s">
        <v>221</v>
      </c>
      <c r="O426" s="31">
        <v>1</v>
      </c>
      <c r="P426" s="34">
        <f t="shared" si="5"/>
        <v>0.5</v>
      </c>
    </row>
    <row r="427" spans="1:16" x14ac:dyDescent="0.25">
      <c r="A427">
        <v>424</v>
      </c>
      <c r="B427" s="15" t="s">
        <v>570</v>
      </c>
      <c r="C427" t="s">
        <v>677</v>
      </c>
      <c r="D427" s="19" t="s">
        <v>678</v>
      </c>
      <c r="E427">
        <v>1</v>
      </c>
      <c r="F427" s="13">
        <v>118</v>
      </c>
      <c r="G427" s="11" t="s">
        <v>46</v>
      </c>
      <c r="H427" t="s">
        <v>221</v>
      </c>
      <c r="O427" s="31">
        <v>1</v>
      </c>
      <c r="P427" s="34">
        <f t="shared" si="5"/>
        <v>0.5</v>
      </c>
    </row>
    <row r="428" spans="1:16" x14ac:dyDescent="0.25">
      <c r="A428">
        <v>425</v>
      </c>
      <c r="B428" s="15" t="s">
        <v>570</v>
      </c>
      <c r="C428" t="s">
        <v>677</v>
      </c>
      <c r="D428" s="19" t="s">
        <v>199</v>
      </c>
      <c r="E428">
        <v>1</v>
      </c>
      <c r="F428" s="13">
        <v>118</v>
      </c>
      <c r="G428" s="11" t="s">
        <v>236</v>
      </c>
      <c r="H428" t="s">
        <v>221</v>
      </c>
      <c r="O428" s="31">
        <v>1</v>
      </c>
      <c r="P428" s="34">
        <f t="shared" si="5"/>
        <v>0.5</v>
      </c>
    </row>
    <row r="429" spans="1:16" x14ac:dyDescent="0.25">
      <c r="A429">
        <v>426</v>
      </c>
      <c r="B429" s="15" t="s">
        <v>570</v>
      </c>
      <c r="C429" t="s">
        <v>677</v>
      </c>
      <c r="D429" s="19" t="s">
        <v>679</v>
      </c>
      <c r="E429">
        <v>1</v>
      </c>
      <c r="F429" s="13">
        <v>118</v>
      </c>
      <c r="G429" s="11" t="s">
        <v>46</v>
      </c>
      <c r="H429" t="s">
        <v>221</v>
      </c>
      <c r="O429" s="31">
        <v>1</v>
      </c>
      <c r="P429" s="34">
        <f t="shared" si="5"/>
        <v>0.5</v>
      </c>
    </row>
    <row r="430" spans="1:16" x14ac:dyDescent="0.25">
      <c r="A430">
        <v>427</v>
      </c>
      <c r="B430" s="15" t="s">
        <v>570</v>
      </c>
      <c r="C430" t="s">
        <v>677</v>
      </c>
      <c r="D430" s="19" t="s">
        <v>186</v>
      </c>
      <c r="E430">
        <v>1</v>
      </c>
      <c r="F430" s="13">
        <v>118</v>
      </c>
      <c r="G430" s="11" t="s">
        <v>236</v>
      </c>
      <c r="H430" t="s">
        <v>221</v>
      </c>
      <c r="O430" s="31">
        <v>1</v>
      </c>
      <c r="P430" s="34">
        <f t="shared" si="5"/>
        <v>0.5</v>
      </c>
    </row>
    <row r="431" spans="1:16" x14ac:dyDescent="0.25">
      <c r="A431">
        <v>428</v>
      </c>
      <c r="B431" s="15" t="s">
        <v>570</v>
      </c>
      <c r="C431" t="s">
        <v>677</v>
      </c>
      <c r="D431" s="19" t="s">
        <v>680</v>
      </c>
      <c r="E431">
        <v>1</v>
      </c>
      <c r="F431" s="13">
        <v>118</v>
      </c>
      <c r="G431" s="11" t="s">
        <v>46</v>
      </c>
      <c r="H431" t="s">
        <v>221</v>
      </c>
      <c r="O431" s="31">
        <v>1</v>
      </c>
      <c r="P431" s="34">
        <f t="shared" si="5"/>
        <v>0.5</v>
      </c>
    </row>
    <row r="432" spans="1:16" x14ac:dyDescent="0.25">
      <c r="A432">
        <v>429</v>
      </c>
      <c r="B432" s="15" t="s">
        <v>570</v>
      </c>
      <c r="C432" t="s">
        <v>677</v>
      </c>
      <c r="D432" s="19" t="s">
        <v>681</v>
      </c>
      <c r="E432">
        <v>1</v>
      </c>
      <c r="F432" s="13">
        <v>118</v>
      </c>
      <c r="G432" s="11" t="s">
        <v>236</v>
      </c>
      <c r="H432" t="s">
        <v>221</v>
      </c>
      <c r="O432" s="31">
        <v>1</v>
      </c>
      <c r="P432" s="34">
        <f t="shared" si="5"/>
        <v>0.5</v>
      </c>
    </row>
    <row r="433" spans="1:16" x14ac:dyDescent="0.25">
      <c r="A433">
        <v>430</v>
      </c>
      <c r="B433" s="15" t="s">
        <v>570</v>
      </c>
      <c r="C433" t="s">
        <v>677</v>
      </c>
      <c r="D433" s="19" t="s">
        <v>682</v>
      </c>
      <c r="E433">
        <v>1</v>
      </c>
      <c r="F433" s="13">
        <v>118</v>
      </c>
      <c r="G433" s="11" t="s">
        <v>46</v>
      </c>
      <c r="H433" t="s">
        <v>221</v>
      </c>
      <c r="O433" s="31">
        <v>1</v>
      </c>
      <c r="P433" s="34">
        <f t="shared" si="5"/>
        <v>0.5</v>
      </c>
    </row>
    <row r="434" spans="1:16" x14ac:dyDescent="0.25">
      <c r="A434">
        <v>431</v>
      </c>
      <c r="B434" s="15" t="s">
        <v>570</v>
      </c>
      <c r="C434" t="s">
        <v>677</v>
      </c>
      <c r="D434" s="19" t="s">
        <v>683</v>
      </c>
      <c r="E434">
        <v>1</v>
      </c>
      <c r="F434" s="13">
        <v>118</v>
      </c>
      <c r="G434" s="11" t="s">
        <v>236</v>
      </c>
      <c r="H434" t="s">
        <v>221</v>
      </c>
      <c r="O434" s="31">
        <v>1</v>
      </c>
      <c r="P434" s="34">
        <f t="shared" si="5"/>
        <v>0.5</v>
      </c>
    </row>
    <row r="435" spans="1:16" x14ac:dyDescent="0.25">
      <c r="A435">
        <v>432</v>
      </c>
      <c r="B435" s="15" t="s">
        <v>570</v>
      </c>
      <c r="C435" t="s">
        <v>677</v>
      </c>
      <c r="D435" s="19" t="s">
        <v>684</v>
      </c>
      <c r="E435">
        <v>1</v>
      </c>
      <c r="F435" s="13">
        <v>118</v>
      </c>
      <c r="G435" s="11" t="s">
        <v>46</v>
      </c>
      <c r="H435" t="s">
        <v>221</v>
      </c>
      <c r="O435" s="31">
        <v>1</v>
      </c>
      <c r="P435" s="34">
        <f t="shared" si="5"/>
        <v>0.5</v>
      </c>
    </row>
    <row r="436" spans="1:16" x14ac:dyDescent="0.25">
      <c r="A436">
        <v>433</v>
      </c>
      <c r="B436" s="15" t="s">
        <v>570</v>
      </c>
      <c r="C436" t="s">
        <v>677</v>
      </c>
      <c r="D436" s="19" t="s">
        <v>685</v>
      </c>
      <c r="E436">
        <v>1</v>
      </c>
      <c r="F436" s="13">
        <v>118</v>
      </c>
      <c r="G436" s="11" t="s">
        <v>400</v>
      </c>
      <c r="H436" t="s">
        <v>221</v>
      </c>
      <c r="O436" s="31">
        <v>1</v>
      </c>
      <c r="P436" s="34">
        <f t="shared" si="5"/>
        <v>0.5</v>
      </c>
    </row>
    <row r="437" spans="1:16" x14ac:dyDescent="0.25">
      <c r="A437">
        <v>434</v>
      </c>
      <c r="B437" s="15" t="s">
        <v>686</v>
      </c>
      <c r="C437" t="s">
        <v>687</v>
      </c>
      <c r="D437" s="19" t="s">
        <v>688</v>
      </c>
      <c r="E437">
        <v>1</v>
      </c>
      <c r="F437" s="13">
        <v>120</v>
      </c>
      <c r="G437" s="11" t="s">
        <v>254</v>
      </c>
      <c r="H437" t="s">
        <v>221</v>
      </c>
      <c r="O437" s="31">
        <v>1</v>
      </c>
      <c r="P437" s="34">
        <f t="shared" si="5"/>
        <v>0.5</v>
      </c>
    </row>
    <row r="438" spans="1:16" x14ac:dyDescent="0.25">
      <c r="A438">
        <v>435</v>
      </c>
      <c r="B438" s="15" t="s">
        <v>686</v>
      </c>
      <c r="C438" t="s">
        <v>687</v>
      </c>
      <c r="D438" s="19" t="s">
        <v>689</v>
      </c>
      <c r="E438">
        <v>1</v>
      </c>
      <c r="F438" s="13">
        <v>120</v>
      </c>
      <c r="G438" s="11" t="s">
        <v>254</v>
      </c>
      <c r="H438" t="s">
        <v>221</v>
      </c>
      <c r="O438" s="31">
        <v>1</v>
      </c>
      <c r="P438" s="34">
        <f t="shared" si="5"/>
        <v>0.5</v>
      </c>
    </row>
    <row r="439" spans="1:16" x14ac:dyDescent="0.25">
      <c r="A439">
        <v>436</v>
      </c>
      <c r="B439" s="15" t="s">
        <v>686</v>
      </c>
      <c r="C439" t="s">
        <v>687</v>
      </c>
      <c r="D439" s="19" t="s">
        <v>690</v>
      </c>
      <c r="E439">
        <v>0</v>
      </c>
      <c r="F439" s="13">
        <v>120</v>
      </c>
      <c r="G439" s="11" t="s">
        <v>601</v>
      </c>
      <c r="H439" t="s">
        <v>221</v>
      </c>
      <c r="O439" s="31">
        <v>3</v>
      </c>
      <c r="P439" s="34">
        <f t="shared" si="5"/>
        <v>0</v>
      </c>
    </row>
    <row r="440" spans="1:16" x14ac:dyDescent="0.25">
      <c r="A440">
        <v>437</v>
      </c>
      <c r="B440" s="15" t="s">
        <v>686</v>
      </c>
      <c r="C440" t="s">
        <v>687</v>
      </c>
      <c r="D440" s="19" t="s">
        <v>691</v>
      </c>
      <c r="E440">
        <v>0</v>
      </c>
      <c r="F440" s="13">
        <v>120</v>
      </c>
      <c r="G440" s="11" t="s">
        <v>169</v>
      </c>
      <c r="H440" t="s">
        <v>221</v>
      </c>
      <c r="O440" s="31">
        <v>0</v>
      </c>
      <c r="P440" s="34">
        <f t="shared" si="5"/>
        <v>0</v>
      </c>
    </row>
    <row r="441" spans="1:16" x14ac:dyDescent="0.25">
      <c r="A441">
        <v>438</v>
      </c>
      <c r="B441" s="15" t="s">
        <v>686</v>
      </c>
      <c r="C441" t="s">
        <v>687</v>
      </c>
      <c r="D441" s="19" t="s">
        <v>692</v>
      </c>
      <c r="E441">
        <v>0</v>
      </c>
      <c r="F441" s="13">
        <v>120</v>
      </c>
      <c r="G441" s="11" t="s">
        <v>601</v>
      </c>
      <c r="H441" t="s">
        <v>221</v>
      </c>
      <c r="O441" s="31">
        <v>3</v>
      </c>
      <c r="P441" s="34">
        <f t="shared" si="5"/>
        <v>0</v>
      </c>
    </row>
    <row r="442" spans="1:16" x14ac:dyDescent="0.25">
      <c r="A442">
        <v>439</v>
      </c>
      <c r="B442" s="15" t="s">
        <v>686</v>
      </c>
      <c r="C442" t="s">
        <v>693</v>
      </c>
      <c r="D442" s="19" t="s">
        <v>694</v>
      </c>
      <c r="E442">
        <v>1</v>
      </c>
      <c r="F442" s="13">
        <v>120</v>
      </c>
      <c r="G442" s="11" t="s">
        <v>236</v>
      </c>
      <c r="H442" t="s">
        <v>221</v>
      </c>
      <c r="O442" s="31">
        <v>1</v>
      </c>
      <c r="P442" s="34">
        <f t="shared" si="5"/>
        <v>0.5</v>
      </c>
    </row>
    <row r="443" spans="1:16" x14ac:dyDescent="0.25">
      <c r="A443">
        <v>440</v>
      </c>
      <c r="B443" s="15" t="s">
        <v>686</v>
      </c>
      <c r="C443" t="s">
        <v>693</v>
      </c>
      <c r="D443" s="19" t="s">
        <v>695</v>
      </c>
      <c r="E443">
        <v>1</v>
      </c>
      <c r="F443" s="13">
        <v>120</v>
      </c>
      <c r="G443" s="11" t="s">
        <v>46</v>
      </c>
      <c r="H443" t="s">
        <v>221</v>
      </c>
      <c r="O443" s="31">
        <v>1</v>
      </c>
      <c r="P443" s="34">
        <f t="shared" si="5"/>
        <v>0.5</v>
      </c>
    </row>
    <row r="444" spans="1:16" x14ac:dyDescent="0.25">
      <c r="A444">
        <v>441</v>
      </c>
      <c r="B444" s="15" t="s">
        <v>686</v>
      </c>
      <c r="C444" t="s">
        <v>693</v>
      </c>
      <c r="D444" s="19" t="s">
        <v>175</v>
      </c>
      <c r="E444">
        <v>1</v>
      </c>
      <c r="F444" s="13">
        <v>120</v>
      </c>
      <c r="G444" s="11" t="s">
        <v>46</v>
      </c>
      <c r="H444" t="s">
        <v>221</v>
      </c>
      <c r="O444" s="31">
        <v>1</v>
      </c>
      <c r="P444" s="34">
        <f t="shared" si="5"/>
        <v>0.5</v>
      </c>
    </row>
    <row r="445" spans="1:16" x14ac:dyDescent="0.25">
      <c r="A445">
        <v>442</v>
      </c>
      <c r="B445" s="15" t="s">
        <v>686</v>
      </c>
      <c r="C445" t="s">
        <v>693</v>
      </c>
      <c r="D445" s="19" t="s">
        <v>696</v>
      </c>
      <c r="E445">
        <v>0</v>
      </c>
      <c r="F445" s="13">
        <v>120</v>
      </c>
      <c r="G445" s="11" t="s">
        <v>597</v>
      </c>
      <c r="H445" t="s">
        <v>221</v>
      </c>
      <c r="O445" s="31">
        <v>1</v>
      </c>
      <c r="P445" s="34">
        <f t="shared" si="5"/>
        <v>0</v>
      </c>
    </row>
    <row r="446" spans="1:16" x14ac:dyDescent="0.25">
      <c r="A446">
        <v>443</v>
      </c>
      <c r="B446" s="15" t="s">
        <v>686</v>
      </c>
      <c r="C446" t="s">
        <v>693</v>
      </c>
      <c r="D446" s="19" t="s">
        <v>697</v>
      </c>
      <c r="E446">
        <v>0</v>
      </c>
      <c r="F446" s="13">
        <v>120</v>
      </c>
      <c r="G446" s="11" t="s">
        <v>601</v>
      </c>
      <c r="H446" t="s">
        <v>221</v>
      </c>
      <c r="O446" s="31">
        <v>3</v>
      </c>
      <c r="P446" s="34">
        <f t="shared" si="5"/>
        <v>0</v>
      </c>
    </row>
    <row r="447" spans="1:16" x14ac:dyDescent="0.25">
      <c r="A447">
        <v>444</v>
      </c>
      <c r="B447" s="15" t="s">
        <v>686</v>
      </c>
      <c r="C447" t="s">
        <v>693</v>
      </c>
      <c r="D447" s="19" t="s">
        <v>698</v>
      </c>
      <c r="E447">
        <v>0</v>
      </c>
      <c r="F447" s="13">
        <v>120</v>
      </c>
      <c r="G447" s="11" t="s">
        <v>601</v>
      </c>
      <c r="H447" t="s">
        <v>221</v>
      </c>
      <c r="O447" s="31">
        <v>3</v>
      </c>
      <c r="P447" s="34">
        <f t="shared" si="5"/>
        <v>0</v>
      </c>
    </row>
    <row r="448" spans="1:16" x14ac:dyDescent="0.25">
      <c r="A448">
        <v>445</v>
      </c>
      <c r="B448" s="15" t="s">
        <v>686</v>
      </c>
      <c r="C448" t="s">
        <v>702</v>
      </c>
      <c r="D448" s="19" t="s">
        <v>699</v>
      </c>
      <c r="E448">
        <v>0</v>
      </c>
      <c r="F448" s="13">
        <v>121</v>
      </c>
      <c r="G448" s="11" t="s">
        <v>601</v>
      </c>
      <c r="H448" t="s">
        <v>221</v>
      </c>
      <c r="O448" s="31">
        <v>3</v>
      </c>
      <c r="P448" s="34">
        <f t="shared" si="5"/>
        <v>0</v>
      </c>
    </row>
    <row r="449" spans="1:16" x14ac:dyDescent="0.25">
      <c r="A449">
        <v>446</v>
      </c>
      <c r="B449" s="15" t="s">
        <v>686</v>
      </c>
      <c r="C449" t="s">
        <v>702</v>
      </c>
      <c r="D449" s="19" t="s">
        <v>700</v>
      </c>
      <c r="E449">
        <v>0</v>
      </c>
      <c r="F449" s="13">
        <v>121</v>
      </c>
      <c r="G449" s="11" t="s">
        <v>601</v>
      </c>
      <c r="H449" t="s">
        <v>221</v>
      </c>
      <c r="O449" s="31">
        <v>3</v>
      </c>
      <c r="P449" s="34">
        <f t="shared" si="5"/>
        <v>0</v>
      </c>
    </row>
    <row r="450" spans="1:16" x14ac:dyDescent="0.25">
      <c r="A450">
        <v>447</v>
      </c>
      <c r="B450" s="15" t="s">
        <v>686</v>
      </c>
      <c r="C450" t="s">
        <v>702</v>
      </c>
      <c r="D450" s="19" t="s">
        <v>701</v>
      </c>
      <c r="E450">
        <v>0</v>
      </c>
      <c r="F450" s="13">
        <v>121</v>
      </c>
      <c r="G450" s="11" t="s">
        <v>601</v>
      </c>
      <c r="H450" t="s">
        <v>221</v>
      </c>
      <c r="O450" s="31">
        <v>3</v>
      </c>
      <c r="P450" s="34">
        <f t="shared" si="5"/>
        <v>0</v>
      </c>
    </row>
    <row r="451" spans="1:16" x14ac:dyDescent="0.25">
      <c r="A451">
        <v>448</v>
      </c>
      <c r="B451" s="15" t="s">
        <v>686</v>
      </c>
      <c r="C451" t="s">
        <v>703</v>
      </c>
      <c r="D451" s="19" t="s">
        <v>704</v>
      </c>
      <c r="E451">
        <v>0</v>
      </c>
      <c r="F451" s="13">
        <v>121</v>
      </c>
      <c r="G451" s="11" t="s">
        <v>601</v>
      </c>
      <c r="H451" t="s">
        <v>221</v>
      </c>
      <c r="O451" s="31">
        <v>3</v>
      </c>
      <c r="P451" s="34">
        <f t="shared" si="5"/>
        <v>0</v>
      </c>
    </row>
    <row r="452" spans="1:16" x14ac:dyDescent="0.25">
      <c r="A452">
        <v>449</v>
      </c>
      <c r="B452" s="15" t="s">
        <v>686</v>
      </c>
      <c r="C452" t="s">
        <v>703</v>
      </c>
      <c r="D452" t="s">
        <v>705</v>
      </c>
      <c r="E452">
        <v>0</v>
      </c>
      <c r="F452" s="13">
        <v>121</v>
      </c>
      <c r="G452" s="11" t="s">
        <v>601</v>
      </c>
      <c r="H452" t="s">
        <v>221</v>
      </c>
      <c r="O452" s="31">
        <v>3</v>
      </c>
      <c r="P452" s="34">
        <f t="shared" si="5"/>
        <v>0</v>
      </c>
    </row>
    <row r="453" spans="1:16" x14ac:dyDescent="0.25">
      <c r="A453">
        <v>450</v>
      </c>
      <c r="B453" s="15" t="s">
        <v>686</v>
      </c>
      <c r="C453" t="s">
        <v>706</v>
      </c>
      <c r="D453" s="19" t="s">
        <v>707</v>
      </c>
      <c r="E453">
        <v>0</v>
      </c>
      <c r="F453" s="13">
        <v>121</v>
      </c>
      <c r="G453" s="11" t="s">
        <v>601</v>
      </c>
      <c r="H453" t="s">
        <v>221</v>
      </c>
      <c r="O453" s="31">
        <v>3</v>
      </c>
      <c r="P453" s="34">
        <f t="shared" si="5"/>
        <v>0</v>
      </c>
    </row>
    <row r="454" spans="1:16" x14ac:dyDescent="0.25">
      <c r="A454">
        <v>451</v>
      </c>
      <c r="B454" s="15" t="s">
        <v>686</v>
      </c>
      <c r="C454" t="s">
        <v>706</v>
      </c>
      <c r="D454" s="19" t="s">
        <v>708</v>
      </c>
      <c r="E454">
        <v>0</v>
      </c>
      <c r="F454" s="13">
        <v>121</v>
      </c>
      <c r="G454" s="11" t="s">
        <v>601</v>
      </c>
      <c r="H454" t="s">
        <v>221</v>
      </c>
      <c r="O454" s="31">
        <v>3</v>
      </c>
      <c r="P454" s="34">
        <f t="shared" si="5"/>
        <v>0</v>
      </c>
    </row>
    <row r="455" spans="1:16" x14ac:dyDescent="0.25">
      <c r="A455">
        <v>452</v>
      </c>
      <c r="B455" s="15" t="s">
        <v>686</v>
      </c>
      <c r="C455" t="s">
        <v>706</v>
      </c>
      <c r="D455" s="19" t="s">
        <v>709</v>
      </c>
      <c r="E455">
        <v>0</v>
      </c>
      <c r="F455" s="13">
        <v>121</v>
      </c>
      <c r="G455" s="11" t="s">
        <v>601</v>
      </c>
      <c r="H455" t="s">
        <v>221</v>
      </c>
      <c r="O455" s="31">
        <v>3</v>
      </c>
      <c r="P455" s="34">
        <f t="shared" si="5"/>
        <v>0</v>
      </c>
    </row>
    <row r="456" spans="1:16" x14ac:dyDescent="0.25">
      <c r="A456">
        <v>453</v>
      </c>
      <c r="B456" s="15" t="s">
        <v>686</v>
      </c>
      <c r="C456" t="s">
        <v>706</v>
      </c>
      <c r="D456" s="19" t="s">
        <v>710</v>
      </c>
      <c r="E456">
        <v>0</v>
      </c>
      <c r="F456" s="13">
        <v>121</v>
      </c>
      <c r="G456" s="11" t="s">
        <v>601</v>
      </c>
      <c r="H456" t="s">
        <v>221</v>
      </c>
      <c r="O456" s="31">
        <v>3</v>
      </c>
      <c r="P456" s="34">
        <f t="shared" si="5"/>
        <v>0</v>
      </c>
    </row>
    <row r="457" spans="1:16" x14ac:dyDescent="0.25">
      <c r="A457">
        <v>454</v>
      </c>
      <c r="B457" s="15" t="s">
        <v>686</v>
      </c>
      <c r="C457" t="s">
        <v>711</v>
      </c>
      <c r="D457" s="19" t="s">
        <v>712</v>
      </c>
      <c r="E457">
        <v>0</v>
      </c>
      <c r="F457" s="13">
        <v>121</v>
      </c>
      <c r="G457" s="11" t="s">
        <v>601</v>
      </c>
      <c r="H457" t="s">
        <v>221</v>
      </c>
      <c r="O457" s="31">
        <v>3</v>
      </c>
      <c r="P457" s="34">
        <f t="shared" si="5"/>
        <v>0</v>
      </c>
    </row>
    <row r="458" spans="1:16" x14ac:dyDescent="0.25">
      <c r="A458">
        <v>455</v>
      </c>
      <c r="B458" s="15" t="s">
        <v>686</v>
      </c>
      <c r="C458" t="s">
        <v>711</v>
      </c>
      <c r="D458" s="19" t="s">
        <v>713</v>
      </c>
      <c r="E458">
        <v>0</v>
      </c>
      <c r="F458" s="13">
        <v>121</v>
      </c>
      <c r="G458" s="11" t="s">
        <v>601</v>
      </c>
      <c r="H458" t="s">
        <v>221</v>
      </c>
      <c r="O458" s="31">
        <v>3</v>
      </c>
      <c r="P458" s="34">
        <f t="shared" si="5"/>
        <v>0</v>
      </c>
    </row>
    <row r="459" spans="1:16" x14ac:dyDescent="0.25">
      <c r="A459">
        <v>456</v>
      </c>
      <c r="B459" s="15" t="s">
        <v>686</v>
      </c>
      <c r="C459" t="s">
        <v>711</v>
      </c>
      <c r="D459" s="19" t="s">
        <v>714</v>
      </c>
      <c r="E459">
        <v>0</v>
      </c>
      <c r="F459" s="13">
        <v>121</v>
      </c>
      <c r="G459" s="11" t="s">
        <v>601</v>
      </c>
      <c r="H459" t="s">
        <v>221</v>
      </c>
      <c r="O459" s="31">
        <v>3</v>
      </c>
      <c r="P459" s="34">
        <f t="shared" si="5"/>
        <v>0</v>
      </c>
    </row>
    <row r="460" spans="1:16" x14ac:dyDescent="0.25">
      <c r="A460">
        <v>457</v>
      </c>
      <c r="B460" s="15" t="s">
        <v>686</v>
      </c>
      <c r="C460" t="s">
        <v>711</v>
      </c>
      <c r="D460" s="19" t="s">
        <v>715</v>
      </c>
      <c r="E460">
        <v>0</v>
      </c>
      <c r="F460" s="13">
        <v>121</v>
      </c>
      <c r="G460" s="11" t="s">
        <v>601</v>
      </c>
      <c r="H460" t="s">
        <v>221</v>
      </c>
      <c r="O460" s="31">
        <v>3</v>
      </c>
      <c r="P460" s="34">
        <f t="shared" si="5"/>
        <v>0</v>
      </c>
    </row>
    <row r="461" spans="1:16" x14ac:dyDescent="0.25">
      <c r="A461">
        <v>458</v>
      </c>
      <c r="B461" s="15" t="s">
        <v>686</v>
      </c>
      <c r="C461" t="s">
        <v>711</v>
      </c>
      <c r="D461" s="19" t="s">
        <v>716</v>
      </c>
      <c r="E461">
        <v>0</v>
      </c>
      <c r="F461" s="13">
        <v>121</v>
      </c>
      <c r="G461" s="11" t="s">
        <v>601</v>
      </c>
      <c r="H461" t="s">
        <v>221</v>
      </c>
      <c r="O461" s="31">
        <v>3</v>
      </c>
      <c r="P461" s="34">
        <f t="shared" si="5"/>
        <v>0</v>
      </c>
    </row>
    <row r="462" spans="1:16" x14ac:dyDescent="0.25">
      <c r="A462">
        <v>459</v>
      </c>
      <c r="B462" s="15" t="s">
        <v>686</v>
      </c>
      <c r="C462" t="s">
        <v>717</v>
      </c>
      <c r="D462" s="19" t="s">
        <v>717</v>
      </c>
      <c r="E462">
        <v>0</v>
      </c>
      <c r="F462" s="13">
        <v>121</v>
      </c>
      <c r="G462" s="11" t="s">
        <v>601</v>
      </c>
      <c r="H462" t="s">
        <v>221</v>
      </c>
      <c r="O462" s="31">
        <v>3</v>
      </c>
      <c r="P462" s="34">
        <f t="shared" si="5"/>
        <v>0</v>
      </c>
    </row>
    <row r="463" spans="1:16" x14ac:dyDescent="0.25">
      <c r="A463">
        <v>460</v>
      </c>
      <c r="B463" s="15" t="s">
        <v>686</v>
      </c>
      <c r="C463" t="s">
        <v>718</v>
      </c>
      <c r="D463" s="19" t="s">
        <v>707</v>
      </c>
      <c r="E463">
        <v>0</v>
      </c>
      <c r="F463" s="13">
        <v>121</v>
      </c>
      <c r="G463" s="11" t="s">
        <v>601</v>
      </c>
      <c r="H463" t="s">
        <v>221</v>
      </c>
      <c r="O463" s="31">
        <v>3</v>
      </c>
      <c r="P463" s="34">
        <f t="shared" si="5"/>
        <v>0</v>
      </c>
    </row>
    <row r="464" spans="1:16" x14ac:dyDescent="0.25">
      <c r="A464">
        <v>461</v>
      </c>
      <c r="B464" s="15" t="s">
        <v>686</v>
      </c>
      <c r="C464" t="s">
        <v>718</v>
      </c>
      <c r="D464" s="19" t="s">
        <v>708</v>
      </c>
      <c r="E464">
        <v>0</v>
      </c>
      <c r="F464" s="13">
        <v>121</v>
      </c>
      <c r="G464" s="11" t="s">
        <v>601</v>
      </c>
      <c r="H464" t="s">
        <v>221</v>
      </c>
      <c r="O464" s="31">
        <v>3</v>
      </c>
      <c r="P464" s="34">
        <f t="shared" si="5"/>
        <v>0</v>
      </c>
    </row>
    <row r="465" spans="1:16" x14ac:dyDescent="0.25">
      <c r="A465">
        <v>462</v>
      </c>
      <c r="B465" s="15" t="s">
        <v>686</v>
      </c>
      <c r="C465" t="s">
        <v>719</v>
      </c>
      <c r="D465" t="s">
        <v>719</v>
      </c>
      <c r="E465">
        <v>0</v>
      </c>
      <c r="F465" s="13">
        <v>121</v>
      </c>
      <c r="G465" s="11" t="s">
        <v>601</v>
      </c>
      <c r="H465" t="s">
        <v>221</v>
      </c>
      <c r="K465" s="19" t="s">
        <v>720</v>
      </c>
      <c r="O465" s="31">
        <v>0</v>
      </c>
      <c r="P465" s="34">
        <f t="shared" si="5"/>
        <v>0</v>
      </c>
    </row>
    <row r="466" spans="1:16" x14ac:dyDescent="0.25">
      <c r="A466">
        <v>463</v>
      </c>
      <c r="B466" s="15" t="s">
        <v>686</v>
      </c>
      <c r="C466" t="s">
        <v>183</v>
      </c>
      <c r="D466" s="19" t="s">
        <v>426</v>
      </c>
      <c r="E466">
        <v>0</v>
      </c>
      <c r="F466" s="13">
        <v>124</v>
      </c>
      <c r="H466" t="s">
        <v>221</v>
      </c>
      <c r="K466" s="19"/>
      <c r="O466" s="31" t="s">
        <v>429</v>
      </c>
      <c r="P466" s="34" t="str">
        <f t="shared" si="5"/>
        <v/>
      </c>
    </row>
    <row r="467" spans="1:16" x14ac:dyDescent="0.25">
      <c r="A467">
        <v>464</v>
      </c>
      <c r="B467" s="15" t="s">
        <v>686</v>
      </c>
      <c r="C467" t="s">
        <v>182</v>
      </c>
      <c r="D467" s="19" t="s">
        <v>426</v>
      </c>
      <c r="E467">
        <v>0</v>
      </c>
      <c r="F467" s="13">
        <v>124</v>
      </c>
      <c r="H467" t="s">
        <v>221</v>
      </c>
      <c r="K467" s="19"/>
      <c r="O467" s="31" t="s">
        <v>429</v>
      </c>
      <c r="P467" s="34" t="str">
        <f t="shared" si="5"/>
        <v/>
      </c>
    </row>
    <row r="468" spans="1:16" x14ac:dyDescent="0.25">
      <c r="A468">
        <v>465</v>
      </c>
      <c r="B468" s="15" t="s">
        <v>686</v>
      </c>
      <c r="C468" t="s">
        <v>722</v>
      </c>
      <c r="D468" s="19" t="s">
        <v>426</v>
      </c>
      <c r="E468">
        <v>0</v>
      </c>
      <c r="F468" s="13">
        <v>125</v>
      </c>
      <c r="H468" t="s">
        <v>221</v>
      </c>
      <c r="K468" s="19"/>
      <c r="O468" s="31" t="s">
        <v>429</v>
      </c>
      <c r="P468" s="34" t="str">
        <f t="shared" si="5"/>
        <v/>
      </c>
    </row>
    <row r="469" spans="1:16" x14ac:dyDescent="0.25">
      <c r="A469">
        <v>466</v>
      </c>
      <c r="B469" s="15" t="s">
        <v>686</v>
      </c>
      <c r="C469" t="s">
        <v>722</v>
      </c>
      <c r="D469" s="19" t="s">
        <v>724</v>
      </c>
      <c r="E469">
        <v>1</v>
      </c>
      <c r="F469" s="13">
        <v>125</v>
      </c>
      <c r="G469" s="11" t="s">
        <v>46</v>
      </c>
      <c r="H469" t="s">
        <v>221</v>
      </c>
      <c r="K469" s="19"/>
      <c r="O469" s="31">
        <v>1</v>
      </c>
      <c r="P469" s="34">
        <f t="shared" si="5"/>
        <v>0.5</v>
      </c>
    </row>
    <row r="470" spans="1:16" x14ac:dyDescent="0.25">
      <c r="A470">
        <v>467</v>
      </c>
      <c r="B470" s="15" t="s">
        <v>686</v>
      </c>
      <c r="C470" t="s">
        <v>722</v>
      </c>
      <c r="D470" s="19" t="s">
        <v>725</v>
      </c>
      <c r="E470">
        <v>1</v>
      </c>
      <c r="F470" s="13">
        <v>125</v>
      </c>
      <c r="G470" s="11" t="s">
        <v>46</v>
      </c>
      <c r="H470" t="s">
        <v>221</v>
      </c>
      <c r="K470" s="19"/>
      <c r="O470" s="31">
        <v>1</v>
      </c>
      <c r="P470" s="34">
        <f t="shared" si="5"/>
        <v>0.5</v>
      </c>
    </row>
    <row r="471" spans="1:16" x14ac:dyDescent="0.25">
      <c r="A471">
        <v>468</v>
      </c>
      <c r="B471" s="15" t="s">
        <v>686</v>
      </c>
      <c r="C471" t="s">
        <v>722</v>
      </c>
      <c r="D471" s="19" t="s">
        <v>726</v>
      </c>
      <c r="E471">
        <v>1</v>
      </c>
      <c r="F471" s="13">
        <v>125</v>
      </c>
      <c r="G471" s="11" t="s">
        <v>46</v>
      </c>
      <c r="H471" t="s">
        <v>221</v>
      </c>
      <c r="K471" s="19"/>
      <c r="O471" s="31">
        <v>1</v>
      </c>
      <c r="P471" s="34">
        <f t="shared" si="5"/>
        <v>0.5</v>
      </c>
    </row>
    <row r="472" spans="1:16" x14ac:dyDescent="0.25">
      <c r="A472">
        <v>469</v>
      </c>
      <c r="B472" s="15" t="s">
        <v>686</v>
      </c>
      <c r="C472" t="s">
        <v>722</v>
      </c>
      <c r="D472" s="19" t="s">
        <v>727</v>
      </c>
      <c r="E472">
        <v>0</v>
      </c>
      <c r="F472" s="13">
        <v>125</v>
      </c>
      <c r="G472" s="11" t="s">
        <v>597</v>
      </c>
      <c r="H472" t="s">
        <v>221</v>
      </c>
      <c r="K472" s="19"/>
      <c r="O472" s="31">
        <v>1</v>
      </c>
      <c r="P472" s="34">
        <f t="shared" si="5"/>
        <v>0</v>
      </c>
    </row>
    <row r="473" spans="1:16" x14ac:dyDescent="0.25">
      <c r="A473">
        <v>470</v>
      </c>
      <c r="B473" s="15" t="s">
        <v>686</v>
      </c>
      <c r="C473" t="s">
        <v>722</v>
      </c>
      <c r="D473" s="19" t="s">
        <v>728</v>
      </c>
      <c r="E473">
        <v>0</v>
      </c>
      <c r="F473" s="13">
        <v>125</v>
      </c>
      <c r="G473" s="11" t="s">
        <v>601</v>
      </c>
      <c r="H473" t="s">
        <v>221</v>
      </c>
      <c r="K473" s="19"/>
      <c r="O473" s="31">
        <v>3</v>
      </c>
      <c r="P473" s="34">
        <f t="shared" si="5"/>
        <v>0</v>
      </c>
    </row>
    <row r="474" spans="1:16" x14ac:dyDescent="0.25">
      <c r="A474">
        <v>471</v>
      </c>
      <c r="B474" s="15" t="s">
        <v>686</v>
      </c>
      <c r="C474" t="s">
        <v>729</v>
      </c>
      <c r="D474" s="19" t="s">
        <v>730</v>
      </c>
      <c r="E474">
        <v>1</v>
      </c>
      <c r="F474" s="13">
        <v>125</v>
      </c>
      <c r="G474" s="11" t="s">
        <v>236</v>
      </c>
      <c r="H474" t="s">
        <v>221</v>
      </c>
      <c r="K474" s="19"/>
      <c r="O474" s="31">
        <v>1</v>
      </c>
      <c r="P474" s="34">
        <f t="shared" si="5"/>
        <v>0.5</v>
      </c>
    </row>
    <row r="475" spans="1:16" x14ac:dyDescent="0.25">
      <c r="A475">
        <v>472</v>
      </c>
      <c r="B475" s="15" t="s">
        <v>686</v>
      </c>
      <c r="C475" t="s">
        <v>729</v>
      </c>
      <c r="D475" s="19" t="s">
        <v>175</v>
      </c>
      <c r="E475">
        <v>1</v>
      </c>
      <c r="F475" s="13">
        <v>125</v>
      </c>
      <c r="G475" s="11" t="s">
        <v>46</v>
      </c>
      <c r="H475" t="s">
        <v>221</v>
      </c>
      <c r="K475" s="19"/>
      <c r="O475" s="31">
        <v>1</v>
      </c>
      <c r="P475" s="34">
        <f t="shared" si="5"/>
        <v>0.5</v>
      </c>
    </row>
    <row r="476" spans="1:16" x14ac:dyDescent="0.25">
      <c r="A476">
        <v>473</v>
      </c>
      <c r="B476" s="15" t="s">
        <v>686</v>
      </c>
      <c r="C476" t="s">
        <v>729</v>
      </c>
      <c r="D476" s="19" t="s">
        <v>731</v>
      </c>
      <c r="E476">
        <v>1</v>
      </c>
      <c r="F476" s="13">
        <v>125</v>
      </c>
      <c r="G476" s="11" t="s">
        <v>46</v>
      </c>
      <c r="H476" t="s">
        <v>221</v>
      </c>
      <c r="K476" s="19"/>
      <c r="O476" s="31">
        <v>1</v>
      </c>
      <c r="P476" s="34">
        <f t="shared" si="5"/>
        <v>0.5</v>
      </c>
    </row>
    <row r="477" spans="1:16" x14ac:dyDescent="0.25">
      <c r="A477">
        <v>474</v>
      </c>
      <c r="B477" s="15" t="s">
        <v>686</v>
      </c>
      <c r="C477" t="s">
        <v>729</v>
      </c>
      <c r="D477" s="19" t="s">
        <v>732</v>
      </c>
      <c r="E477">
        <v>1</v>
      </c>
      <c r="F477" s="13">
        <v>125</v>
      </c>
      <c r="G477" s="11" t="s">
        <v>46</v>
      </c>
      <c r="H477" t="s">
        <v>221</v>
      </c>
      <c r="K477" s="19"/>
      <c r="O477" s="31">
        <v>1</v>
      </c>
      <c r="P477" s="34">
        <f t="shared" si="5"/>
        <v>0.5</v>
      </c>
    </row>
    <row r="478" spans="1:16" x14ac:dyDescent="0.25">
      <c r="A478">
        <v>475</v>
      </c>
      <c r="B478" s="15" t="s">
        <v>686</v>
      </c>
      <c r="C478" t="s">
        <v>729</v>
      </c>
      <c r="D478" s="19" t="s">
        <v>733</v>
      </c>
      <c r="E478">
        <v>0</v>
      </c>
      <c r="F478" s="13">
        <v>125</v>
      </c>
      <c r="G478" s="11" t="s">
        <v>597</v>
      </c>
      <c r="H478" t="s">
        <v>221</v>
      </c>
      <c r="O478" s="31">
        <v>1</v>
      </c>
      <c r="P478" s="34">
        <f t="shared" si="5"/>
        <v>0</v>
      </c>
    </row>
    <row r="479" spans="1:16" x14ac:dyDescent="0.25">
      <c r="A479">
        <v>476</v>
      </c>
      <c r="B479" s="15" t="s">
        <v>686</v>
      </c>
      <c r="C479" t="s">
        <v>729</v>
      </c>
      <c r="D479" s="19" t="s">
        <v>734</v>
      </c>
      <c r="E479">
        <v>0</v>
      </c>
      <c r="F479" s="13">
        <v>125</v>
      </c>
      <c r="G479" s="11" t="s">
        <v>601</v>
      </c>
      <c r="H479" t="s">
        <v>221</v>
      </c>
      <c r="O479" s="31">
        <v>3</v>
      </c>
      <c r="P479" s="34">
        <f t="shared" si="5"/>
        <v>0</v>
      </c>
    </row>
    <row r="480" spans="1:16" x14ac:dyDescent="0.25">
      <c r="A480">
        <v>477</v>
      </c>
      <c r="B480" s="15" t="s">
        <v>686</v>
      </c>
      <c r="C480" t="s">
        <v>201</v>
      </c>
      <c r="D480" s="19" t="s">
        <v>735</v>
      </c>
      <c r="E480">
        <v>1</v>
      </c>
      <c r="F480" s="13">
        <v>125</v>
      </c>
      <c r="G480" s="11" t="s">
        <v>259</v>
      </c>
      <c r="H480" t="s">
        <v>221</v>
      </c>
      <c r="O480" s="31">
        <v>1</v>
      </c>
      <c r="P480" s="34">
        <f t="shared" si="5"/>
        <v>0.5</v>
      </c>
    </row>
    <row r="481" spans="1:16" x14ac:dyDescent="0.25">
      <c r="A481">
        <v>478</v>
      </c>
      <c r="B481" s="15" t="s">
        <v>686</v>
      </c>
      <c r="C481" t="s">
        <v>201</v>
      </c>
      <c r="D481" s="19" t="s">
        <v>464</v>
      </c>
      <c r="E481">
        <v>1</v>
      </c>
      <c r="F481" s="13">
        <v>125</v>
      </c>
      <c r="G481" s="11" t="s">
        <v>259</v>
      </c>
      <c r="H481" t="s">
        <v>221</v>
      </c>
      <c r="O481" s="31">
        <v>1</v>
      </c>
      <c r="P481" s="34">
        <f t="shared" si="5"/>
        <v>0.5</v>
      </c>
    </row>
    <row r="482" spans="1:16" x14ac:dyDescent="0.25">
      <c r="A482">
        <v>479</v>
      </c>
      <c r="B482" s="15" t="s">
        <v>686</v>
      </c>
      <c r="C482" t="s">
        <v>201</v>
      </c>
      <c r="D482" s="19" t="s">
        <v>736</v>
      </c>
      <c r="E482">
        <v>1</v>
      </c>
      <c r="F482" s="13">
        <v>125</v>
      </c>
      <c r="G482" s="11" t="s">
        <v>46</v>
      </c>
      <c r="H482" t="s">
        <v>221</v>
      </c>
      <c r="O482" s="31">
        <v>1</v>
      </c>
      <c r="P482" s="34">
        <f t="shared" si="5"/>
        <v>0.5</v>
      </c>
    </row>
    <row r="483" spans="1:16" x14ac:dyDescent="0.25">
      <c r="A483">
        <v>480</v>
      </c>
      <c r="B483" s="15" t="s">
        <v>686</v>
      </c>
      <c r="C483" t="s">
        <v>737</v>
      </c>
      <c r="D483" s="19" t="s">
        <v>739</v>
      </c>
      <c r="E483">
        <v>12</v>
      </c>
      <c r="F483" s="13">
        <v>126</v>
      </c>
      <c r="G483" s="11" t="s">
        <v>236</v>
      </c>
      <c r="H483" t="s">
        <v>221</v>
      </c>
      <c r="K483" t="s">
        <v>738</v>
      </c>
      <c r="O483" s="31">
        <v>0</v>
      </c>
      <c r="P483" s="34">
        <f t="shared" si="5"/>
        <v>0</v>
      </c>
    </row>
    <row r="484" spans="1:16" x14ac:dyDescent="0.25">
      <c r="A484">
        <v>481</v>
      </c>
      <c r="B484" s="15" t="s">
        <v>686</v>
      </c>
      <c r="C484" t="s">
        <v>740</v>
      </c>
      <c r="D484" s="19" t="s">
        <v>741</v>
      </c>
      <c r="E484">
        <v>1</v>
      </c>
      <c r="F484" s="13">
        <v>126</v>
      </c>
      <c r="G484" s="11" t="s">
        <v>400</v>
      </c>
      <c r="H484" t="s">
        <v>221</v>
      </c>
      <c r="O484" s="31">
        <v>1</v>
      </c>
      <c r="P484" s="34">
        <f t="shared" si="5"/>
        <v>0.5</v>
      </c>
    </row>
    <row r="485" spans="1:16" x14ac:dyDescent="0.25">
      <c r="A485">
        <v>482</v>
      </c>
      <c r="B485" s="15" t="s">
        <v>742</v>
      </c>
      <c r="C485" t="s">
        <v>743</v>
      </c>
      <c r="D485" s="19" t="s">
        <v>744</v>
      </c>
      <c r="E485">
        <v>1</v>
      </c>
      <c r="F485" s="13">
        <v>128</v>
      </c>
      <c r="G485" s="11" t="s">
        <v>254</v>
      </c>
      <c r="H485" t="s">
        <v>219</v>
      </c>
      <c r="N485" s="31">
        <v>8</v>
      </c>
      <c r="O485" s="31">
        <v>1</v>
      </c>
      <c r="P485" s="34">
        <f t="shared" si="5"/>
        <v>0.5</v>
      </c>
    </row>
    <row r="486" spans="1:16" x14ac:dyDescent="0.25">
      <c r="A486">
        <v>483</v>
      </c>
      <c r="B486" s="15" t="s">
        <v>742</v>
      </c>
      <c r="C486" t="s">
        <v>743</v>
      </c>
      <c r="D486" s="19" t="s">
        <v>745</v>
      </c>
      <c r="E486">
        <v>1</v>
      </c>
      <c r="F486" s="13">
        <v>128</v>
      </c>
      <c r="G486" s="11" t="s">
        <v>46</v>
      </c>
      <c r="H486" t="s">
        <v>219</v>
      </c>
      <c r="N486" s="31">
        <v>8</v>
      </c>
      <c r="O486" s="31">
        <v>1</v>
      </c>
      <c r="P486" s="34">
        <f t="shared" si="5"/>
        <v>0.5</v>
      </c>
    </row>
    <row r="487" spans="1:16" x14ac:dyDescent="0.25">
      <c r="A487">
        <v>484</v>
      </c>
      <c r="B487" s="15" t="s">
        <v>742</v>
      </c>
      <c r="C487" t="s">
        <v>743</v>
      </c>
      <c r="D487" s="19" t="s">
        <v>746</v>
      </c>
      <c r="E487">
        <v>0</v>
      </c>
      <c r="F487" s="13">
        <v>128</v>
      </c>
      <c r="G487" s="11" t="s">
        <v>601</v>
      </c>
      <c r="H487" t="s">
        <v>219</v>
      </c>
      <c r="N487" s="31">
        <v>8</v>
      </c>
      <c r="O487" s="31">
        <v>3</v>
      </c>
      <c r="P487" s="34">
        <f t="shared" si="5"/>
        <v>0</v>
      </c>
    </row>
    <row r="488" spans="1:16" x14ac:dyDescent="0.25">
      <c r="A488">
        <v>485</v>
      </c>
      <c r="B488" s="15" t="s">
        <v>742</v>
      </c>
      <c r="C488" t="s">
        <v>743</v>
      </c>
      <c r="D488" s="19" t="s">
        <v>747</v>
      </c>
      <c r="E488">
        <v>0</v>
      </c>
      <c r="F488" s="13">
        <v>129</v>
      </c>
      <c r="G488" s="11" t="s">
        <v>601</v>
      </c>
      <c r="H488" t="s">
        <v>219</v>
      </c>
      <c r="N488" s="31">
        <v>8</v>
      </c>
      <c r="O488" s="31">
        <v>3</v>
      </c>
      <c r="P488" s="34">
        <f t="shared" si="5"/>
        <v>0</v>
      </c>
    </row>
    <row r="489" spans="1:16" x14ac:dyDescent="0.25">
      <c r="A489">
        <v>486</v>
      </c>
      <c r="B489" s="15" t="s">
        <v>742</v>
      </c>
      <c r="C489" t="s">
        <v>743</v>
      </c>
      <c r="D489" s="19" t="s">
        <v>748</v>
      </c>
      <c r="E489">
        <v>0</v>
      </c>
      <c r="F489" s="13">
        <v>130</v>
      </c>
      <c r="G489" s="11" t="s">
        <v>601</v>
      </c>
      <c r="H489" t="s">
        <v>219</v>
      </c>
      <c r="N489" s="31">
        <v>8</v>
      </c>
      <c r="O489" s="31">
        <v>3</v>
      </c>
      <c r="P489" s="34">
        <f t="shared" si="5"/>
        <v>0</v>
      </c>
    </row>
    <row r="490" spans="1:16" x14ac:dyDescent="0.25">
      <c r="A490">
        <v>487</v>
      </c>
      <c r="B490" s="15" t="s">
        <v>742</v>
      </c>
      <c r="C490" t="s">
        <v>750</v>
      </c>
      <c r="D490" s="19" t="s">
        <v>749</v>
      </c>
      <c r="E490">
        <v>1</v>
      </c>
      <c r="F490" s="13">
        <v>130</v>
      </c>
      <c r="G490" s="11" t="s">
        <v>755</v>
      </c>
      <c r="H490" t="s">
        <v>219</v>
      </c>
      <c r="N490" s="31">
        <v>8</v>
      </c>
      <c r="O490" s="31">
        <v>2</v>
      </c>
      <c r="P490" s="34">
        <f t="shared" si="5"/>
        <v>1</v>
      </c>
    </row>
    <row r="491" spans="1:16" x14ac:dyDescent="0.25">
      <c r="A491">
        <v>488</v>
      </c>
      <c r="B491" s="15" t="s">
        <v>742</v>
      </c>
      <c r="C491" t="s">
        <v>751</v>
      </c>
      <c r="D491" s="19" t="s">
        <v>752</v>
      </c>
      <c r="E491">
        <v>1</v>
      </c>
      <c r="F491" s="13">
        <v>130</v>
      </c>
      <c r="G491" s="11" t="s">
        <v>259</v>
      </c>
      <c r="H491" t="s">
        <v>219</v>
      </c>
      <c r="N491" s="31">
        <v>8</v>
      </c>
      <c r="O491" s="31">
        <v>1</v>
      </c>
      <c r="P491" s="34">
        <f t="shared" si="5"/>
        <v>0.5</v>
      </c>
    </row>
    <row r="492" spans="1:16" x14ac:dyDescent="0.25">
      <c r="A492">
        <v>489</v>
      </c>
      <c r="B492" s="15" t="s">
        <v>742</v>
      </c>
      <c r="C492" t="s">
        <v>751</v>
      </c>
      <c r="D492" s="19" t="s">
        <v>753</v>
      </c>
      <c r="E492">
        <v>0</v>
      </c>
      <c r="F492" s="13">
        <v>130</v>
      </c>
      <c r="G492" s="11" t="s">
        <v>601</v>
      </c>
      <c r="H492" t="s">
        <v>219</v>
      </c>
      <c r="N492" s="31">
        <v>8</v>
      </c>
      <c r="O492" s="31">
        <v>3</v>
      </c>
      <c r="P492" s="34">
        <f t="shared" si="5"/>
        <v>0</v>
      </c>
    </row>
    <row r="493" spans="1:16" x14ac:dyDescent="0.25">
      <c r="A493">
        <v>490</v>
      </c>
      <c r="B493" s="15" t="s">
        <v>742</v>
      </c>
      <c r="C493" t="s">
        <v>751</v>
      </c>
      <c r="D493" s="19" t="s">
        <v>754</v>
      </c>
      <c r="E493">
        <v>0</v>
      </c>
      <c r="F493" s="13">
        <v>130</v>
      </c>
      <c r="G493" s="11" t="s">
        <v>601</v>
      </c>
      <c r="H493" t="s">
        <v>219</v>
      </c>
      <c r="N493" s="31">
        <v>8</v>
      </c>
      <c r="O493" s="31">
        <v>3</v>
      </c>
      <c r="P493" s="34">
        <f t="shared" si="5"/>
        <v>0</v>
      </c>
    </row>
    <row r="494" spans="1:16" x14ac:dyDescent="0.25">
      <c r="P494" s="34" t="str">
        <f t="shared" si="5"/>
        <v/>
      </c>
    </row>
    <row r="495" spans="1:16" x14ac:dyDescent="0.25">
      <c r="P495" s="34" t="str">
        <f t="shared" si="5"/>
        <v/>
      </c>
    </row>
    <row r="496" spans="1:16" ht="15" customHeight="1" x14ac:dyDescent="0.25">
      <c r="P496" s="34" t="str">
        <f t="shared" si="5"/>
        <v/>
      </c>
    </row>
    <row r="497" spans="16:16" ht="15" customHeight="1" x14ac:dyDescent="0.25">
      <c r="P497" s="34" t="str">
        <f t="shared" si="5"/>
        <v/>
      </c>
    </row>
    <row r="498" spans="16:16" ht="15" customHeight="1" x14ac:dyDescent="0.25">
      <c r="P498" s="34" t="str">
        <f t="shared" si="5"/>
        <v/>
      </c>
    </row>
    <row r="499" spans="16:16" ht="15" customHeight="1" x14ac:dyDescent="0.25">
      <c r="P499" s="34" t="str">
        <f t="shared" si="5"/>
        <v/>
      </c>
    </row>
    <row r="500" spans="16:16" ht="15" customHeight="1" x14ac:dyDescent="0.25">
      <c r="P500" s="34" t="str">
        <f t="shared" si="5"/>
        <v/>
      </c>
    </row>
    <row r="501" spans="16:16" ht="15" customHeight="1" x14ac:dyDescent="0.25">
      <c r="P501" s="34" t="str">
        <f t="shared" si="5"/>
        <v/>
      </c>
    </row>
    <row r="502" spans="16:16" ht="15" customHeight="1" x14ac:dyDescent="0.25">
      <c r="P502" s="34" t="str">
        <f t="shared" si="5"/>
        <v/>
      </c>
    </row>
    <row r="503" spans="16:16" ht="15" customHeight="1" x14ac:dyDescent="0.25">
      <c r="P503" s="34" t="str">
        <f t="shared" si="5"/>
        <v/>
      </c>
    </row>
    <row r="504" spans="16:16" ht="15" customHeight="1" x14ac:dyDescent="0.25">
      <c r="P504" s="34" t="str">
        <f t="shared" si="5"/>
        <v/>
      </c>
    </row>
    <row r="505" spans="16:16" ht="15" customHeight="1" x14ac:dyDescent="0.25">
      <c r="P505" s="34" t="str">
        <f t="shared" si="5"/>
        <v/>
      </c>
    </row>
    <row r="506" spans="16:16" ht="15" customHeight="1" x14ac:dyDescent="0.25">
      <c r="P506" s="34" t="str">
        <f t="shared" si="5"/>
        <v/>
      </c>
    </row>
    <row r="507" spans="16:16" ht="15" customHeight="1" x14ac:dyDescent="0.25">
      <c r="P507" s="34" t="str">
        <f t="shared" si="5"/>
        <v/>
      </c>
    </row>
    <row r="508" spans="16:16" ht="15" customHeight="1" x14ac:dyDescent="0.25">
      <c r="P508" s="34" t="str">
        <f t="shared" si="5"/>
        <v/>
      </c>
    </row>
    <row r="509" spans="16:16" ht="15" customHeight="1" x14ac:dyDescent="0.25">
      <c r="P509" s="34" t="str">
        <f t="shared" si="5"/>
        <v/>
      </c>
    </row>
    <row r="510" spans="16:16" ht="15" customHeight="1" x14ac:dyDescent="0.25">
      <c r="P510" s="34" t="str">
        <f t="shared" si="5"/>
        <v/>
      </c>
    </row>
    <row r="511" spans="16:16" ht="15" customHeight="1" x14ac:dyDescent="0.25"/>
    <row r="512" spans="16:16" ht="15" customHeight="1" x14ac:dyDescent="0.25"/>
    <row r="513" ht="15" customHeight="1" x14ac:dyDescent="0.25"/>
    <row r="514" ht="15" customHeight="1" x14ac:dyDescent="0.25"/>
  </sheetData>
  <autoFilter ref="A3:S510" xr:uid="{AE0CC317-0C6F-45F6-A039-10947180B1D2}"/>
  <conditionalFormatting sqref="D1:D1048576">
    <cfRule type="duplicateValues" dxfId="7" priority="1"/>
  </conditionalFormatting>
  <conditionalFormatting sqref="G1:G75 G77:G110 G162:G257 G327 G338:G1048576">
    <cfRule type="containsText" dxfId="6" priority="9" operator="containsText" text="header only">
      <formula>NOT(ISERROR(SEARCH("header only",G1)))</formula>
    </cfRule>
  </conditionalFormatting>
  <conditionalFormatting sqref="G112:G125">
    <cfRule type="containsText" dxfId="5" priority="6" operator="containsText" text="header only">
      <formula>NOT(ISERROR(SEARCH("header only",G112)))</formula>
    </cfRule>
  </conditionalFormatting>
  <conditionalFormatting sqref="G127:G130">
    <cfRule type="containsText" dxfId="4" priority="8" operator="containsText" text="header only">
      <formula>NOT(ISERROR(SEARCH("header only",G127)))</formula>
    </cfRule>
  </conditionalFormatting>
  <conditionalFormatting sqref="G132:G158">
    <cfRule type="containsText" dxfId="3" priority="7" operator="containsText" text="header only">
      <formula>NOT(ISERROR(SEARCH("header only",G132)))</formula>
    </cfRule>
  </conditionalFormatting>
  <conditionalFormatting sqref="G259:G323">
    <cfRule type="containsText" dxfId="2" priority="5" operator="containsText" text="header only">
      <formula>NOT(ISERROR(SEARCH("header only",G259)))</formula>
    </cfRule>
  </conditionalFormatting>
  <conditionalFormatting sqref="G333:G334">
    <cfRule type="containsText" dxfId="1" priority="2" operator="containsText" text="header only">
      <formula>NOT(ISERROR(SEARCH("header only",G333)))</formula>
    </cfRule>
  </conditionalFormatting>
  <conditionalFormatting sqref="K465:K477">
    <cfRule type="duplicateValues" dxfId="0" priority="4"/>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DD047-D16D-4F91-8384-CD43A44AF697}">
  <dimension ref="B5:C40"/>
  <sheetViews>
    <sheetView workbookViewId="0">
      <selection activeCell="C34" sqref="C34"/>
    </sheetView>
  </sheetViews>
  <sheetFormatPr defaultRowHeight="15" x14ac:dyDescent="0.25"/>
  <cols>
    <col min="2" max="2" width="34.5703125" bestFit="1" customWidth="1"/>
    <col min="3" max="3" width="53.5703125" bestFit="1" customWidth="1"/>
  </cols>
  <sheetData>
    <row r="5" spans="2:2" x14ac:dyDescent="0.25">
      <c r="B5" s="9" t="s">
        <v>205</v>
      </c>
    </row>
    <row r="6" spans="2:2" x14ac:dyDescent="0.25">
      <c r="B6" t="s">
        <v>22</v>
      </c>
    </row>
    <row r="7" spans="2:2" x14ac:dyDescent="0.25">
      <c r="B7" t="s">
        <v>25</v>
      </c>
    </row>
    <row r="8" spans="2:2" x14ac:dyDescent="0.25">
      <c r="B8" t="s">
        <v>28</v>
      </c>
    </row>
    <row r="9" spans="2:2" x14ac:dyDescent="0.25">
      <c r="B9" t="s">
        <v>31</v>
      </c>
    </row>
    <row r="10" spans="2:2" x14ac:dyDescent="0.25">
      <c r="B10" t="s">
        <v>33</v>
      </c>
    </row>
    <row r="11" spans="2:2" x14ac:dyDescent="0.25">
      <c r="B11" t="s">
        <v>39</v>
      </c>
    </row>
    <row r="12" spans="2:2" x14ac:dyDescent="0.25">
      <c r="B12" t="s">
        <v>43</v>
      </c>
    </row>
    <row r="13" spans="2:2" x14ac:dyDescent="0.25">
      <c r="B13" t="s">
        <v>43</v>
      </c>
    </row>
    <row r="14" spans="2:2" x14ac:dyDescent="0.25">
      <c r="B14" t="s">
        <v>44</v>
      </c>
    </row>
    <row r="15" spans="2:2" x14ac:dyDescent="0.25">
      <c r="B15" t="s">
        <v>51</v>
      </c>
    </row>
    <row r="16" spans="2:2" x14ac:dyDescent="0.25">
      <c r="B16" t="s">
        <v>48</v>
      </c>
    </row>
    <row r="17" spans="2:3" x14ac:dyDescent="0.25">
      <c r="B17" t="s">
        <v>206</v>
      </c>
      <c r="C17" t="s">
        <v>207</v>
      </c>
    </row>
    <row r="18" spans="2:3" x14ac:dyDescent="0.25">
      <c r="B18" t="s">
        <v>208</v>
      </c>
      <c r="C18" t="s">
        <v>207</v>
      </c>
    </row>
    <row r="19" spans="2:3" x14ac:dyDescent="0.25">
      <c r="B19" t="s">
        <v>209</v>
      </c>
      <c r="C19" t="s">
        <v>207</v>
      </c>
    </row>
    <row r="20" spans="2:3" x14ac:dyDescent="0.25">
      <c r="B20" t="s">
        <v>56</v>
      </c>
    </row>
    <row r="21" spans="2:3" x14ac:dyDescent="0.25">
      <c r="B21" t="s">
        <v>58</v>
      </c>
    </row>
    <row r="22" spans="2:3" x14ac:dyDescent="0.25">
      <c r="B22" t="s">
        <v>60</v>
      </c>
    </row>
    <row r="23" spans="2:3" x14ac:dyDescent="0.25">
      <c r="B23" t="s">
        <v>63</v>
      </c>
    </row>
    <row r="24" spans="2:3" x14ac:dyDescent="0.25">
      <c r="B24" t="s">
        <v>61</v>
      </c>
    </row>
    <row r="25" spans="2:3" x14ac:dyDescent="0.25">
      <c r="B25" t="s">
        <v>64</v>
      </c>
    </row>
    <row r="26" spans="2:3" x14ac:dyDescent="0.25">
      <c r="B26" t="s">
        <v>84</v>
      </c>
    </row>
    <row r="27" spans="2:3" x14ac:dyDescent="0.25">
      <c r="B27" t="s">
        <v>85</v>
      </c>
    </row>
    <row r="28" spans="2:3" x14ac:dyDescent="0.25">
      <c r="B28" t="s">
        <v>88</v>
      </c>
    </row>
    <row r="29" spans="2:3" x14ac:dyDescent="0.25">
      <c r="B29" t="s">
        <v>87</v>
      </c>
    </row>
    <row r="30" spans="2:3" x14ac:dyDescent="0.25">
      <c r="B30" t="s">
        <v>72</v>
      </c>
    </row>
    <row r="31" spans="2:3" x14ac:dyDescent="0.25">
      <c r="B31" t="s">
        <v>74</v>
      </c>
    </row>
    <row r="32" spans="2:3" x14ac:dyDescent="0.25">
      <c r="B32" t="s">
        <v>76</v>
      </c>
    </row>
    <row r="33" spans="2:3" x14ac:dyDescent="0.25">
      <c r="B33" t="s">
        <v>210</v>
      </c>
      <c r="C33" t="s">
        <v>211</v>
      </c>
    </row>
    <row r="34" spans="2:3" x14ac:dyDescent="0.25">
      <c r="B34" t="s">
        <v>78</v>
      </c>
    </row>
    <row r="35" spans="2:3" x14ac:dyDescent="0.25">
      <c r="B35" t="s">
        <v>68</v>
      </c>
    </row>
    <row r="36" spans="2:3" x14ac:dyDescent="0.25">
      <c r="B36" t="s">
        <v>69</v>
      </c>
    </row>
    <row r="37" spans="2:3" x14ac:dyDescent="0.25">
      <c r="B37" t="s">
        <v>80</v>
      </c>
    </row>
    <row r="38" spans="2:3" x14ac:dyDescent="0.25">
      <c r="B38" t="s">
        <v>82</v>
      </c>
    </row>
    <row r="39" spans="2:3" x14ac:dyDescent="0.25">
      <c r="B39" t="s">
        <v>91</v>
      </c>
    </row>
    <row r="40" spans="2:3" x14ac:dyDescent="0.25">
      <c r="B40" t="s">
        <v>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16065FF155BE8498387A00142E8631B" ma:contentTypeVersion="7" ma:contentTypeDescription="Create a new document." ma:contentTypeScope="" ma:versionID="4677817bbdad23a2a5d53597b206ac3d">
  <xsd:schema xmlns:xsd="http://www.w3.org/2001/XMLSchema" xmlns:xs="http://www.w3.org/2001/XMLSchema" xmlns:p="http://schemas.microsoft.com/office/2006/metadata/properties" xmlns:ns2="386b2b11-94e5-4db7-b04e-3306dfe7e673" targetNamespace="http://schemas.microsoft.com/office/2006/metadata/properties" ma:root="true" ma:fieldsID="ed553403decb5d605029f36e6eb63dc4" ns2:_="">
    <xsd:import namespace="386b2b11-94e5-4db7-b04e-3306dfe7e67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6b2b11-94e5-4db7-b04e-3306dfe7e6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F27B3B-E83A-4082-BDA7-E521ED64A4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6b2b11-94e5-4db7-b04e-3306dfe7e6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51A643B-A652-49D8-8993-FECCF5CDE7FC}">
  <ds:schemaRefs>
    <ds:schemaRef ds:uri="http://schemas.microsoft.com/office/2006/metadata/properties"/>
    <ds:schemaRef ds:uri="http://purl.org/dc/elements/1.1/"/>
    <ds:schemaRef ds:uri="http://schemas.microsoft.com/office/2006/documentManagement/types"/>
    <ds:schemaRef ds:uri="http://purl.org/dc/terms/"/>
    <ds:schemaRef ds:uri="http://schemas.microsoft.com/office/infopath/2007/PartnerControls"/>
    <ds:schemaRef ds:uri="http://purl.org/dc/dcmitype/"/>
    <ds:schemaRef ds:uri="http://schemas.openxmlformats.org/package/2006/metadata/core-properties"/>
    <ds:schemaRef ds:uri="386b2b11-94e5-4db7-b04e-3306dfe7e673"/>
    <ds:schemaRef ds:uri="http://www.w3.org/XML/1998/namespace"/>
  </ds:schemaRefs>
</ds:datastoreItem>
</file>

<file path=customXml/itemProps3.xml><?xml version="1.0" encoding="utf-8"?>
<ds:datastoreItem xmlns:ds="http://schemas.openxmlformats.org/officeDocument/2006/customXml" ds:itemID="{691AE9A8-945E-4C94-8E41-47174F0E483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Req Init 1.1</vt:lpstr>
      <vt:lpstr>All sections of NIF PDF</vt:lpstr>
      <vt:lpstr>Complexity</vt:lpstr>
      <vt:lpstr>w-Masterfiles extra fields</vt:lpstr>
      <vt:lpstr>Bev 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Bev Tyler</dc:creator>
  <cp:keywords/>
  <dc:description/>
  <cp:lastModifiedBy>Justin Replogle</cp:lastModifiedBy>
  <cp:revision/>
  <dcterms:created xsi:type="dcterms:W3CDTF">2025-05-12T18:40:37Z</dcterms:created>
  <dcterms:modified xsi:type="dcterms:W3CDTF">2025-09-30T04:25:13Z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0x010100F16065FF155BE8498387A00142E8631B</vt:lpwstr>
  </property>
</Properties>
</file>